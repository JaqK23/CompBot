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06" codeName="{82680DD9-3F13-7979-5B5F-3D2375947C00}"/>
  <workbookPr codeName="ThisWorkbook" defaultThemeVersion="202300"/>
  <mc:AlternateContent xmlns:mc="http://schemas.openxmlformats.org/markup-compatibility/2006">
    <mc:Choice Requires="x15">
      <x15ac:absPath xmlns:x15ac="http://schemas.microsoft.com/office/spreadsheetml/2010/11/ac" url="https://d.docs.live.net/534e1f3e8d9cda95/Documents/OA Robot/"/>
    </mc:Choice>
  </mc:AlternateContent>
  <xr:revisionPtr revIDLastSave="0" documentId="8_{4CE20122-3F9A-4F91-8DA3-3E2E1BB711CD}" xr6:coauthVersionLast="47" xr6:coauthVersionMax="47" xr10:uidLastSave="{00000000-0000-0000-0000-000000000000}"/>
  <bookViews>
    <workbookView xWindow="-120" yWindow="-120" windowWidth="51840" windowHeight="21120" xr2:uid="{680F85FE-7009-46FF-BF5C-10DA0B68E903}"/>
  </bookViews>
  <sheets>
    <sheet name="CompBot" sheetId="22" r:id="rId1"/>
    <sheet name="Info_Commands" sheetId="20" r:id="rId2"/>
    <sheet name="Info_Lambdas" sheetId="1" r:id="rId3"/>
    <sheet name="Setup Settings" sheetId="21" r:id="rId4"/>
    <sheet name="Regional Settings" sheetId="18" r:id="rId5"/>
  </sheets>
  <functionGroups builtInGroupCount="19"/>
  <definedNames>
    <definedName name="_xleta.ADDRESS" hidden="1" xlm="1">#NAME?</definedName>
    <definedName name="_xleta.ARRAYTOTEXT" hidden="1" xlm="1">#NAME?</definedName>
    <definedName name="_xleta.CELL" hidden="1" xlm="1">#NAME?</definedName>
    <definedName name="_xleta.COUNT" hidden="1" xlm="1">#NAME?</definedName>
    <definedName name="_xleta.IF" hidden="1" xlm="1">#NAME?</definedName>
    <definedName name="_xleta.ISOMITTED" hidden="1" xlm="1">#NAME?</definedName>
    <definedName name="_xleta.MAP" hidden="1" xlm="1">#NAME?</definedName>
    <definedName name="_xleta.MAX" hidden="1" xlm="1">#NAME?</definedName>
    <definedName name="_xleta.MIN" hidden="1" xlm="1">#NAME?</definedName>
    <definedName name="_xleta.MOD" hidden="1" xlm="1">#NAME?</definedName>
    <definedName name="_xleta.N" hidden="1" xlm="1">#NAME?</definedName>
    <definedName name="_xleta.ROWS" hidden="1" xlm="1">#NAME?</definedName>
    <definedName name="_xleta.SHEET" hidden="1" xlm="1">#NAME?</definedName>
    <definedName name="_xleta.SUM" hidden="1" xlm="1">#NAME?</definedName>
    <definedName name="_xleta.TEXT" hidden="1" xlm="1">#NAME?</definedName>
    <definedName name="_xleta.TYPE" hidden="1" xlm="1">#NAME?</definedName>
    <definedName name="_xleta.VALUE" hidden="1" xlm="1">#NAME?</definedName>
    <definedName name="_xlop.Ace_High" hidden="1" xlm="1">#NAME?</definedName>
    <definedName name="_xlop.Ace_Low" hidden="1" xlm="1">#NAME?</definedName>
    <definedName name="_xlop.add" hidden="1" xlm="1">#NAME?</definedName>
    <definedName name="_xlop.add_up" hidden="1" xlm="1">#NAME?</definedName>
    <definedName name="_xlop.Address" hidden="1" xlm="1">#NAME?</definedName>
    <definedName name="_xlop.AddressMoves" hidden="1" xlm="1">#NAME?</definedName>
    <definedName name="_xlop.allow_loops" hidden="1" xlm="1">#NAME?</definedName>
    <definedName name="_xlop.AllowMp" hidden="1" xlm="1">#NAME?</definedName>
    <definedName name="_xlop.AllowRepeatItems" hidden="1" xlm="1">#NAME?</definedName>
    <definedName name="_xlop.AlongLettersOnly" hidden="1" xlm="1">#NAME?</definedName>
    <definedName name="_xlop.AlongShift" hidden="1" xlm="1">#NAME?</definedName>
    <definedName name="_xlop.AntiClockwise" hidden="1" xlm="1">#NAME?</definedName>
    <definedName name="_xlop.AsRuns" hidden="1" xlm="1">#NAME?</definedName>
    <definedName name="_xlop.B" hidden="1" xlm="1">#NAME?</definedName>
    <definedName name="_xlop.BiDirectional" hidden="1" xlm="1">#NAME?</definedName>
    <definedName name="_xlop.Blockers" hidden="1" xlm="1">#NAME?</definedName>
    <definedName name="_xlop.Bounce" hidden="1" xlm="1">#NAME?</definedName>
    <definedName name="_xlop.by_col" hidden="1" xlm="1">#NAME?</definedName>
    <definedName name="_xlop.ByCol" hidden="1" xlm="1">#NAME?</definedName>
    <definedName name="_xlop.ByColumn" hidden="1" xlm="1">#NAME?</definedName>
    <definedName name="_xlop.Cap" hidden="1" xlm="1">#NAME?</definedName>
    <definedName name="_xlop.Case" hidden="1" xlm="1">#NAME?</definedName>
    <definedName name="_xlop.Case_Sensitive" hidden="1" xlm="1">#NAME?</definedName>
    <definedName name="_xlop.CaseSensitive" hidden="1" xlm="1">#NAME?</definedName>
    <definedName name="_xlop.CleanData" hidden="1" xlm="1">#NAME?</definedName>
    <definedName name="_xlop.ColMax" hidden="1" xlm="1">#NAME?</definedName>
    <definedName name="_xlop.ColMin" hidden="1" xlm="1">#NAME?</definedName>
    <definedName name="_xlop.cols" hidden="1" xlm="1">#NAME?</definedName>
    <definedName name="_xlop.ColSize" hidden="1" xlm="1">#NAME?</definedName>
    <definedName name="_xlop.ColumnArray" hidden="1" xlm="1">#NAME?</definedName>
    <definedName name="_xlop.Columns" hidden="1" xlm="1">#NAME?</definedName>
    <definedName name="_xlop.ColumnShift" hidden="1" xlm="1">#NAME?</definedName>
    <definedName name="_xlop.cum" hidden="1" xlm="1">#NAME?</definedName>
    <definedName name="_xlop.Cumulative" hidden="1" xlm="1">#NAME?</definedName>
    <definedName name="_xlop.currentIterationCount" hidden="1" xlm="1">#NAME?</definedName>
    <definedName name="_xlop.Cus_Dir" hidden="1" xlm="1">#NAME?</definedName>
    <definedName name="_xlop.Custom_Directions" hidden="1" xlm="1">#NAME?</definedName>
    <definedName name="_xlop.Custom_RC_Directions" hidden="1" xlm="1">#NAME?</definedName>
    <definedName name="_xlop.CustomCardList" hidden="1" xlm="1">#NAME?</definedName>
    <definedName name="_xlop.d" hidden="1" xlm="1">#NAME?</definedName>
    <definedName name="_xlop.dd" hidden="1" xlm="1">#NAME?</definedName>
    <definedName name="_xlop.default" hidden="1" xlm="1">#NAME?</definedName>
    <definedName name="_xlop.Delimiter" hidden="1" xlm="1">#NAME?</definedName>
    <definedName name="_xlop.dh" hidden="1" xlm="1">#NAME?</definedName>
    <definedName name="_xlop.DiagonalTopLeft" hidden="1" xlm="1">#NAME?</definedName>
    <definedName name="_xlop.DiagonalTopRight" hidden="1" xlm="1">#NAME?</definedName>
    <definedName name="_xlop.Digits" hidden="1" xlm="1">#NAME?</definedName>
    <definedName name="_xlop.Distance" hidden="1" xlm="1">#NAME?</definedName>
    <definedName name="_xlop.DistFunc" hidden="1" xlm="1">#NAME?</definedName>
    <definedName name="_xlop.dv" hidden="1" xlm="1">#NAME?</definedName>
    <definedName name="_xlop.EndQ" hidden="1" xlm="1">#NAME?</definedName>
    <definedName name="_xlop.exactly_once" hidden="1" xlm="1">#NAME?</definedName>
    <definedName name="_xlop.extract" hidden="1" xlm="1">#NAME?</definedName>
    <definedName name="_xlop.Fill" hidden="1" xlm="1">#NAME?</definedName>
    <definedName name="_xlop.First" hidden="1" xlm="1">#NAME?</definedName>
    <definedName name="_xlop.Flatten" hidden="1" xlm="1">#NAME?</definedName>
    <definedName name="_xlop.Function" hidden="1" xlm="1">#NAME?</definedName>
    <definedName name="_xlop.G" hidden="1" xlm="1">#NAME?</definedName>
    <definedName name="_xlop.Glide" hidden="1" xlm="1">#NAME?</definedName>
    <definedName name="_xlop.Groups" hidden="1" xlm="1">#NAME?</definedName>
    <definedName name="_xlop.h" hidden="1" xlm="1">#NAME?</definedName>
    <definedName name="_xlop.HasHeaders" hidden="1" xlm="1">#NAME?</definedName>
    <definedName name="_xlop.HideBlanks" hidden="1" xlm="1">#NAME?</definedName>
    <definedName name="_xlop.HideZeros" hidden="1" xlm="1">#NAME?</definedName>
    <definedName name="_xlop.horizontal" hidden="1" xlm="1">#NAME?</definedName>
    <definedName name="_xlop.Hstk" hidden="1" xlm="1">#NAME?</definedName>
    <definedName name="_xlop.id" hidden="1" xlm="1">#NAME?</definedName>
    <definedName name="_xlop.IfNotFound" hidden="1" xlm="1">#NAME?</definedName>
    <definedName name="_xlop.IncFlaggedVal" hidden="1" xlm="1">#NAME?</definedName>
    <definedName name="_xlop.include_blanks" hidden="1" xlm="1">#NAME?</definedName>
    <definedName name="_xlop.InputAddresses" hidden="1" xlm="1">#NAME?</definedName>
    <definedName name="_xlop.InstanceNumber" hidden="1" xlm="1">#NAME?</definedName>
    <definedName name="_xlop.Items" hidden="1" xlm="1">#NAME?</definedName>
    <definedName name="_xlop.join" hidden="1" xlm="1">#NAME?</definedName>
    <definedName name="_xlop.KeepBlanks" hidden="1" xlm="1">#NAME?</definedName>
    <definedName name="_xlop.kn" hidden="1" xlm="1">#NAME?</definedName>
    <definedName name="_xlop.knight" hidden="1" xlm="1">#NAME?</definedName>
    <definedName name="_xlop.leave0Clip1Bounce2" hidden="1" xlm="1">#NAME?</definedName>
    <definedName name="_xlop.legend" hidden="1" xlm="1">#NAME?</definedName>
    <definedName name="_xlop.Letter_Mode" hidden="1" xlm="1">#NAME?</definedName>
    <definedName name="_xlop.LinesToFold" hidden="1" xlm="1">#NAME?</definedName>
    <definedName name="_xlop.lookup_output" hidden="1" xlm="1">#NAME?</definedName>
    <definedName name="_xlop.lower" hidden="1" xlm="1">#NAME?</definedName>
    <definedName name="_xlop.MatchMode" hidden="1" xlm="1">#NAME?</definedName>
    <definedName name="_xlop.MaxDist" hidden="1" xlm="1">#NAME?</definedName>
    <definedName name="_xlop.MaximiseW" hidden="1" xlm="1">#NAME?</definedName>
    <definedName name="_xlop.Mazelam" hidden="1" xlm="1">#NAME?</definedName>
    <definedName name="_xlop.min" hidden="1" xlm="1">#NAME?</definedName>
    <definedName name="_xlop.mp" hidden="1" xlm="1">#NAME?</definedName>
    <definedName name="_xlop.mpA" hidden="1" xlm="1">#NAME?</definedName>
    <definedName name="_xlop.Multiple" hidden="1" xlm="1">#NAME?</definedName>
    <definedName name="_xlop.multiply" hidden="1" xlm="1">#NAME?</definedName>
    <definedName name="_xlop.N" hidden="1" xlm="1">#NAME?</definedName>
    <definedName name="_xlop.NewText" hidden="1" xlm="1">#NAME?</definedName>
    <definedName name="_xlop.No_Diag" hidden="1" xlm="1">#NAME?</definedName>
    <definedName name="_xlop.No_Overlap" hidden="1" xlm="1">#NAME?</definedName>
    <definedName name="_xlop.Nouns" hidden="1" xlm="1">#NAME?</definedName>
    <definedName name="_xlop.NoWrapAround" hidden="1" xlm="1">#NAME?</definedName>
    <definedName name="_xlop.OOB" hidden="1" xlm="1">#NAME?</definedName>
    <definedName name="_xlop.Outward" hidden="1" xlm="1">#NAME?</definedName>
    <definedName name="_xlop.Overlap" hidden="1" xlm="1">#NAME?</definedName>
    <definedName name="_xlop.Overlay_Array" hidden="1" xlm="1">#NAME?</definedName>
    <definedName name="_xlop.P0C1" hidden="1" xlm="1">#NAME?</definedName>
    <definedName name="_xlop.pad_with" hidden="1" xlm="1">#NAME?</definedName>
    <definedName name="_xlop.PassthroughChars" hidden="1" xlm="1">#NAME?</definedName>
    <definedName name="_xlop.Path" hidden="1" xlm="1">#NAME?</definedName>
    <definedName name="_xlop.pool" hidden="1" xlm="1">#NAME?</definedName>
    <definedName name="_xlop.Pos" hidden="1" xlm="1">#NAME?</definedName>
    <definedName name="_xlop.py" hidden="1" xlm="1">#NAME?</definedName>
    <definedName name="_xlop.pythag" hidden="1" xlm="1">#NAME?</definedName>
    <definedName name="_xlop.R" hidden="1" xlm="1">#NAME?</definedName>
    <definedName name="_xlop.RCaa_CRaa_RCad_CRad_RCda_CRda_RCdd_CRdd" hidden="1" xlm="1">#NAME?</definedName>
    <definedName name="_xlop.RCRef" hidden="1" xlm="1">#NAME?</definedName>
    <definedName name="_xlop.ReferenceMap" hidden="1" xlm="1">#NAME?</definedName>
    <definedName name="_xlop.RefMap" hidden="1" xlm="1">#NAME?</definedName>
    <definedName name="_xlop.Regexmode" hidden="1" xlm="1">#NAME?</definedName>
    <definedName name="_xlop.RemoveBlanks" hidden="1" xlm="1">#NAME?</definedName>
    <definedName name="_xlop.RemoveOrder" hidden="1" xlm="1">#NAME?</definedName>
    <definedName name="_xlop.remp" hidden="1" xlm="1">#NAME?</definedName>
    <definedName name="_xlop.rep" hidden="1" xlm="1">#NAME?</definedName>
    <definedName name="_xlop.ResetFlags" hidden="1" xlm="1">#NAME?</definedName>
    <definedName name="_xlop.ResetTo" hidden="1" xlm="1">#NAME?</definedName>
    <definedName name="_xlop.return_type" hidden="1" xlm="1">#NAME?</definedName>
    <definedName name="_xlop.ReturnToStart" hidden="1" xlm="1">#NAME?</definedName>
    <definedName name="_xlop.Rotation" hidden="1" xlm="1">#NAME?</definedName>
    <definedName name="_xlop.RowArray" hidden="1" xlm="1">#NAME?</definedName>
    <definedName name="_xlop.RowCol" hidden="1" xlm="1">#NAME?</definedName>
    <definedName name="_xlop.RowMax" hidden="1" xlm="1">#NAME?</definedName>
    <definedName name="_xlop.RowMin" hidden="1" xlm="1">#NAME?</definedName>
    <definedName name="_xlop.rows" hidden="1" xlm="1">#NAME?</definedName>
    <definedName name="_xlop.RowShift" hidden="1" xlm="1">#NAME?</definedName>
    <definedName name="_xlop.scan_by_column" hidden="1" xlm="1">#NAME?</definedName>
    <definedName name="_xlop.SearchMode" hidden="1" xlm="1">#NAME?</definedName>
    <definedName name="_xlop.Sets" hidden="1" xlm="1">#NAME?</definedName>
    <definedName name="_xlop.sheet3" hidden="1" xlm="1">#NAME?</definedName>
    <definedName name="_xlop.sheet4" hidden="1" xlm="1">#NAME?</definedName>
    <definedName name="_xlop.sheet5" hidden="1" xlm="1">#NAME?</definedName>
    <definedName name="_xlop.sheetname" hidden="1" xlm="1">#NAME?</definedName>
    <definedName name="_xlop.Show_on_map" hidden="1" xlm="1">#NAME?</definedName>
    <definedName name="_xlop.Show_Steps" hidden="1" xlm="1">#NAME?</definedName>
    <definedName name="_xlop.ShowAll_0" hidden="1" xlm="1">#NAME?</definedName>
    <definedName name="_xlop.ShowBlanks" hidden="1" xlm="1">#NAME?</definedName>
    <definedName name="_xlop.ShowDir" hidden="1" xlm="1">#NAME?</definedName>
    <definedName name="_xlop.ShowHV" hidden="1" xlm="1">#NAME?</definedName>
    <definedName name="_xlop.ShowPath" hidden="1" xlm="1">#NAME?</definedName>
    <definedName name="_xlop.ShowRoute" hidden="1" xlm="1">#NAME?</definedName>
    <definedName name="_xlop.skip_blanks_zeros" hidden="1" xlm="1">#NAME?</definedName>
    <definedName name="_xlop.Smallest" hidden="1" xlm="1">#NAME?</definedName>
    <definedName name="_xlop.start" hidden="1" xlm="1">#NAME?</definedName>
    <definedName name="_xlop.StartNodeNumber" hidden="1" xlm="1">#NAME?</definedName>
    <definedName name="_xlop.StartQ" hidden="1" xlm="1">#NAME?</definedName>
    <definedName name="_xlop.StartRorC" hidden="1" xlm="1">#NAME?</definedName>
    <definedName name="_xlop.StartWeights" hidden="1" xlm="1">#NAME?</definedName>
    <definedName name="_xlop.step" hidden="1" xlm="1">#NAME?</definedName>
    <definedName name="_xlop.StepLimit" hidden="1" xlm="1">#NAME?</definedName>
    <definedName name="_xlop.Steps" hidden="1" xlm="1">#NAME?</definedName>
    <definedName name="_xlop.Stop" hidden="1" xlm="1">#NAME?</definedName>
    <definedName name="_xlop.StopAt" hidden="1" xlm="1">#NAME?</definedName>
    <definedName name="_xlop.subtract" hidden="1" xlm="1">#NAME?</definedName>
    <definedName name="_xlop.SwapEvery" hidden="1" xlm="1">#NAME?</definedName>
    <definedName name="_xlop.targets" hidden="1" xlm="1">#NAME?</definedName>
    <definedName name="_xlop.TieKey" hidden="1" xlm="1">#NAME?</definedName>
    <definedName name="_xlop.TieOrder" hidden="1" xlm="1">#NAME?</definedName>
    <definedName name="_xlop.TopLeft" hidden="1" xlm="1">#NAME?</definedName>
    <definedName name="_xlop.Upp" hidden="1" xlm="1">#NAME?</definedName>
    <definedName name="_xlop.upper" hidden="1" xlm="1">#NAME?</definedName>
    <definedName name="_xlop.v" hidden="1" xlm="1">#NAME?</definedName>
    <definedName name="_xlop.value3" hidden="1" xlm="1">#NAME?</definedName>
    <definedName name="_xlop.value4" hidden="1" xlm="1">#NAME?</definedName>
    <definedName name="_xlop.value5" hidden="1" xlm="1">#NAME?</definedName>
    <definedName name="_xlop.vertical" hidden="1" xlm="1">#NAME?</definedName>
    <definedName name="_xlop.Vowels" hidden="1" xlm="1">#NAME?</definedName>
    <definedName name="_xlop.w" hidden="1" xlm="1">#NAME?</definedName>
    <definedName name="_xlop.Weights" hidden="1" xlm="1">#NAME?</definedName>
    <definedName name="_xlop.With_Decimals" hidden="1" xlm="1">#NAME?</definedName>
    <definedName name="_xlop.words_within_words" hidden="1" xlm="1">#NAME?</definedName>
    <definedName name="_xlop.Wrap" hidden="1" xlm="1">#NAME?</definedName>
    <definedName name="_xlop.WrapAround" hidden="1" xlm="1">#NAME?</definedName>
    <definedName name="_xlop.WrapAroundRuns" hidden="1" xlm="1">#NAME?</definedName>
    <definedName name="_xlpm.\\CommandName" hidden="1" xlm="1">#NAME?</definedName>
    <definedName name="_xlpm.\\Description" hidden="1" xlm="1">#NAME?</definedName>
    <definedName name="_xlpm.\\LambdaName" hidden="1" xlm="1">#NAME?</definedName>
    <definedName name="_xlpm.\\Parameters" hidden="1" xlm="1">#NAME?</definedName>
    <definedName name="_xlpm.\\Source" hidden="1" xlm="1">#NAME?</definedName>
    <definedName name="_xlpm._a" hidden="1" xlm="1">#NAME?</definedName>
    <definedName name="_xlpm._AddressTL" hidden="1" xlm="1">#NAME?</definedName>
    <definedName name="_xlpm._c" hidden="1" xlm="1">#NAME?</definedName>
    <definedName name="_xlpm._Code" hidden="1" xlm="1">#NAME?</definedName>
    <definedName name="_xlpm._ColIndex" hidden="1" xlm="1">#NAME?</definedName>
    <definedName name="_xlpm._ColNumber" hidden="1" xlm="1">#NAME?</definedName>
    <definedName name="_xlpm._Cols" hidden="1" xlm="1">#NAME?</definedName>
    <definedName name="_xlpm._ColsByRow" hidden="1" xlm="1">#NAME?</definedName>
    <definedName name="_xlpm._ColShift" hidden="1" xlm="1">#NAME?</definedName>
    <definedName name="_xlpm._ColShiftMapTL" hidden="1" xlm="1">#NAME?</definedName>
    <definedName name="_xlpm._ColShiftPos" hidden="1" xlm="1">#NAME?</definedName>
    <definedName name="_xlpm._ColSizeUsed" hidden="1" xlm="1">#NAME?</definedName>
    <definedName name="_xlpm._ColTL" hidden="1" xlm="1">#NAME?</definedName>
    <definedName name="_xlpm._fill" hidden="1" xlm="1">#NAME?</definedName>
    <definedName name="_xlpm._FillUsed" hidden="1" xlm="1">#NAME?</definedName>
    <definedName name="_xlpm._GetMax" hidden="1" xlm="1">#NAME?</definedName>
    <definedName name="_xlpm._GetMin" hidden="1" xlm="1">#NAME?</definedName>
    <definedName name="_xlpm._groups" hidden="1" xlm="1">#NAME?</definedName>
    <definedName name="_xlpm._Islower" hidden="1" xlm="1">#NAME?</definedName>
    <definedName name="_xlpm._Isupper" hidden="1" xlm="1">#NAME?</definedName>
    <definedName name="_xlpm._MinMax" hidden="1" xlm="1">#NAME?</definedName>
    <definedName name="_xlpm._Mode" hidden="1" xlm="1">#NAME?</definedName>
    <definedName name="_xlpm._n" hidden="1" xlm="1">#NAME?</definedName>
    <definedName name="_xlpm._Output" hidden="1" xlm="1">#NAME?</definedName>
    <definedName name="_xlpm._Pool" hidden="1" xlm="1">#NAME?</definedName>
    <definedName name="_xlpm._PosUsed" hidden="1" xlm="1">#NAME?</definedName>
    <definedName name="_xlpm._r" hidden="1" xlm="1">#NAME?</definedName>
    <definedName name="_xlpm._Result" hidden="1" xlm="1">#NAME?</definedName>
    <definedName name="_xlpm._RowIndex" hidden="1" xlm="1">#NAME?</definedName>
    <definedName name="_xlpm._RowNumber" hidden="1" xlm="1">#NAME?</definedName>
    <definedName name="_xlpm._Rows" hidden="1" xlm="1">#NAME?</definedName>
    <definedName name="_xlpm._RowShift" hidden="1" xlm="1">#NAME?</definedName>
    <definedName name="_xlpm._RowShiftMapTL" hidden="1" xlm="1">#NAME?</definedName>
    <definedName name="_xlpm._RowShiftPos" hidden="1" xlm="1">#NAME?</definedName>
    <definedName name="_xlpm._RowTL" hidden="1" xlm="1">#NAME?</definedName>
    <definedName name="_xlpm._Shifted" hidden="1" xlm="1">#NAME?</definedName>
    <definedName name="_xlpm._ShiftedArr" hidden="1" xlm="1">#NAME?</definedName>
    <definedName name="_xlpm._Step1" hidden="1" xlm="1">#NAME?</definedName>
    <definedName name="_xlpm._Step2" hidden="1" xlm="1">#NAME?</definedName>
    <definedName name="_xlpm._Step3" hidden="1" xlm="1">#NAME?</definedName>
    <definedName name="_xlpm._Step4" hidden="1" xlm="1">#NAME?</definedName>
    <definedName name="_xlpm._Step6" hidden="1" xlm="1">#NAME?</definedName>
    <definedName name="_xlpm._Step7" hidden="1" xlm="1">#NAME?</definedName>
    <definedName name="_xlpm._Step8" hidden="1" xlm="1">#NAME?</definedName>
    <definedName name="_xlpm._Step9" hidden="1" xlm="1">#NAME?</definedName>
    <definedName name="_xlpm._WrapUsed" hidden="1" xlm="1">#NAME?</definedName>
    <definedName name="_xlpm.a" hidden="1" xlm="1">#NAME?</definedName>
    <definedName name="_xlpm.ab" hidden="1" xlm="1">#NAME?</definedName>
    <definedName name="_xlpm.ABC" hidden="1" xlm="1">#NAME?</definedName>
    <definedName name="_xlpm.ac" hidden="1" xlm="1">#NAME?</definedName>
    <definedName name="_xlpm.acc" hidden="1" xlm="1">#NAME?</definedName>
    <definedName name="_xlpm.accum" hidden="1" xlm="1">#NAME?</definedName>
    <definedName name="_xlpm.Ace_High" hidden="1" xlm="1">#NAME?</definedName>
    <definedName name="_xlpm.Ace_Low" hidden="1" xlm="1">#NAME?</definedName>
    <definedName name="_xlpm.Ad" hidden="1" xlm="1">#NAME?</definedName>
    <definedName name="_xlpm.add" hidden="1" xlm="1">#NAME?</definedName>
    <definedName name="_xlpm.add_up" hidden="1" xlm="1">#NAME?</definedName>
    <definedName name="_xlpm.addarr" hidden="1" xlm="1">#NAME?</definedName>
    <definedName name="_xlpm.addednums" hidden="1" xlm="1">#NAME?</definedName>
    <definedName name="_xlpm.addr_col" hidden="1" xlm="1">#NAME?</definedName>
    <definedName name="_xlpm.address" hidden="1" xlm="1">#NAME?</definedName>
    <definedName name="_xlpm.addresses" hidden="1" xlm="1">#NAME?</definedName>
    <definedName name="_xlpm.AddressMoves" hidden="1" xlm="1">#NAME?</definedName>
    <definedName name="_xlpm.AdjustedRow" hidden="1" xlm="1">#NAME?</definedName>
    <definedName name="_xlpm.ah" hidden="1" xlm="1">#NAME?</definedName>
    <definedName name="_xlpm.al" hidden="1" xlm="1">#NAME?</definedName>
    <definedName name="_xlpm.alignrem" hidden="1" xlm="1">#NAME?</definedName>
    <definedName name="_xlpm.allow_loops" hidden="1" xlm="1">#NAME?</definedName>
    <definedName name="_xlpm.AllowMp" hidden="1" xlm="1">#NAME?</definedName>
    <definedName name="_xlpm.AllowRepeatItems" hidden="1" xlm="1">#NAME?</definedName>
    <definedName name="_xlpm.AlongLettersOnly" hidden="1" xlm="1">#NAME?</definedName>
    <definedName name="_xlpm.AlongShift" hidden="1" xlm="1">#NAME?</definedName>
    <definedName name="_xlpm.als" hidden="1" xlm="1">#NAME?</definedName>
    <definedName name="_xlpm.am" hidden="1" xlm="1">#NAME?</definedName>
    <definedName name="_xlpm.an" hidden="1" xlm="1">#NAME?</definedName>
    <definedName name="_xlpm.AnchorCell" hidden="1" xlm="1">#NAME?</definedName>
    <definedName name="_xlpm.AntiClockwise" hidden="1" xlm="1">#NAME?</definedName>
    <definedName name="_xlpm.any" hidden="1" xlm="1">#NAME?</definedName>
    <definedName name="_xlpm.ar" hidden="1" xlm="1">#NAME?</definedName>
    <definedName name="_xlpm.arr" hidden="1" xlm="1">#NAME?</definedName>
    <definedName name="_xlpm.array" hidden="1" xlm="1">#NAME?</definedName>
    <definedName name="_xlpm.array1" hidden="1" xlm="1">#NAME?</definedName>
    <definedName name="_xlpm.array1Cols" hidden="1" xlm="1">#NAME?</definedName>
    <definedName name="_xlpm.array1Rows" hidden="1" xlm="1">#NAME?</definedName>
    <definedName name="_xlpm.array2" hidden="1" xlm="1">#NAME?</definedName>
    <definedName name="_xlpm.array2Cols" hidden="1" xlm="1">#NAME?</definedName>
    <definedName name="_xlpm.array2Rows" hidden="1" xlm="1">#NAME?</definedName>
    <definedName name="_xlpm.arrow" hidden="1" xlm="1">#NAME?</definedName>
    <definedName name="_xlpm.Arrows" hidden="1" xlm="1">#NAME?</definedName>
    <definedName name="_xlpm.Arrowsx" hidden="1" xlm="1">#NAME?</definedName>
    <definedName name="_xlpm.Arrowsy" hidden="1" xlm="1">#NAME?</definedName>
    <definedName name="_xlpm.ars" hidden="1" xlm="1">#NAME?</definedName>
    <definedName name="_xlpm.AsRuns" hidden="1" xlm="1">#NAME?</definedName>
    <definedName name="_xlpm.au" hidden="1" xlm="1">#NAME?</definedName>
    <definedName name="_xlpm.b" hidden="1" xlm="1">#NAME?</definedName>
    <definedName name="_xlpm.Base10" hidden="1" xlm="1">#NAME?</definedName>
    <definedName name="_xlpm.BBInitialFloor" hidden="1" xlm="1">#NAME?</definedName>
    <definedName name="_xlpm.BBInitialpath" hidden="1" xlm="1">#NAME?</definedName>
    <definedName name="_xlpm.bc" hidden="1" xlm="1">#NAME?</definedName>
    <definedName name="_xlpm.bear" hidden="1" xlm="1">#NAME?</definedName>
    <definedName name="_xlpm.BestDist" hidden="1" xlm="1">#NAME?</definedName>
    <definedName name="_xlpm.BiDirectional" hidden="1" xlm="1">#NAME?</definedName>
    <definedName name="_xlpm.bk" hidden="1" xlm="1">#NAME?</definedName>
    <definedName name="_xlpm.blank" hidden="1" xlm="1">#NAME?</definedName>
    <definedName name="_xlpm.blc" hidden="1" xlm="1">#NAME?</definedName>
    <definedName name="_xlpm.blitm" hidden="1" xlm="1">#NAME?</definedName>
    <definedName name="_xlpm.blocked_cells" hidden="1" xlm="1">#NAME?</definedName>
    <definedName name="_xlpm.blockers" hidden="1" xlm="1">#NAME?</definedName>
    <definedName name="_xlpm.blocks" hidden="1" xlm="1">#NAME?</definedName>
    <definedName name="_xlpm.body" hidden="1" xlm="1">#NAME?</definedName>
    <definedName name="_xlpm.bot" hidden="1" xlm="1">#NAME?</definedName>
    <definedName name="_xlpm.Bounce" hidden="1" xlm="1">#NAME?</definedName>
    <definedName name="_xlpm.bpt" hidden="1" xlm="1">#NAME?</definedName>
    <definedName name="_xlpm.br" hidden="1" xlm="1">#NAME?</definedName>
    <definedName name="_xlpm.brng" hidden="1" xlm="1">#NAME?</definedName>
    <definedName name="_xlpm.bsc" hidden="1" xlm="1">#NAME?</definedName>
    <definedName name="_xlpm.bu" hidden="1" xlm="1">#NAME?</definedName>
    <definedName name="_xlpm.by_col" hidden="1" xlm="1">#NAME?</definedName>
    <definedName name="_xlpm.ByCol" hidden="1" xlm="1">#NAME?</definedName>
    <definedName name="_xlpm.ByColumn" hidden="1" xlm="1">#NAME?</definedName>
    <definedName name="_xlpm.c" hidden="1" xlm="1">#NAME?</definedName>
    <definedName name="_xlpm.c0" hidden="1" xlm="1">#NAME?</definedName>
    <definedName name="_xlpm.ca" hidden="1" xlm="1">#NAME?</definedName>
    <definedName name="_xlpm.Cap" hidden="1" xlm="1">#NAME?</definedName>
    <definedName name="_xlpm.Capacity" hidden="1" xlm="1">#NAME?</definedName>
    <definedName name="_xlpm.CardComment" hidden="1" xlm="1">#NAME?</definedName>
    <definedName name="_xlpm.CardInd" hidden="1" xlm="1">#NAME?</definedName>
    <definedName name="_xlpm.cardnums" hidden="1" xlm="1">#NAME?</definedName>
    <definedName name="_xlpm.Cards" hidden="1" xlm="1">#NAME?</definedName>
    <definedName name="_xlpm.cardsinorder" hidden="1" xlm="1">#NAME?</definedName>
    <definedName name="_xlpm.CardsInRun" hidden="1" xlm="1">#NAME?</definedName>
    <definedName name="_xlpm.cardspresent" hidden="1" xlm="1">#NAME?</definedName>
    <definedName name="_xlpm.cardsuits" hidden="1" xlm="1">#NAME?</definedName>
    <definedName name="_xlpm.cardvals" hidden="1" xlm="1">#NAME?</definedName>
    <definedName name="_xlpm.carryfwd" hidden="1" xlm="1">#NAME?</definedName>
    <definedName name="_xlpm.Case" hidden="1" xlm="1">#NAME?</definedName>
    <definedName name="_xlpm.Case_Sensitive" hidden="1" xlm="1">#NAME?</definedName>
    <definedName name="_xlpm.CaseSensitive" hidden="1" xlm="1">#NAME?</definedName>
    <definedName name="_xlpm.cb" hidden="1" xlm="1">#NAME?</definedName>
    <definedName name="_xlpm.cc" hidden="1" xlm="1">#NAME?</definedName>
    <definedName name="_xlpm.ccurr" hidden="1" xlm="1">#NAME?</definedName>
    <definedName name="_xlpm.cd" hidden="1" xlm="1">#NAME?</definedName>
    <definedName name="_xlpm.cdist" hidden="1" xlm="1">#NAME?</definedName>
    <definedName name="_xlpm.cell" hidden="1" xlm="1">#NAME?</definedName>
    <definedName name="_xlpm.cell_coordinates" hidden="1" xlm="1">#NAME?</definedName>
    <definedName name="_xlpm.cell_from" hidden="1" xlm="1">#NAME?</definedName>
    <definedName name="_xlpm.cell_to" hidden="1" xlm="1">#NAME?</definedName>
    <definedName name="_xlpm.cell1" hidden="1" xlm="1">#NAME?</definedName>
    <definedName name="_xlpm.cell2" hidden="1" xlm="1">#NAME?</definedName>
    <definedName name="_xlpm.celladdresses" hidden="1" xlm="1">#NAME?</definedName>
    <definedName name="_xlpm.Cells" hidden="1" xlm="1">#NAME?</definedName>
    <definedName name="_xlpm.cend" hidden="1" xlm="1">#NAME?</definedName>
    <definedName name="_xlpm.cf" hidden="1" xlm="1">#NAME?</definedName>
    <definedName name="_xlpm.cfc" hidden="1" xlm="1">#NAME?</definedName>
    <definedName name="_xlpm.chars" hidden="1" xlm="1">#NAME?</definedName>
    <definedName name="_xlpm.ci" hidden="1" xlm="1">#NAME?</definedName>
    <definedName name="_xlpm.ck" hidden="1" xlm="1">#NAME?</definedName>
    <definedName name="_xlpm.cl" hidden="1" xlm="1">#NAME?</definedName>
    <definedName name="_xlpm.clab" hidden="1" xlm="1">#NAME?</definedName>
    <definedName name="_xlpm.clean" hidden="1" xlm="1">#NAME?</definedName>
    <definedName name="_xlpm.CleanData" hidden="1" xlm="1">#NAME?</definedName>
    <definedName name="_xlpm.cleantable" hidden="1" xlm="1">#NAME?</definedName>
    <definedName name="_xlpm.clf" hidden="1" xlm="1">#NAME?</definedName>
    <definedName name="_xlpm.ClnData" hidden="1" xlm="1">#NAME?</definedName>
    <definedName name="_xlpm.cls" hidden="1" xlm="1">#NAME?</definedName>
    <definedName name="_xlpm.clt" hidden="1" xlm="1">#NAME?</definedName>
    <definedName name="_xlpm.CLU" hidden="1" xlm="1">#NAME?</definedName>
    <definedName name="_xlpm.cm" hidden="1" xlm="1">#NAME?</definedName>
    <definedName name="_xlpm.cmp" hidden="1" xlm="1">#NAME?</definedName>
    <definedName name="_xlpm.cn" hidden="1" xlm="1">#NAME?</definedName>
    <definedName name="_xlpm.cnd" hidden="1" xlm="1">#NAME?</definedName>
    <definedName name="_xlpm.co" hidden="1" xlm="1">#NAME?</definedName>
    <definedName name="_xlpm.coins" hidden="1" xlm="1">#NAME?</definedName>
    <definedName name="_xlpm.col" hidden="1" xlm="1">#NAME?</definedName>
    <definedName name="_xlpm.ColCnt" hidden="1" xlm="1">#NAME?</definedName>
    <definedName name="_xlpm.colIndex" hidden="1" xlm="1">#NAME?</definedName>
    <definedName name="_xlpm.colLen" hidden="1" xlm="1">#NAME?</definedName>
    <definedName name="_xlpm.collet" hidden="1" xlm="1">#NAME?</definedName>
    <definedName name="_xlpm.ColMax" hidden="1" xlm="1">#NAME?</definedName>
    <definedName name="_xlpm.ColMin" hidden="1" xlm="1">#NAME?</definedName>
    <definedName name="_xlpm.ColOff" hidden="1" xlm="1">#NAME?</definedName>
    <definedName name="_xlpm.cols" hidden="1" xlm="1">#NAME?</definedName>
    <definedName name="_xlpm.ColSize" hidden="1" xlm="1">#NAME?</definedName>
    <definedName name="_xlpm.column" hidden="1" xlm="1">#NAME?</definedName>
    <definedName name="_xlpm.column_indexes" hidden="1" xlm="1">#NAME?</definedName>
    <definedName name="_xlpm.ColumnArray" hidden="1" xlm="1">#NAME?</definedName>
    <definedName name="_xlpm.Columnitem" hidden="1" xlm="1">#NAME?</definedName>
    <definedName name="_xlpm.Columns" hidden="1" xlm="1">#NAME?</definedName>
    <definedName name="_xlpm.ColumnShift" hidden="1" xlm="1">#NAME?</definedName>
    <definedName name="_xlpm.ColumnsToRemove" hidden="1" xlm="1">#NAME?</definedName>
    <definedName name="_xlpm.con" hidden="1" xlm="1">#NAME?</definedName>
    <definedName name="_xlpm.condition" hidden="1" xlm="1">#NAME?</definedName>
    <definedName name="_xlpm.conf" hidden="1" xlm="1">#NAME?</definedName>
    <definedName name="_xlpm.cont" hidden="1" xlm="1">#NAME?</definedName>
    <definedName name="_xlpm.cor" hidden="1" xlm="1">#NAME?</definedName>
    <definedName name="_xlpm.cot" hidden="1" xlm="1">#NAME?</definedName>
    <definedName name="_xlpm.cp" hidden="1" xlm="1">#NAME?</definedName>
    <definedName name="_xlpm.cr" hidden="1" xlm="1">#NAME?</definedName>
    <definedName name="_xlpm.cs" hidden="1" xlm="1">#NAME?</definedName>
    <definedName name="_xlpm.ct" hidden="1" xlm="1">#NAME?</definedName>
    <definedName name="_xlpm.cum" hidden="1" xlm="1">#NAME?</definedName>
    <definedName name="_xlpm.Cumulative" hidden="1" xlm="1">#NAME?</definedName>
    <definedName name="_xlpm.current_cell" hidden="1" xlm="1">#NAME?</definedName>
    <definedName name="_xlpm.CurrentFloor" hidden="1" xlm="1">#NAME?</definedName>
    <definedName name="_xlpm.currentIterationCount" hidden="1" xlm="1">#NAME?</definedName>
    <definedName name="_xlpm.Cus_Dir" hidden="1" xlm="1">#NAME?</definedName>
    <definedName name="_xlpm.Custom_Directions" hidden="1" xlm="1">#NAME?</definedName>
    <definedName name="_xlpm.Custom_RC_Directions" hidden="1" xlm="1">#NAME?</definedName>
    <definedName name="_xlpm.CustomCardList" hidden="1" xlm="1">#NAME?</definedName>
    <definedName name="_xlpm.cx" hidden="1" xlm="1">#NAME?</definedName>
    <definedName name="_xlpm.d" hidden="1" xlm="1">#NAME?</definedName>
    <definedName name="_xlpm.da" hidden="1" xlm="1">#NAME?</definedName>
    <definedName name="_xlpm.data" hidden="1" xlm="1">#NAME?</definedName>
    <definedName name="_xlpm.data_arr" hidden="1" xlm="1">#NAME?</definedName>
    <definedName name="_xlpm.data_grid" hidden="1" xlm="1">#NAME?</definedName>
    <definedName name="_xlpm.DataSource" hidden="1" xlm="1">#NAME?</definedName>
    <definedName name="_xlpm.days_in_period" hidden="1" xlm="1">#NAME?</definedName>
    <definedName name="_xlpm.dd" hidden="1" xlm="1">#NAME?</definedName>
    <definedName name="_xlpm.default" hidden="1" xlm="1">#NAME?</definedName>
    <definedName name="_xlpm.delim" hidden="1" xlm="1">#NAME?</definedName>
    <definedName name="_xlpm.Delimiter" hidden="1" xlm="1">#NAME?</definedName>
    <definedName name="_xlpm.des" hidden="1" xlm="1">#NAME?</definedName>
    <definedName name="_xlpm.df" hidden="1" xlm="1">#NAME?</definedName>
    <definedName name="_xlpm.dg" hidden="1" xlm="1">#NAME?</definedName>
    <definedName name="_xlpm.dh" hidden="1" xlm="1">#NAME?</definedName>
    <definedName name="_xlpm.diag" hidden="1" xlm="1">#NAME?</definedName>
    <definedName name="_xlpm.diag_flag" hidden="1" xlm="1">#NAME?</definedName>
    <definedName name="_xlpm.diagonals" hidden="1" xlm="1">#NAME?</definedName>
    <definedName name="_xlpm.DiagonalTopLeft" hidden="1" xlm="1">#NAME?</definedName>
    <definedName name="_xlpm.DiagonalTopRight" hidden="1" xlm="1">#NAME?</definedName>
    <definedName name="_xlpm.dice" hidden="1" xlm="1">#NAME?</definedName>
    <definedName name="_xlpm.Digits" hidden="1" xlm="1">#NAME?</definedName>
    <definedName name="_xlpm.dir" hidden="1" xlm="1">#NAME?</definedName>
    <definedName name="_xlpm.Direction" hidden="1" xlm="1">#NAME?</definedName>
    <definedName name="_xlpm.directions" hidden="1" xlm="1">#NAME?</definedName>
    <definedName name="_xlpm.dis" hidden="1" xlm="1">#NAME?</definedName>
    <definedName name="_xlpm.dist" hidden="1" xlm="1">#NAME?</definedName>
    <definedName name="_xlpm.Distance" hidden="1" xlm="1">#NAME?</definedName>
    <definedName name="_xlpm.DistanceMatrix" hidden="1" xlm="1">#NAME?</definedName>
    <definedName name="_xlpm.DistFunc" hidden="1" xlm="1">#NAME?</definedName>
    <definedName name="_xlpm.divisor" hidden="1" xlm="1">#NAME?</definedName>
    <definedName name="_xlpm.dl" hidden="1" xlm="1">#NAME?</definedName>
    <definedName name="_xlpm.dm" hidden="1" xlm="1">#NAME?</definedName>
    <definedName name="_xlpm.dr" hidden="1" xlm="1">#NAME?</definedName>
    <definedName name="_xlpm.dropCol" hidden="1" xlm="1">#NAME?</definedName>
    <definedName name="_xlpm.dropRow" hidden="1" xlm="1">#NAME?</definedName>
    <definedName name="_xlpm.dropZ" hidden="1" xlm="1">#NAME?</definedName>
    <definedName name="_xlpm.ds" hidden="1" xlm="1">#NAME?</definedName>
    <definedName name="_xlpm.dv" hidden="1" xlm="1">#NAME?</definedName>
    <definedName name="_xlpm.ea" hidden="1" xlm="1">#NAME?</definedName>
    <definedName name="_xlpm.eao" hidden="1" xlm="1">#NAME?</definedName>
    <definedName name="_xlpm.ec" hidden="1" xlm="1">#NAME?</definedName>
    <definedName name="_xlpm.ed" hidden="1" xlm="1">#NAME?</definedName>
    <definedName name="_xlpm.EdgeCosts" hidden="1" xlm="1">#NAME?</definedName>
    <definedName name="_xlpm.EdgesFrom" hidden="1" xlm="1">#NAME?</definedName>
    <definedName name="_xlpm.EdgesTo" hidden="1" xlm="1">#NAME?</definedName>
    <definedName name="_xlpm.em" hidden="1" xlm="1">#NAME?</definedName>
    <definedName name="_xlpm.empt" hidden="1" xlm="1">#NAME?</definedName>
    <definedName name="_xlpm.end" hidden="1" xlm="1">#NAME?</definedName>
    <definedName name="_xlpm.end_date" hidden="1" xlm="1">#NAME?</definedName>
    <definedName name="_xlpm.EndQ" hidden="1" xlm="1">#NAME?</definedName>
    <definedName name="_xlpm.EndSpace" hidden="1" xlm="1">#NAME?</definedName>
    <definedName name="_xlpm.ep" hidden="1" xlm="1">#NAME?</definedName>
    <definedName name="_xlpm.er" hidden="1" xlm="1">#NAME?</definedName>
    <definedName name="_xlpm.exactly_once" hidden="1" xlm="1">#NAME?</definedName>
    <definedName name="_xlpm.expl" hidden="1" xlm="1">#NAME?</definedName>
    <definedName name="_xlpm.extract" hidden="1" xlm="1">#NAME?</definedName>
    <definedName name="_xlpm.ExtractIdx" hidden="1" xlm="1">#NAME?</definedName>
    <definedName name="_xlpm.f" hidden="1" xlm="1">#NAME?</definedName>
    <definedName name="_xlpm.fb" hidden="1" xlm="1">#NAME?</definedName>
    <definedName name="_xlpm.fcl" hidden="1" xlm="1">#NAME?</definedName>
    <definedName name="_xlpm.fcn" hidden="1" xlm="1">#NAME?</definedName>
    <definedName name="_xlpm.fd" hidden="1" xlm="1">#NAME?</definedName>
    <definedName name="_xlpm.Fill" hidden="1" xlm="1">#NAME?</definedName>
    <definedName name="_xlpm.filter_values" hidden="1" xlm="1">#NAME?</definedName>
    <definedName name="_xlpm.fin" hidden="1" xlm="1">#NAME?</definedName>
    <definedName name="_xlpm.final" hidden="1" xlm="1">#NAME?</definedName>
    <definedName name="_xlpm.final_roll" hidden="1" xlm="1">#NAME?</definedName>
    <definedName name="_xlpm.FinalDist" hidden="1" xlm="1">#NAME?</definedName>
    <definedName name="_xlpm.FinalNode" hidden="1" xlm="1">#NAME?</definedName>
    <definedName name="_xlpm.FinalPath" hidden="1" xlm="1">#NAME?</definedName>
    <definedName name="_xlpm.find" hidden="1" xlm="1">#NAME?</definedName>
    <definedName name="_xlpm.First" hidden="1" xlm="1">#NAME?</definedName>
    <definedName name="_xlpm.first_direction" hidden="1" xlm="1">#NAME?</definedName>
    <definedName name="_xlpm.firstChar" hidden="1" xlm="1">#NAME?</definedName>
    <definedName name="_xlpm.FirstNode" hidden="1" xlm="1">#NAME?</definedName>
    <definedName name="_xlpm.fl" hidden="1" xlm="1">#NAME?</definedName>
    <definedName name="_xlpm.Flatten" hidden="1" xlm="1">#NAME?</definedName>
    <definedName name="_xlpm.flush" hidden="1" xlm="1">#NAME?</definedName>
    <definedName name="_xlpm.fm" hidden="1" xlm="1">#NAME?</definedName>
    <definedName name="_xlpm.fmask" hidden="1" xlm="1">#NAME?</definedName>
    <definedName name="_xlpm.fmt" hidden="1" xlm="1">#NAME?</definedName>
    <definedName name="_xlpm.fn" hidden="1" xlm="1">#NAME?</definedName>
    <definedName name="_xlpm.fo" hidden="1" xlm="1">#NAME?</definedName>
    <definedName name="_xlpm.fonction" hidden="1" xlm="1">#NAME?</definedName>
    <definedName name="_xlpm.fourkind" hidden="1" xlm="1">#NAME?</definedName>
    <definedName name="_xlpm.fp" hidden="1" xlm="1">#NAME?</definedName>
    <definedName name="_xlpm.fr" hidden="1" xlm="1">#NAME?</definedName>
    <definedName name="_xlpm.from" hidden="1" xlm="1">#NAME?</definedName>
    <definedName name="_xlpm.fromValue" hidden="1" xlm="1">#NAME?</definedName>
    <definedName name="_xlpm.fs" hidden="1" xlm="1">#NAME?</definedName>
    <definedName name="_xlpm.ft" hidden="1" xlm="1">#NAME?</definedName>
    <definedName name="_xlpm.fullhouse" hidden="1" xlm="1">#NAME?</definedName>
    <definedName name="_xlpm.func" hidden="1" xlm="1">#NAME?</definedName>
    <definedName name="_xlpm.function" hidden="1" xlm="1">#NAME?</definedName>
    <definedName name="_xlpm.fx" hidden="1" xlm="1">#NAME?</definedName>
    <definedName name="_xlpm.g" hidden="1" xlm="1">#NAME?</definedName>
    <definedName name="_xlpm.gb" hidden="1" xlm="1">#NAME?</definedName>
    <definedName name="_xlpm.gc" hidden="1" xlm="1">#NAME?</definedName>
    <definedName name="_xlpm.gib" hidden="1" xlm="1">#NAME?</definedName>
    <definedName name="_xlpm.gl" hidden="1" xlm="1">#NAME?</definedName>
    <definedName name="_xlpm.Glide" hidden="1" xlm="1">#NAME?</definedName>
    <definedName name="_xlpm.goal" hidden="1" xlm="1">#NAME?</definedName>
    <definedName name="_xlpm.gr" hidden="1" xlm="1">#NAME?</definedName>
    <definedName name="_xlpm.GreedyResult" hidden="1" xlm="1">#NAME?</definedName>
    <definedName name="_xlpm.GreedyRun" hidden="1" xlm="1">#NAME?</definedName>
    <definedName name="_xlpm.grid" hidden="1" xlm="1">#NAME?</definedName>
    <definedName name="_xlpm.Groups" hidden="1" xlm="1">#NAME?</definedName>
    <definedName name="_xlpm.gs" hidden="1" xlm="1">#NAME?</definedName>
    <definedName name="_xlpm.h" hidden="1" xlm="1">#NAME?</definedName>
    <definedName name="_xlpm.h_fixed" hidden="1" xlm="1">#NAME?</definedName>
    <definedName name="_xlpm.HasHeaders" hidden="1" xlm="1">#NAME?</definedName>
    <definedName name="_xlpm.headers" hidden="1" xlm="1">#NAME?</definedName>
    <definedName name="_xlpm.height" hidden="1" xlm="1">#NAME?</definedName>
    <definedName name="_xlpm.hfa" hidden="1" xlm="1">#NAME?</definedName>
    <definedName name="_xlpm.hfb" hidden="1" xlm="1">#NAME?</definedName>
    <definedName name="_xlpm.hh" hidden="1" xlm="1">#NAME?</definedName>
    <definedName name="_xlpm.hide" hidden="1" xlm="1">#NAME?</definedName>
    <definedName name="_xlpm.HideBlanks" hidden="1" xlm="1">#NAME?</definedName>
    <definedName name="_xlpm.HideZeros" hidden="1" xlm="1">#NAME?</definedName>
    <definedName name="_xlpm.horizontal" hidden="1" xlm="1">#NAME?</definedName>
    <definedName name="_xlpm.horizontal_mod" hidden="1" xlm="1">#NAME?</definedName>
    <definedName name="_xlpm.horizontal_moves" hidden="1" xlm="1">#NAME?</definedName>
    <definedName name="_xlpm.horz" hidden="1" xlm="1">#NAME?</definedName>
    <definedName name="_xlpm.Hstk" hidden="1" xlm="1">#NAME?</definedName>
    <definedName name="_xlpm.hvd" hidden="1" xlm="1">#NAME?</definedName>
    <definedName name="_xlpm.i" hidden="1" xlm="1">#NAME?</definedName>
    <definedName name="_xlpm.ib" hidden="1" xlm="1">#NAME?</definedName>
    <definedName name="_xlpm.ic" hidden="1" xlm="1">#NAME?</definedName>
    <definedName name="_xlpm.id" hidden="1" xlm="1">#NAME?</definedName>
    <definedName name="_xlpm.idx" hidden="1" xlm="1">#NAME?</definedName>
    <definedName name="_xlpm.IfNotFound" hidden="1" xlm="1">#NAME?</definedName>
    <definedName name="_xlpm.ift" hidden="1" xlm="1">#NAME?</definedName>
    <definedName name="_xlpm.im" hidden="1" xlm="1">#NAME?</definedName>
    <definedName name="_xlpm.in" hidden="1" xlm="1">#NAME?</definedName>
    <definedName name="_xlpm.inc" hidden="1" xlm="1">#NAME?</definedName>
    <definedName name="_xlpm.incells" hidden="1" xlm="1">#NAME?</definedName>
    <definedName name="_xlpm.IncFlaggedVal" hidden="1" xlm="1">#NAME?</definedName>
    <definedName name="_xlpm.include_blanks" hidden="1" xlm="1">#NAME?</definedName>
    <definedName name="_xlpm.InitialState" hidden="1" xlm="1">#NAME?</definedName>
    <definedName name="_xlpm.initialValue" hidden="1" xlm="1">#NAME?</definedName>
    <definedName name="_xlpm.Input" hidden="1" xlm="1">#NAME?</definedName>
    <definedName name="_xlpm.InputAddresses" hidden="1" xlm="1">#NAME?</definedName>
    <definedName name="_xlpm.InstanceNumber" hidden="1" xlm="1">#NAME?</definedName>
    <definedName name="_xlpm.inv" hidden="1" xlm="1">#NAME?</definedName>
    <definedName name="_xlpm.ir" hidden="1" xlm="1">#NAME?</definedName>
    <definedName name="_xlpm.IsClosed" hidden="1" xlm="1">#NAME?</definedName>
    <definedName name="_xlpm.isf" hidden="1" xlm="1">#NAME?</definedName>
    <definedName name="_xlpm.isr" hidden="1" xlm="1">#NAME?</definedName>
    <definedName name="_xlpm.Item" hidden="1" xlm="1">#NAME?</definedName>
    <definedName name="_xlpm.Items" hidden="1" xlm="1">#NAME?</definedName>
    <definedName name="_xlpm.items_arr" hidden="1" xlm="1">#NAME?</definedName>
    <definedName name="_xlpm.items_grid" hidden="1" xlm="1">#NAME?</definedName>
    <definedName name="_xlpm.ItemsToCount" hidden="1" xlm="1">#NAME?</definedName>
    <definedName name="_xlpm.iter" hidden="1" xlm="1">#NAME?</definedName>
    <definedName name="_xlpm.iterationCount" hidden="1" xlm="1">#NAME?</definedName>
    <definedName name="_xlpm.iterativeStep" hidden="1" xlm="1">#NAME?</definedName>
    <definedName name="_xlpm.iv" hidden="1" xlm="1">#NAME?</definedName>
    <definedName name="_xlpm.j" hidden="1" xlm="1">#NAME?</definedName>
    <definedName name="_xlpm.join" hidden="1" xlm="1">#NAME?</definedName>
    <definedName name="_xlpm.k" hidden="1" xlm="1">#NAME?</definedName>
    <definedName name="_xlpm.kc" hidden="1" xlm="1">#NAME?</definedName>
    <definedName name="_xlpm.keep" hidden="1" xlm="1">#NAME?</definedName>
    <definedName name="_xlpm.keepB" hidden="1" xlm="1">#NAME?</definedName>
    <definedName name="_xlpm.KeepBlanks" hidden="1" xlm="1">#NAME?</definedName>
    <definedName name="_xlpm.KeepColumns" hidden="1" xlm="1">#NAME?</definedName>
    <definedName name="_xlpm.kept" hidden="1" xlm="1">#NAME?</definedName>
    <definedName name="_xlpm.km" hidden="1" xlm="1">#NAME?</definedName>
    <definedName name="_xlpm.kn" hidden="1" xlm="1">#NAME?</definedName>
    <definedName name="_xlpm.knight" hidden="1" xlm="1">#NAME?</definedName>
    <definedName name="_xlpm.l" hidden="1" xlm="1">#NAME?</definedName>
    <definedName name="_xlpm.LastNode" hidden="1" xlm="1">#NAME?</definedName>
    <definedName name="_xlpm.lb" hidden="1" xlm="1">#NAME?</definedName>
    <definedName name="_xlpm.leave0Clip1Bounce2" hidden="1" xlm="1">#NAME?</definedName>
    <definedName name="_xlpm.Left" hidden="1" xlm="1">#NAME?</definedName>
    <definedName name="_xlpm.legend" hidden="1" xlm="1">#NAME?</definedName>
    <definedName name="_xlpm.lerc" hidden="1" xlm="1">#NAME?</definedName>
    <definedName name="_xlpm.letrc" hidden="1" xlm="1">#NAME?</definedName>
    <definedName name="_xlpm.letter" hidden="1" xlm="1">#NAME?</definedName>
    <definedName name="_xlpm.Letter_Mode" hidden="1" xlm="1">#NAME?</definedName>
    <definedName name="_xlpm.Letters" hidden="1" xlm="1">#NAME?</definedName>
    <definedName name="_xlpm.lfx" hidden="1" xlm="1">#NAME?</definedName>
    <definedName name="_xlpm.lg" hidden="1" xlm="1">#NAME?</definedName>
    <definedName name="_xlpm.LinesToFold" hidden="1" xlm="1">#NAME?</definedName>
    <definedName name="_xlpm.list" hidden="1" xlm="1">#NAME?</definedName>
    <definedName name="_xlpm.lo" hidden="1" xlm="1">#NAME?</definedName>
    <definedName name="_xlpm.lookup_array" hidden="1" xlm="1">#NAME?</definedName>
    <definedName name="_xlpm.lookup_output" hidden="1" xlm="1">#NAME?</definedName>
    <definedName name="_xlpm.lower" hidden="1" xlm="1">#NAME?</definedName>
    <definedName name="_xlpm.lr_roll" hidden="1" xlm="1">#NAME?</definedName>
    <definedName name="_xlpm.lrc" hidden="1" xlm="1">#NAME?</definedName>
    <definedName name="_xlpm.lt" hidden="1" xlm="1">#NAME?</definedName>
    <definedName name="_xlpm.lu" hidden="1" xlm="1">#NAME?</definedName>
    <definedName name="_xlpm.lut" hidden="1" xlm="1">#NAME?</definedName>
    <definedName name="_xlpm.m" hidden="1" xlm="1">#NAME?</definedName>
    <definedName name="_xlpm.mac" hidden="1" xlm="1">#NAME?</definedName>
    <definedName name="_xlpm.map" hidden="1" xlm="1">#NAME?</definedName>
    <definedName name="_xlpm.map_cell" hidden="1" xlm="1">#NAME?</definedName>
    <definedName name="_xlpm.mar" hidden="1" xlm="1">#NAME?</definedName>
    <definedName name="_xlpm.MatchMode" hidden="1" xlm="1">#NAME?</definedName>
    <definedName name="_xlpm.max" hidden="1" xlm="1">#NAME?</definedName>
    <definedName name="_xlpm.MaxDist" hidden="1" xlm="1">#NAME?</definedName>
    <definedName name="_xlpm.MaxIdx" hidden="1" xlm="1">#NAME?</definedName>
    <definedName name="_xlpm.MaximiseW" hidden="1" xlm="1">#NAME?</definedName>
    <definedName name="_xlpm.Mazelam" hidden="1" xlm="1">#NAME?</definedName>
    <definedName name="_xlpm.mb" hidden="1" xlm="1">#NAME?</definedName>
    <definedName name="_xlpm.mc" hidden="1" xlm="1">#NAME?</definedName>
    <definedName name="_xlpm.Mcls" hidden="1" xlm="1">#NAME?</definedName>
    <definedName name="_xlpm.md" hidden="1" xlm="1">#NAME?</definedName>
    <definedName name="_xlpm.mic" hidden="1" xlm="1">#NAME?</definedName>
    <definedName name="_xlpm.min" hidden="1" xlm="1">#NAME?</definedName>
    <definedName name="_xlpm.mir" hidden="1" xlm="1">#NAME?</definedName>
    <definedName name="_xlpm.mis" hidden="1" xlm="1">#NAME?</definedName>
    <definedName name="_xlpm.ml" hidden="1" xlm="1">#NAME?</definedName>
    <definedName name="_xlpm.mlt" hidden="1" xlm="1">#NAME?</definedName>
    <definedName name="_xlpm.mm" hidden="1" xlm="1">#NAME?</definedName>
    <definedName name="_xlpm.mn" hidden="1" xlm="1">#NAME?</definedName>
    <definedName name="_xlpm.mode" hidden="1" xlm="1">#NAME?</definedName>
    <definedName name="_xlpm.month_num" hidden="1" xlm="1">#NAME?</definedName>
    <definedName name="_xlpm.MoveValue" hidden="1" xlm="1">#NAME?</definedName>
    <definedName name="_xlpm.mp" hidden="1" xlm="1">#NAME?</definedName>
    <definedName name="_xlpm.mpA" hidden="1" xlm="1">#NAME?</definedName>
    <definedName name="_xlpm.mr" hidden="1" xlm="1">#NAME?</definedName>
    <definedName name="_xlpm.Mrws" hidden="1" xlm="1">#NAME?</definedName>
    <definedName name="_xlpm.ms" hidden="1" xlm="1">#NAME?</definedName>
    <definedName name="_xlpm.mt" hidden="1" xlm="1">#NAME?</definedName>
    <definedName name="_xlpm.mu" hidden="1" xlm="1">#NAME?</definedName>
    <definedName name="_xlpm.multiarray" hidden="1" xlm="1">#NAME?</definedName>
    <definedName name="_xlpm.Multiple" hidden="1" xlm="1">#NAME?</definedName>
    <definedName name="_xlpm.multiply" hidden="1" xlm="1">#NAME?</definedName>
    <definedName name="_xlpm.N" hidden="1" xlm="1">#NAME?</definedName>
    <definedName name="_xlpm.na" hidden="1" xlm="1">#NAME?</definedName>
    <definedName name="_xlpm.nad" hidden="1" xlm="1">#NAME?</definedName>
    <definedName name="_xlpm.names" hidden="1" xlm="1">#NAME?</definedName>
    <definedName name="_xlpm.nbp" hidden="1" xlm="1">#NAME?</definedName>
    <definedName name="_xlpm.nbs" hidden="1" xlm="1">#NAME?</definedName>
    <definedName name="_xlpm.nc" hidden="1" xlm="1">#NAME?</definedName>
    <definedName name="_xlpm.ncc" hidden="1" xlm="1">#NAME?</definedName>
    <definedName name="_xlpm.nd" hidden="1" xlm="1">#NAME?</definedName>
    <definedName name="_xlpm.ndn" hidden="1" xlm="1">#NAME?</definedName>
    <definedName name="_xlpm.new" hidden="1" xlm="1">#NAME?</definedName>
    <definedName name="_xlpm.newArray" hidden="1" xlm="1">#NAME?</definedName>
    <definedName name="_xlpm.newcell" hidden="1" xlm="1">#NAME?</definedName>
    <definedName name="_xlpm.NewChars" hidden="1" xlm="1">#NAME?</definedName>
    <definedName name="_xlpm.NewText" hidden="1" xlm="1">#NAME?</definedName>
    <definedName name="_xlpm.nextarrow" hidden="1" xlm="1">#NAME?</definedName>
    <definedName name="_xlpm.nextdigit" hidden="1" xlm="1">#NAME?</definedName>
    <definedName name="_xlpm.NextDist" hidden="1" xlm="1">#NAME?</definedName>
    <definedName name="_xlpm.NextNode" hidden="1" xlm="1">#NAME?</definedName>
    <definedName name="_xlpm.nextpluscarry" hidden="1" xlm="1">#NAME?</definedName>
    <definedName name="_xlpm.nf" hidden="1" xlm="1">#NAME?</definedName>
    <definedName name="_xlpm.nft" hidden="1" xlm="1">#NAME?</definedName>
    <definedName name="_xlpm.nl" hidden="1" xlm="1">#NAME?</definedName>
    <definedName name="_xlpm.nm" hidden="1" xlm="1">#NAME?</definedName>
    <definedName name="_xlpm.nn" hidden="1" xlm="1">#NAME?</definedName>
    <definedName name="_xlpm.no" hidden="1" xlm="1">#NAME?</definedName>
    <definedName name="_xlpm.No_Diag" hidden="1" xlm="1">#NAME?</definedName>
    <definedName name="_xlpm.No_Overlap" hidden="1" xlm="1">#NAME?</definedName>
    <definedName name="_xlpm.NodeSeq" hidden="1" xlm="1">#NAME?</definedName>
    <definedName name="_xlpm.NoTimes" hidden="1" xlm="1">#NAME?</definedName>
    <definedName name="_xlpm.Nouns" hidden="1" xlm="1">#NAME?</definedName>
    <definedName name="_xlpm.NoWrapAround" hidden="1" xlm="1">#NAME?</definedName>
    <definedName name="_xlpm.np" hidden="1" xlm="1">#NAME?</definedName>
    <definedName name="_xlpm.npool" hidden="1" xlm="1">#NAME?</definedName>
    <definedName name="_xlpm.npt" hidden="1" xlm="1">#NAME?</definedName>
    <definedName name="_xlpm.nr" hidden="1" xlm="1">#NAME?</definedName>
    <definedName name="_xlpm.ns" hidden="1" xlm="1">#NAME?</definedName>
    <definedName name="_xlpm.nsd" hidden="1" xlm="1">#NAME?</definedName>
    <definedName name="_xlpm.nt" hidden="1" xlm="1">#NAME?</definedName>
    <definedName name="_xlpm.nu" hidden="1" xlm="1">#NAME?</definedName>
    <definedName name="_xlpm.number" hidden="1" xlm="1">#NAME?</definedName>
    <definedName name="_xlpm.NumList" hidden="1" xlm="1">#NAME?</definedName>
    <definedName name="_xlpm.nums" hidden="1" xlm="1">#NAME?</definedName>
    <definedName name="_xlpm.nums1" hidden="1" xlm="1">#NAME?</definedName>
    <definedName name="_xlpm.nums1split" hidden="1" xlm="1">#NAME?</definedName>
    <definedName name="_xlpm.nums2" hidden="1" xlm="1">#NAME?</definedName>
    <definedName name="_xlpm.nums2split" hidden="1" xlm="1">#NAME?</definedName>
    <definedName name="_xlpm.nv" hidden="1" xlm="1">#NAME?</definedName>
    <definedName name="_xlpm.nw" hidden="1" xlm="1">#NAME?</definedName>
    <definedName name="_xlpm.o" hidden="1" xlm="1">#NAME?</definedName>
    <definedName name="_xlpm.oa" hidden="1" xlm="1">#NAME?</definedName>
    <definedName name="_xlpm.oad" hidden="1" xlm="1">#NAME?</definedName>
    <definedName name="_xlpm.ob" hidden="1" xlm="1">#NAME?</definedName>
    <definedName name="_xlpm.oc" hidden="1" xlm="1">#NAME?</definedName>
    <definedName name="_xlpm.OccOf" hidden="1" xlm="1">#NAME?</definedName>
    <definedName name="_xlpm.of" hidden="1" xlm="1">#NAME?</definedName>
    <definedName name="_xlpm.ok" hidden="1" xlm="1">#NAME?</definedName>
    <definedName name="_xlpm.OldText" hidden="1" xlm="1">#NAME?</definedName>
    <definedName name="_xlpm.om" hidden="1" xlm="1">#NAME?</definedName>
    <definedName name="_xlpm.omitblanks" hidden="1" xlm="1">#NAME?</definedName>
    <definedName name="_xlpm.on" hidden="1" xlm="1">#NAME?</definedName>
    <definedName name="_xlpm.oo" hidden="1" xlm="1">#NAME?</definedName>
    <definedName name="_xlpm.OOB" hidden="1" xlm="1">#NAME?</definedName>
    <definedName name="_xlpm.ordered" hidden="1" xlm="1">#NAME?</definedName>
    <definedName name="_xlpm.ori" hidden="1" xlm="1">#NAME?</definedName>
    <definedName name="_xlpm.OriginDestinationTable" hidden="1" xlm="1">#NAME?</definedName>
    <definedName name="_xlpm.ot" hidden="1" xlm="1">#NAME?</definedName>
    <definedName name="_xlpm.out" hidden="1" xlm="1">#NAME?</definedName>
    <definedName name="_xlpm.output" hidden="1" xlm="1">#NAME?</definedName>
    <definedName name="_xlpm.Outward" hidden="1" xlm="1">#NAME?</definedName>
    <definedName name="_xlpm.Overlap" hidden="1" xlm="1">#NAME?</definedName>
    <definedName name="_xlpm.Overlay_Array" hidden="1" xlm="1">#NAME?</definedName>
    <definedName name="_xlpm.p" hidden="1" xlm="1">#NAME?</definedName>
    <definedName name="_xlpm.P0C1" hidden="1" xlm="1">#NAME?</definedName>
    <definedName name="_xlpm.pa" hidden="1" xlm="1">#NAME?</definedName>
    <definedName name="_xlpm.pad_with" hidden="1" xlm="1">#NAME?</definedName>
    <definedName name="_xlpm.pair" hidden="1" xlm="1">#NAME?</definedName>
    <definedName name="_xlpm.parity" hidden="1" xlm="1">#NAME?</definedName>
    <definedName name="_xlpm.PassthroughChars" hidden="1" xlm="1">#NAME?</definedName>
    <definedName name="_xlpm.Path" hidden="1" xlm="1">#NAME?</definedName>
    <definedName name="_xlpm.PathArr" hidden="1" xlm="1">#NAME?</definedName>
    <definedName name="_xlpm.PathString" hidden="1" xlm="1">#NAME?</definedName>
    <definedName name="_xlpm.pc" hidden="1" xlm="1">#NAME?</definedName>
    <definedName name="_xlpm.pd" hidden="1" xlm="1">#NAME?</definedName>
    <definedName name="_xlpm.period_start_date" hidden="1" xlm="1">#NAME?</definedName>
    <definedName name="_xlpm.periods" hidden="1" xlm="1">#NAME?</definedName>
    <definedName name="_xlpm.pick" hidden="1" xlm="1">#NAME?</definedName>
    <definedName name="_xlpm.pl" hidden="1" xlm="1">#NAME?</definedName>
    <definedName name="_xlpm.pm" hidden="1" xlm="1">#NAME?</definedName>
    <definedName name="_xlpm.pn" hidden="1" xlm="1">#NAME?</definedName>
    <definedName name="_xlpm.pokercards" hidden="1" xlm="1">#NAME?</definedName>
    <definedName name="_xlpm.pool" hidden="1" xlm="1">#NAME?</definedName>
    <definedName name="_xlpm.Pos" hidden="1" xlm="1">#NAME?</definedName>
    <definedName name="_xlpm.pr" hidden="1" xlm="1">#NAME?</definedName>
    <definedName name="_xlpm.prioarrows" hidden="1" xlm="1">#NAME?</definedName>
    <definedName name="_xlpm.Projections" hidden="1" xlm="1">#NAME?</definedName>
    <definedName name="_xlpm.pt" hidden="1" xlm="1">#NAME?</definedName>
    <definedName name="_xlpm.pth" hidden="1" xlm="1">#NAME?</definedName>
    <definedName name="_xlpm.pv" hidden="1" xlm="1">#NAME?</definedName>
    <definedName name="_xlpm.py" hidden="1" xlm="1">#NAME?</definedName>
    <definedName name="_xlpm.pythag" hidden="1" xlm="1">#NAME?</definedName>
    <definedName name="_xlpm.q" hidden="1" xlm="1">#NAME?</definedName>
    <definedName name="_xlpm.QNumbersOnly" hidden="1" xlm="1">#NAME?</definedName>
    <definedName name="_xlpm.questions" hidden="1" xlm="1">#NAME?</definedName>
    <definedName name="_xlpm.r" hidden="1" xlm="1">#NAME?</definedName>
    <definedName name="_xlpm.r0" hidden="1" xlm="1">#NAME?</definedName>
    <definedName name="_xlpm.ra" hidden="1" xlm="1">#NAME?</definedName>
    <definedName name="_xlpm.Range" hidden="1" xlm="1">#NAME?</definedName>
    <definedName name="_xlpm.rate" hidden="1" xlm="1">#NAME?</definedName>
    <definedName name="_xlpm.RB" hidden="1" xlm="1">#NAME?</definedName>
    <definedName name="_xlpm.rblc" hidden="1" xlm="1">#NAME?</definedName>
    <definedName name="_xlpm.RC" hidden="1" xlm="1">#NAME?</definedName>
    <definedName name="_xlpm.RCaa_CRaa_RCad_CRad_RCda_CRda_RCdd_CRdd" hidden="1" xlm="1">#NAME?</definedName>
    <definedName name="_xlpm.rcd" hidden="1" xlm="1">#NAME?</definedName>
    <definedName name="_xlpm.RCInc" hidden="1" xlm="1">#NAME?</definedName>
    <definedName name="_xlpm.rcn" hidden="1" xlm="1">#NAME?</definedName>
    <definedName name="_xlpm.rcnum" hidden="1" xlm="1">#NAME?</definedName>
    <definedName name="_xlpm.rcout" hidden="1" xlm="1">#NAME?</definedName>
    <definedName name="_xlpm.RCRef" hidden="1" xlm="1">#NAME?</definedName>
    <definedName name="_xlpm.rcs" hidden="1" xlm="1">#NAME?</definedName>
    <definedName name="_xlpm.rcst" hidden="1" xlm="1">#NAME?</definedName>
    <definedName name="_xlpm.rcurr" hidden="1" xlm="1">#NAME?</definedName>
    <definedName name="_xlpm.rd" hidden="1" xlm="1">#NAME?</definedName>
    <definedName name="_xlpm.rdist" hidden="1" xlm="1">#NAME?</definedName>
    <definedName name="_xlpm.re" hidden="1" xlm="1">#NAME?</definedName>
    <definedName name="_xlpm.Rec" hidden="1" xlm="1">#NAME?</definedName>
    <definedName name="_xlpm.Ref" hidden="1" xlm="1">#NAME?</definedName>
    <definedName name="_xlpm.ReferenceMap" hidden="1" xlm="1">#NAME?</definedName>
    <definedName name="_xlpm.RefMap" hidden="1" xlm="1">#NAME?</definedName>
    <definedName name="_xlpm.Regexmode" hidden="1" xlm="1">#NAME?</definedName>
    <definedName name="_xlpm.remainder" hidden="1" xlm="1">#NAME?</definedName>
    <definedName name="_xlpm.RemoveBlanks" hidden="1" xlm="1">#NAME?</definedName>
    <definedName name="_xlpm.RemoveOrder" hidden="1" xlm="1">#NAME?</definedName>
    <definedName name="_xlpm.remp" hidden="1" xlm="1">#NAME?</definedName>
    <definedName name="_xlpm.rend" hidden="1" xlm="1">#NAME?</definedName>
    <definedName name="_xlpm.rep" hidden="1" xlm="1">#NAME?</definedName>
    <definedName name="_xlpm.replace" hidden="1" xlm="1">#NAME?</definedName>
    <definedName name="_xlpm.res" hidden="1" xlm="1">#NAME?</definedName>
    <definedName name="_xlpm.ResetFlags" hidden="1" xlm="1">#NAME?</definedName>
    <definedName name="_xlpm.ResetTo" hidden="1" xlm="1">#NAME?</definedName>
    <definedName name="_xlpm.result" hidden="1" xlm="1">#NAME?</definedName>
    <definedName name="_xlpm.resultArray" hidden="1" xlm="1">#NAME?</definedName>
    <definedName name="_xlpm.Return" hidden="1" xlm="1">#NAME?</definedName>
    <definedName name="_xlpm.return_array" hidden="1" xlm="1">#NAME?</definedName>
    <definedName name="_xlpm.return_type" hidden="1" xlm="1">#NAME?</definedName>
    <definedName name="_xlpm.ReturnToStart" hidden="1" xlm="1">#NAME?</definedName>
    <definedName name="_xlpm.rev" hidden="1" xlm="1">#NAME?</definedName>
    <definedName name="_xlpm.RF" hidden="1" xlm="1">#NAME?</definedName>
    <definedName name="_xlpm.ri" hidden="1" xlm="1">#NAME?</definedName>
    <definedName name="_xlpm.Right" hidden="1" xlm="1">#NAME?</definedName>
    <definedName name="_xlpm.rl" hidden="1" xlm="1">#NAME?</definedName>
    <definedName name="_xlpm.rlab" hidden="1" xlm="1">#NAME?</definedName>
    <definedName name="_xlpm.RLU" hidden="1" xlm="1">#NAME?</definedName>
    <definedName name="_xlpm.rm" hidden="1" xlm="1">#NAME?</definedName>
    <definedName name="_xlpm.rmp" hidden="1" xlm="1">#NAME?</definedName>
    <definedName name="_xlpm.rn" hidden="1" xlm="1">#NAME?</definedName>
    <definedName name="_xlpm.rng" hidden="1" xlm="1">#NAME?</definedName>
    <definedName name="_xlpm.ro" hidden="1" xlm="1">#NAME?</definedName>
    <definedName name="_xlpm.Rotation" hidden="1" xlm="1">#NAME?</definedName>
    <definedName name="_xlpm.row" hidden="1" xlm="1">#NAME?</definedName>
    <definedName name="_xlpm.RowArray" hidden="1" xlm="1">#NAME?</definedName>
    <definedName name="_xlpm.RowCnt" hidden="1" xlm="1">#NAME?</definedName>
    <definedName name="_xlpm.RowCol" hidden="1" xlm="1">#NAME?</definedName>
    <definedName name="_xlpm.rowIndex" hidden="1" xlm="1">#NAME?</definedName>
    <definedName name="_xlpm.rowIndex1" hidden="1" xlm="1">#NAME?</definedName>
    <definedName name="_xlpm.rowIndex2" hidden="1" xlm="1">#NAME?</definedName>
    <definedName name="_xlpm.Rowitem" hidden="1" xlm="1">#NAME?</definedName>
    <definedName name="_xlpm.rowLen" hidden="1" xlm="1">#NAME?</definedName>
    <definedName name="_xlpm.RowMax" hidden="1" xlm="1">#NAME?</definedName>
    <definedName name="_xlpm.RowMin" hidden="1" xlm="1">#NAME?</definedName>
    <definedName name="_xlpm.RowOff" hidden="1" xlm="1">#NAME?</definedName>
    <definedName name="_xlpm.rows" hidden="1" xlm="1">#NAME?</definedName>
    <definedName name="_xlpm.RowShift" hidden="1" xlm="1">#NAME?</definedName>
    <definedName name="_xlpm.RowSize" hidden="1" xlm="1">#NAME?</definedName>
    <definedName name="_xlpm.royalflush" hidden="1" xlm="1">#NAME?</definedName>
    <definedName name="_xlpm.rp" hidden="1" xlm="1">#NAME?</definedName>
    <definedName name="_xlpm.rr" hidden="1" xlm="1">#NAME?</definedName>
    <definedName name="_xlpm.rs" hidden="1" xlm="1">#NAME?</definedName>
    <definedName name="_xlpm.rst" hidden="1" xlm="1">#NAME?</definedName>
    <definedName name="_xlpm.rt" hidden="1" xlm="1">#NAME?</definedName>
    <definedName name="_xlpm.runs" hidden="1" xlm="1">#NAME?</definedName>
    <definedName name="_xlpm.rw" hidden="1" xlm="1">#NAME?</definedName>
    <definedName name="_xlpm.rws" hidden="1" xlm="1">#NAME?</definedName>
    <definedName name="_xlpm.rx" hidden="1" xlm="1">#NAME?</definedName>
    <definedName name="_xlpm.s" hidden="1" xlm="1">#NAME?</definedName>
    <definedName name="_xlpm.sa" hidden="1" xlm="1">#NAME?</definedName>
    <definedName name="_xlpm.same" hidden="1" xlm="1">#NAME?</definedName>
    <definedName name="_xlpm.sb" hidden="1" xlm="1">#NAME?</definedName>
    <definedName name="_xlpm.sbt" hidden="1" xlm="1">#NAME?</definedName>
    <definedName name="_xlpm.sc" hidden="1" xlm="1">#NAME?</definedName>
    <definedName name="_xlpm.scan_by_column" hidden="1" xlm="1">#NAME?</definedName>
    <definedName name="_xlpm.search" hidden="1" xlm="1">#NAME?</definedName>
    <definedName name="_xlpm.SearchMode" hidden="1" xlm="1">#NAME?</definedName>
    <definedName name="_xlpm.Sets" hidden="1" xlm="1">#NAME?</definedName>
    <definedName name="_xlpm.sf" hidden="1" xlm="1">#NAME?</definedName>
    <definedName name="_xlpm.sfa" hidden="1" xlm="1">#NAME?</definedName>
    <definedName name="_xlpm.sfb" hidden="1" xlm="1">#NAME?</definedName>
    <definedName name="_xlpm.sh" hidden="1" xlm="1">#NAME?</definedName>
    <definedName name="_xlpm.sheet" hidden="1" xlm="1">#NAME?</definedName>
    <definedName name="_xlpm.sheet1" hidden="1" xlm="1">#NAME?</definedName>
    <definedName name="_xlpm.sheet2" hidden="1" xlm="1">#NAME?</definedName>
    <definedName name="_xlpm.sheet3" hidden="1" xlm="1">#NAME?</definedName>
    <definedName name="_xlpm.sheet4" hidden="1" xlm="1">#NAME?</definedName>
    <definedName name="_xlpm.sheet5" hidden="1" xlm="1">#NAME?</definedName>
    <definedName name="_xlpm.sheetname" hidden="1" xlm="1">#NAME?</definedName>
    <definedName name="_xlpm.Shft" hidden="1" xlm="1">#NAME?</definedName>
    <definedName name="_xlpm.shift" hidden="1" xlm="1">#NAME?</definedName>
    <definedName name="_xlpm.Show_on_map" hidden="1" xlm="1">#NAME?</definedName>
    <definedName name="_xlpm.Show_Steps" hidden="1" xlm="1">#NAME?</definedName>
    <definedName name="_xlpm.ShowAll_0" hidden="1" xlm="1">#NAME?</definedName>
    <definedName name="_xlpm.ShowBlanks" hidden="1" xlm="1">#NAME?</definedName>
    <definedName name="_xlpm.ShowDir" hidden="1" xlm="1">#NAME?</definedName>
    <definedName name="_xlpm.ShowHV" hidden="1" xlm="1">#NAME?</definedName>
    <definedName name="_xlpm.ShowPath" hidden="1" xlm="1">#NAME?</definedName>
    <definedName name="_xlpm.ShowRoute" hidden="1" xlm="1">#NAME?</definedName>
    <definedName name="_xlpm.si" hidden="1" xlm="1">#NAME?</definedName>
    <definedName name="_xlpm.skip" hidden="1" xlm="1">#NAME?</definedName>
    <definedName name="_xlpm.skip_blanks_zeros" hidden="1" xlm="1">#NAME?</definedName>
    <definedName name="_xlpm.sl" hidden="1" xlm="1">#NAME?</definedName>
    <definedName name="_xlpm.sm" hidden="1" xlm="1">#NAME?</definedName>
    <definedName name="_xlpm.Smallest" hidden="1" xlm="1">#NAME?</definedName>
    <definedName name="_xlpm.sn" hidden="1" xlm="1">#NAME?</definedName>
    <definedName name="_xlpm.SortedData" hidden="1" xlm="1">#NAME?</definedName>
    <definedName name="_xlpm.source" hidden="1" xlm="1">#NAME?</definedName>
    <definedName name="_xlpm.sp" hidden="1" xlm="1">#NAME?</definedName>
    <definedName name="_xlpm.spl" hidden="1" xlm="1">#NAME?</definedName>
    <definedName name="_xlpm.spli" hidden="1" xlm="1">#NAME?</definedName>
    <definedName name="_xlpm.SplicedPath" hidden="1" xlm="1">#NAME?</definedName>
    <definedName name="_xlpm.split" hidden="1" xlm="1">#NAME?</definedName>
    <definedName name="_xlpm.splits" hidden="1" xlm="1">#NAME?</definedName>
    <definedName name="_xlpm.splitst" hidden="1" xlm="1">#NAME?</definedName>
    <definedName name="_xlpm.splitstr" hidden="1" xlm="1">#NAME?</definedName>
    <definedName name="_xlpm.splitstri" hidden="1" xlm="1">#NAME?</definedName>
    <definedName name="_xlpm.splitstrin" hidden="1" xlm="1">#NAME?</definedName>
    <definedName name="_xlpm.splitstring" hidden="1" xlm="1">#NAME?</definedName>
    <definedName name="_xlpm.sq" hidden="1" xlm="1">#NAME?</definedName>
    <definedName name="_xlpm.sr" hidden="1" xlm="1">#NAME?</definedName>
    <definedName name="_xlpm.sRC" hidden="1" xlm="1">#NAME?</definedName>
    <definedName name="_xlpm.Srt" hidden="1" xlm="1">#NAME?</definedName>
    <definedName name="_xlpm.st" hidden="1" xlm="1">#NAME?</definedName>
    <definedName name="_xlpm.start" hidden="1" xlm="1">#NAME?</definedName>
    <definedName name="_xlpm.start_date" hidden="1" xlm="1">#NAME?</definedName>
    <definedName name="_xlpm.startcol" hidden="1" xlm="1">#NAME?</definedName>
    <definedName name="_xlpm.starting_cell" hidden="1" xlm="1">#NAME?</definedName>
    <definedName name="_xlpm.StartNodeNumber" hidden="1" xlm="1">#NAME?</definedName>
    <definedName name="_xlpm.StartQ" hidden="1" xlm="1">#NAME?</definedName>
    <definedName name="_xlpm.StartRorC" hidden="1" xlm="1">#NAME?</definedName>
    <definedName name="_xlpm.startrow" hidden="1" xlm="1">#NAME?</definedName>
    <definedName name="_xlpm.Starts" hidden="1" xlm="1">#NAME?</definedName>
    <definedName name="_xlpm.StartWeights" hidden="1" xlm="1">#NAME?</definedName>
    <definedName name="_xlpm.State" hidden="1" xlm="1">#NAME?</definedName>
    <definedName name="_xlpm.step" hidden="1" xlm="1">#NAME?</definedName>
    <definedName name="_xlpm.StepLimit" hidden="1" xlm="1">#NAME?</definedName>
    <definedName name="_xlpm.Steps" hidden="1" xlm="1">#NAME?</definedName>
    <definedName name="_xlpm.Stop" hidden="1" xlm="1">#NAME?</definedName>
    <definedName name="_xlpm.StopAt" hidden="1" xlm="1">#NAME?</definedName>
    <definedName name="_xlpm.stopCondition" hidden="1" xlm="1">#NAME?</definedName>
    <definedName name="_xlpm.str" hidden="1" xlm="1">#NAME?</definedName>
    <definedName name="_xlpm.straight" hidden="1" xlm="1">#NAME?</definedName>
    <definedName name="_xlpm.StraightFlush" hidden="1" xlm="1">#NAME?</definedName>
    <definedName name="_xlpm.stri" hidden="1" xlm="1">#NAME?</definedName>
    <definedName name="_xlpm.strin" hidden="1" xlm="1">#NAME?</definedName>
    <definedName name="_xlpm.string" hidden="1" xlm="1">#NAME?</definedName>
    <definedName name="_xlpm.string1" hidden="1" xlm="1">#NAME?</definedName>
    <definedName name="_xlpm.string2" hidden="1" xlm="1">#NAME?</definedName>
    <definedName name="_xlpm.stringLength" hidden="1" xlm="1">#NAME?</definedName>
    <definedName name="_xlpm.sts" hidden="1" xlm="1">#NAME?</definedName>
    <definedName name="_xlpm.substring" hidden="1" xlm="1">#NAME?</definedName>
    <definedName name="_xlpm.subtract" hidden="1" xlm="1">#NAME?</definedName>
    <definedName name="_xlpm.subtraction" hidden="1" xlm="1">#NAME?</definedName>
    <definedName name="_xlpm.suits" hidden="1" xlm="1">#NAME?</definedName>
    <definedName name="_xlpm.Suitspresent" hidden="1" xlm="1">#NAME?</definedName>
    <definedName name="_xlpm.sw" hidden="1" xlm="1">#NAME?</definedName>
    <definedName name="_xlpm.SwapEvery" hidden="1" xlm="1">#NAME?</definedName>
    <definedName name="_xlpm.SweepCount" hidden="1" xlm="1">#NAME?</definedName>
    <definedName name="_xlpm.sym" hidden="1" xlm="1">#NAME?</definedName>
    <definedName name="_xlpm.t" hidden="1" xlm="1">#NAME?</definedName>
    <definedName name="_xlpm.ta" hidden="1" xlm="1">#NAME?</definedName>
    <definedName name="_xlpm.tab" hidden="1" xlm="1">#NAME?</definedName>
    <definedName name="_xlpm.tabl" hidden="1" xlm="1">#NAME?</definedName>
    <definedName name="_xlpm.table" hidden="1" xlm="1">#NAME?</definedName>
    <definedName name="_xlpm.table_arrows" hidden="1" xlm="1">#NAME?</definedName>
    <definedName name="_xlpm.target" hidden="1" xlm="1">#NAME?</definedName>
    <definedName name="_xlpm.TargetNode" hidden="1" xlm="1">#NAME?</definedName>
    <definedName name="_xlpm.targets" hidden="1" xlm="1">#NAME?</definedName>
    <definedName name="_xlpm.tb" hidden="1" xlm="1">#NAME?</definedName>
    <definedName name="_xlpm.tbl" hidden="1" xlm="1">#NAME?</definedName>
    <definedName name="_xlpm.td" hidden="1" xlm="1">#NAME?</definedName>
    <definedName name="_xlpm.test" hidden="1" xlm="1">#NAME?</definedName>
    <definedName name="_xlpm.TestDist" hidden="1" xlm="1">#NAME?</definedName>
    <definedName name="_xlpm.TestFrom" hidden="1" xlm="1">#NAME?</definedName>
    <definedName name="_xlpm.TestPathArr" hidden="1" xlm="1">#NAME?</definedName>
    <definedName name="_xlpm.TestString" hidden="1" xlm="1">#NAME?</definedName>
    <definedName name="_xlpm.TestTo" hidden="1" xlm="1">#NAME?</definedName>
    <definedName name="_xlpm.text" hidden="1" xlm="1">#NAME?</definedName>
    <definedName name="_xlpm.TextLengthNoSpaces" hidden="1" xlm="1">#NAME?</definedName>
    <definedName name="_xlpm.TextOrArray" hidden="1" xlm="1">#NAME?</definedName>
    <definedName name="_xlpm.TextToRemove" hidden="1" xlm="1">#NAME?</definedName>
    <definedName name="_xlpm.threekind" hidden="1" xlm="1">#NAME?</definedName>
    <definedName name="_xlpm.TieKey" hidden="1" xlm="1">#NAME?</definedName>
    <definedName name="_xlpm.TieOrder" hidden="1" xlm="1">#NAME?</definedName>
    <definedName name="_xlpm.Tiles" hidden="1" xlm="1">#NAME?</definedName>
    <definedName name="_xlpm.tl" hidden="1" xlm="1">#NAME?</definedName>
    <definedName name="_xlpm.tn" hidden="1" xlm="1">#NAME?</definedName>
    <definedName name="_xlpm.to" hidden="1" xlm="1">#NAME?</definedName>
    <definedName name="_xlpm.ToFind" hidden="1" xlm="1">#NAME?</definedName>
    <definedName name="_xlpm.tok" hidden="1" xlm="1">#NAME?</definedName>
    <definedName name="_xlpm.top" hidden="1" xlm="1">#NAME?</definedName>
    <definedName name="_xlpm.TopLeft" hidden="1" xlm="1">#NAME?</definedName>
    <definedName name="_xlpm.tord" hidden="1" xlm="1">#NAME?</definedName>
    <definedName name="_xlpm.TotalDistance" hidden="1" xlm="1">#NAME?</definedName>
    <definedName name="_xlpm.TotalNodes" hidden="1" xlm="1">#NAME?</definedName>
    <definedName name="_xlpm.toValue" hidden="1" xlm="1">#NAME?</definedName>
    <definedName name="_xlpm.trg" hidden="1" xlm="1">#NAME?</definedName>
    <definedName name="_xlpm.Trimmedtext" hidden="1" xlm="1">#NAME?</definedName>
    <definedName name="_xlpm.TrimmedtextLength" hidden="1" xlm="1">#NAME?</definedName>
    <definedName name="_xlpm.ts" hidden="1" xlm="1">#NAME?</definedName>
    <definedName name="_xlpm.twopair" hidden="1" xlm="1">#NAME?</definedName>
    <definedName name="_xlpm.type" hidden="1" xlm="1">#NAME?</definedName>
    <definedName name="_xlpm.u" hidden="1" xlm="1">#NAME?</definedName>
    <definedName name="_xlpm.uc" hidden="1" xlm="1">#NAME?</definedName>
    <definedName name="_xlpm.um" hidden="1" xlm="1">#NAME?</definedName>
    <definedName name="_xlpm.unit" hidden="1" xlm="1">#NAME?</definedName>
    <definedName name="_xlpm.UnpivotColumns" hidden="1" xlm="1">#NAME?</definedName>
    <definedName name="_xlpm.up" hidden="1" xlm="1">#NAME?</definedName>
    <definedName name="_xlpm.UpdatedDataSource" hidden="1" xlm="1">#NAME?</definedName>
    <definedName name="_xlpm.Upp" hidden="1" xlm="1">#NAME?</definedName>
    <definedName name="_xlpm.upper" hidden="1" xlm="1">#NAME?</definedName>
    <definedName name="_xlpm.useletters" hidden="1" xlm="1">#NAME?</definedName>
    <definedName name="_xlpm.v" hidden="1" xlm="1">#NAME?</definedName>
    <definedName name="_xlpm.v_fixed" hidden="1" xlm="1">#NAME?</definedName>
    <definedName name="_xlpm.va" hidden="1" xlm="1">#NAME?</definedName>
    <definedName name="_xlpm.val" hidden="1" xlm="1">#NAME?</definedName>
    <definedName name="_xlpm.val_1" hidden="1" xlm="1">#NAME?</definedName>
    <definedName name="_xlpm.val_2" hidden="1" xlm="1">#NAME?</definedName>
    <definedName name="_xlpm.val_3" hidden="1" xlm="1">#NAME?</definedName>
    <definedName name="_xlpm.valid" hidden="1" xlm="1">#NAME?</definedName>
    <definedName name="_xlpm.vals" hidden="1" xlm="1">#NAME?</definedName>
    <definedName name="_xlpm.value" hidden="1" xlm="1">#NAME?</definedName>
    <definedName name="_xlpm.value_if_blank" hidden="1" xlm="1">#NAME?</definedName>
    <definedName name="_xlpm.value_if_omitted" hidden="1" xlm="1">#NAME?</definedName>
    <definedName name="_xlpm.value1" hidden="1" xlm="1">#NAME?</definedName>
    <definedName name="_xlpm.value2" hidden="1" xlm="1">#NAME?</definedName>
    <definedName name="_xlpm.value3" hidden="1" xlm="1">#NAME?</definedName>
    <definedName name="_xlpm.value4" hidden="1" xlm="1">#NAME?</definedName>
    <definedName name="_xlpm.value5" hidden="1" xlm="1">#NAME?</definedName>
    <definedName name="_xlpm.values" hidden="1" xlm="1">#NAME?</definedName>
    <definedName name="_xlpm.vc" hidden="1" xlm="1">#NAME?</definedName>
    <definedName name="_xlpm.vertical" hidden="1" xlm="1">#NAME?</definedName>
    <definedName name="_xlpm.vertical_mod" hidden="1" xlm="1">#NAME?</definedName>
    <definedName name="_xlpm.vertical_moves" hidden="1" xlm="1">#NAME?</definedName>
    <definedName name="_xlpm.vi" hidden="1" xlm="1">#NAME?</definedName>
    <definedName name="_xlpm.VisitedArray" hidden="1" xlm="1">#NAME?</definedName>
    <definedName name="_xlpm.vl" hidden="1" xlm="1">#NAME?</definedName>
    <definedName name="_xlpm.vo" hidden="1" xlm="1">#NAME?</definedName>
    <definedName name="_xlpm.Vowels" hidden="1" xlm="1">#NAME?</definedName>
    <definedName name="_xlpm.vp" hidden="1" xlm="1">#NAME?</definedName>
    <definedName name="_xlpm.vr" hidden="1" xlm="1">#NAME?</definedName>
    <definedName name="_xlpm.vs" hidden="1" xlm="1">#NAME?</definedName>
    <definedName name="_xlpm.w" hidden="1" xlm="1">#NAME?</definedName>
    <definedName name="_xlpm.wa" hidden="1" xlm="1">#NAME?</definedName>
    <definedName name="_xlpm.Weights" hidden="1" xlm="1">#NAME?</definedName>
    <definedName name="_xlpm.WhiteSpaceSubstitution" hidden="1" xlm="1">#NAME?</definedName>
    <definedName name="_xlpm.width" hidden="1" xlm="1">#NAME?</definedName>
    <definedName name="_xlpm.With_Decimals" hidden="1" xlm="1">#NAME?</definedName>
    <definedName name="_xlpm.wl" hidden="1" xlm="1">#NAME?</definedName>
    <definedName name="_xlpm.Word_to_Make" hidden="1" xlm="1">#NAME?</definedName>
    <definedName name="_xlpm.WordArray" hidden="1" xlm="1">#NAME?</definedName>
    <definedName name="_xlpm.words" hidden="1" xlm="1">#NAME?</definedName>
    <definedName name="_xlpm.words_within_words" hidden="1" xlm="1">#NAME?</definedName>
    <definedName name="_xlpm.wR" hidden="1" xlm="1">#NAME?</definedName>
    <definedName name="_xlpm.Wrap" hidden="1" xlm="1">#NAME?</definedName>
    <definedName name="_xlpm.WrapAround" hidden="1" xlm="1">#NAME?</definedName>
    <definedName name="_xlpm.WrapAroundRuns" hidden="1" xlm="1">#NAME?</definedName>
    <definedName name="_xlpm.wRC" hidden="1" xlm="1">#NAME?</definedName>
    <definedName name="_xlpm.x" hidden="1" xlm="1">#NAME?</definedName>
    <definedName name="_xlpm.xc" hidden="1" xlm="1">#NAME?</definedName>
    <definedName name="_xlpm.xmove" hidden="1" xlm="1">#NAME?</definedName>
    <definedName name="_xlpm.xmoveunit" hidden="1" xlm="1">#NAME?</definedName>
    <definedName name="_xlpm.xr" hidden="1" xlm="1">#NAME?</definedName>
    <definedName name="_xlpm.xRC" hidden="1" xlm="1">#NAME?</definedName>
    <definedName name="_xlpm.y" hidden="1" xlm="1">#NAME?</definedName>
    <definedName name="_xlpm.ymove" hidden="1" xlm="1">#NAME?</definedName>
    <definedName name="_xlpm.ymoveunit" hidden="1" xlm="1">#NAME?</definedName>
    <definedName name="_xlpm.z" hidden="1" xlm="1">#NAME?</definedName>
    <definedName name="Addresses_byDiarmuidEarly" comment="Returns the cell address of a range">_xlfn.LAMBDA(_xlpm.array,ADDRESS(ROW(_xlpm.array),COLUMN(_xlpm.array),4))</definedName>
    <definedName name="Alphabet_byHadynWiseman">_xlfn.LAMBDA(CHAR(_xlfn.SEQUENCE(26,,65)))</definedName>
    <definedName name="ArrayShift_byHadynWiseman" comment="Hadyn Wiseman. SIGNATURE FIXED 2026-09-22: the optionals were unbracketed, so all five parameters were required and a four-argument call returned #VALUE!. Fold_byHadynWiseman calls it with four, which is why the unsuffixed ArrayShift twin had to survive. ">_xlfn.LAMBDA(_xlpm.Array,_xlop.RowShift,_xlop.ColumnShift,_xlop.Fill,_xlop.WrapAround,_xlfn.LET(_xlpm.fl,IF(_xlfn.ISOMITTED(_xlpm.Fill),"X",_xlpm.Fill),_xlpm.rs,_xlpm.RowShift,_xlpm.cs,_xlpm.ColumnShift,_xlpm.wa,_xlpm.WrapAround,_xlpm.a,_xlpm.Array,_xlpm.r,ROWS(_xlpm.a),_xlpm.c,COLUMNS(_xlpm.a), _xlpm.rf,IF(_xlpm.wa,_xlfn.TAKE(_xlpm.a,-(MOD(_xlpm.rs-1,_xlpm.r)+1)),_xlfn.EXPAND(_xlpm.fl,MIN(ABS(_xlpm.rs),_xlpm.r),_xlpm.c,_xlpm.fl)), _xlpm.ra,IF(_xlpm.rs=0,_xlpm.a,IF(_xlpm.wa,IFERROR(_xlfn.VSTACK(_xlpm.rf,_xlfn.TAKE(_xlpm.a,_xlpm.r-ROWS(_xlpm.rf))),_xlpm.rf),IF(ABS(_xlpm.rs)&gt;_xlpm.r-1,_xlpm.rf,_xlfn.VSTACK(IF(_xlpm.rs&gt;0,_xlpm.rf,_xlfn.TAKE(_xlpm.a,-_xlpm.r-_xlpm.rs)),IF(_xlpm.rs&gt;0,_xlfn.TAKE(_xlpm.a,_xlpm.r-_xlpm.rs),_xlpm.rf))))), _xlpm.cf,IF(_xlpm.wa,_xlfn.TAKE(_xlpm.ra,,-(MOD(_xlpm.cs-1,_xlpm.c)+1)),_xlfn.EXPAND(_xlpm.fl,_xlpm.r,MIN(ABS(_xlpm.cs),_xlpm.c),_xlpm.fl)), _xlpm.ca,IF(_xlpm.cs=0,_xlpm.ra,IF(_xlpm.wa,IFERROR(_xlfn.HSTACK(_xlpm.cf,_xlfn.TAKE(_xlpm.ra,,_xlpm.c-COLUMNS(_xlpm.cf))),_xlpm.cf),IF(ABS(_xlpm.cs)&gt;_xlpm.c-1,_xlpm.cf,_xlfn.HSTACK(IF(_xlpm.cs&gt;0,_xlpm.cf,_xlfn.TAKE(_xlpm.ra,,-_xlpm.c-_xlpm.cs)),IF(_xlpm.cs&gt;0,_xlfn.TAKE(_xlpm.ra,,_xlpm.c-_xlpm.cs),_xlpm.cf))))), _xlpm.ca))</definedName>
    <definedName name="ARROWSHIFT_byEmilieWilliams">_xlfn.LAMBDA(_xlpm.starting_cell,_xlpm.arrow, _xlfn.LET(
   _xlpm.Arrows, _xlfn.VSTACK("↗", "↓", "↖", "←", "→", "↙", "↘", "↑"),
   _xlpm.Cards, _xlfn.VSTACK("NE", "S", "NW", "W", "E", "SW", "SE", "N"),
   _xlpm.Arrowsx, _xlfn.VSTACK(1, 0, -1, -1, 1, -1, 1, 0),
   _xlpm.Arrowsy, _xlfn.VSTACK(-1, 1, -1, 0, 0, 1, 1, -1),
   _xlpm.CardInd, ISERROR(_xlfn.XMATCH(RIGHT(_xlpm.arrow), _xlpm.Arrows, 0)),
   _xlpm.CardComment, "Multiplier Can Only Be Used On Arrows",
   _xlpm.d, IF(_xlpm.CardInd, _xlpm.arrow, RIGHT(_xlpm.arrow, 1)),
   _xlpm.m, IF((LEN(_xlpm.arrow) = 1) + _xlpm.CardInd, 1, 1 * LEFT(_xlpm.arrow, LEN(_xlpm.arrow) - 1)),
   _xlpm.xmoveunit, _xlfn.XLOOKUP(_xlpm.d, IF(_xlpm.CardInd, _xlpm.Cards, _xlpm.Arrows), _xlpm.Arrowsx),
   _xlpm.ymoveunit, _xlfn.XLOOKUP(_xlpm.d, IF(_xlpm.CardInd, _xlpm.Cards, _xlpm.Arrows), _xlpm.Arrowsy),
   _xlpm.xmove, _xlpm.xmoveunit * _xlpm.m,
   _xlpm.ymove, _xlpm.ymoveunit * _xlpm.m,
   _xlpm.collet, _xlfn.TAKE(_xlfn.TEXTSPLIT(_xlpm.starting_cell, _xlfn.SEQUENCE(, 10, 0)), , 1),
   _xlpm.startcol, COLUMN(INDIRECT(_xlpm.collet &amp; 1)),
   _xlpm.startrow, 1 * RIGHT(_xlpm.starting_cell, LEN(_xlpm.starting_cell) - LEN(_xlpm.collet)),
   _xlpm.newcell, ADDRESS(_xlpm.startrow + _xlpm.ymove, _xlpm.startcol + _xlpm.xmove, 4),
   _xlpm.newcell
))</definedName>
    <definedName name="ArrowsLookup_byHadynWiseman">_xlfn.LAMBDA(_xlpm.Direction,_xlfn.XLOOKUP(_xlpm.Direction, {"↓";"D";"Down";"S";"South";"B";"Bottom";"↑";"U";"Up";"N";"North";"T";"Top";"→";"R";"Right";"E";"East";"←";"L";"Left";"W";"West";"↘";"DR";"RD";"BR";"RB";"SE";"Southeast";"↖";"UL";"LU";"TL";"LT";"NW";"Northwest";"↙";"DL";"LD";"BL";"LB";"SW";"Southwest";"↗";"UR";"RU";"TR";"RT";"NE";"Northeast"}, {"↓";"↓";"↓";"↓";"↓";"↓";"↓";"↑";"↑";"↑";"↑";"↑";"↑";"↑";"→";"→";"→";"→";"→";"←";"←";"←";"←";"←";"↘";"↘";"↘";"↘";"↘";"↘";"↘";"↖";"↖";"↖";"↖";"↖";"↖";"↖";"↙";"↙";"↙";"↙";"↙";"↙";"↙";"↗";"↗";"↗";"↗";"↗";"↗";"↗"}))</definedName>
    <definedName name="BiCol_byHadynWiseman">_xlfn.LAMBDA(_xlpm.array,_xlpm.function,IF(COLUMNS(_xlpm.array)=1,IF(ROWS(_xlpm.array)=1,_xlpm.function(_xlfn.SINGLE(_xlpm.array)),_xlpm.function(_xlpm.array)),_xlfn.HSTACK(BiCol_byHadynWiseman(_xlfn.TAKE(_xlpm.array,,COLUMNS(_xlpm.array)/2),_xlpm.function),BiCol_byHadynWiseman(_xlfn.DROP(_xlpm.array,,COLUMNS(_xlpm.array)/2),_xlpm.function))))</definedName>
    <definedName name="Biggest_byHadynWiseman">_xlfn.LAMBDA(_xlpm.Range,_xlpm.Return,_xlpm.Smallest,_xlop.N,_xlop.TieKey,_xlop.TieOrder,_xlfn.LET(_xlpm.nu,IF(_xlfn.ISOMITTED(_xlpm.N),1,_xlpm.N),_xlpm.dir,IF(_xlpm.Smallest,1,-1),_xlpm.tord,IF(_xlfn.ISOMITTED(_xlpm.TieOrder),1,_xlpm.TieOrder),_xlpm.s,IF(_xlfn.ISOMITTED(_xlpm.TieKey),_xlfn.SORTBY(_xlpm.Return,_xlpm.Range,_xlpm.dir),_xlfn.SORTBY(_xlpm.Return,_xlpm.Range,_xlpm.dir,_xlpm.TieKey,_xlpm.tord)),IF(COUNT(_xlpm.nu)&gt;ROWS(_xlpm.Range)*COLUMNS(_xlpm.Range),_xlpm.Return,IF(COLUMNS(_xlpm.Return)=1,_xlfn.CHOOSEROWS(_xlpm.s,_xlpm.nu),_xlfn.CHOOSECOLS(_xlpm.s,_xlpm.nu)))))</definedName>
    <definedName name="BiRow_byHadynWiseman">_xlfn.LAMBDA(_xlpm.array,_xlpm.function,IF(ROWS(_xlpm.array)=1,IF(COLUMNS(_xlpm.array)=1,_xlpm.function(_xlfn.SINGLE(_xlpm.array)),_xlpm.function(_xlpm.array)),_xlfn.VSTACK(BiRow_byHadynWiseman(_xlfn.TAKE(_xlpm.array,ROWS(_xlpm.array)/2),_xlpm.function),BiRow_byHadynWiseman(_xlfn.DROP(_xlpm.array,ROWS(_xlpm.array)/2),_xlpm.function))))</definedName>
    <definedName name="BoardGameMove_byHadynWiseman">_xlfn.LAMBDA(_xlpm.MoveValue,_xlpm.EndSpace,MOD(_xlpm.MoveValue - 1, _xlpm.EndSpace) + 1)</definedName>
    <definedName name="Bounce_byBoRydobon">_xlfn.LAMBDA(_xlpm.n,_xlpm.max,_xlop.min,_xlop.start,_xlop.step,_xlop.leave0Clip1Bounce2,_xlfn.LET(_xlpm.mn,IF(_xlfn.ISOMITTED(_xlpm.min),1,_xlpm.min),_xlpm.st,IF(_xlfn.ISOMITTED(_xlpm.start),_xlpm.mn,_xlpm.start),_xlpm.sp,IF(_xlfn.ISOMITTED(_xlpm.step),1,_xlpm.step),_xlpm.mode,IF(_xlfn.ISOMITTED(_xlpm.leave0Clip1Bounce2),0,_xlpm.leave0Clip1Bounce2),_xlpm.of,MAX(_xlpm.mn,0)-_xlpm.mn+ABS(_xlpm.sp),_xlpm.top,_xlpm.max+_xlpm.of,_xlpm.bot,_xlpm.mn+_xlpm.of,_xlpm.q,_xlfn.SCAN(,_xlfn.VSTACK(_xlpm.st+_xlpm.of,_xlfn.SEQUENCE(_xlpm.n-1)),_xlfn.LAMBDA(_xlpm.a,_xlpm.v,_xlfn.LET(_xlpm.s,-1^(_xlpm.a&lt;0),_xlpm.b,ABS(_xlpm.a)+_xlpm.s*_xlpm.sp,_xlpm.mb,MEDIAN(_xlpm.bot,_xlpm.b,_xlpm.top),-1^OR(_xlpm.b&lt;=_xlpm.bot,_xlpm.top&lt;=_xlpm.b)*_xlpm.s*CHOOSE(_xlpm.mode+1,_xlpm.b,_xlpm.mb,2*_xlpm.mb-_xlpm.b)))),ABS(_xlpm.q)-_xlpm.of))</definedName>
    <definedName name="ByRectangle_byBoRydobon">_xlfn.LAMBDA(_xlpm.Range,_xlpm.Function,_xlpm.Rows,_xlop.Columns,_xlop.No_Overlap,_xlfn.LET( _xlpm.cls,IF(_xlfn.ISOMITTED(_xlpm.Columns),_xlpm.Rows,_xlpm.Columns), _xlpm.rs,_xlfn.MAP(_xlfn.DROP(_xlpm.Range,1-_xlpm.Rows,1-_xlpm.cls),_xlfn.DROP(_xlpm.Range,_xlpm.Rows-1,_xlpm.cls-1),_xlfn.LAMBDA(_xlpm.a,_xlpm.b,_xlpm.Function(_xlpm.a:_xlpm.b))), _xlpm.cr,IF(_xlpm.No_Overlap,_xlfn.CHOOSEROWS(_xlpm.rs,_xlfn.SEQUENCE(ROWS(_xlpm.Range)/_xlpm.Rows,,1,_xlpm.Rows)),_xlpm.rs), _xlpm.cc,IF(_xlpm.No_Overlap,_xlfn.CHOOSECOLS(_xlpm.cr,_xlfn.SEQUENCE(COLUMNS(_xlpm.Range)/_xlpm.cls,,1,_xlpm.cls)),_xlpm.cr), _xlpm.cc ))</definedName>
    <definedName name="CardSets_byHadynWiseman">_xlfn.LAMBDA(_xlpm.Cards,_xlpm.CardsInRun,_xlop.Ace_High,_xlop.Ace_Low,_xlop.Sets,_xlop.CustomCardList,_xlop.WrapAroundRuns,_xlfn.LET(_xlpm.cd, _xlfn.TOCOL(_xlpm.Cards, 3), _xlpm.rn, _xlpm.CardsInRun, _xlpm.al, _xlpm.Ace_Low, _xlpm.ah, _xlpm.Ace_High, _xlpm.cn, {"A";2;3;4;5;6;7;8;9;10;"J";"Q";"K";"A"}, _xlpm.cor, IF(_xlfn.ISOMITTED(_xlpm.CustomCardList), IF(_xlpm.ah * _xlpm.al * (1 - _xlpm.WrapAroundRuns), _xlpm.cn, IF(_xlpm.ah, _xlfn.DROP(_xlpm.cn, 1), _xlfn.DROP(_xlpm.cn, -1))), _xlpm.CustomCardList), _xlpm.fcn, IF(_xlpm.WrapAroundRuns, _xlfn.VSTACK(_xlpm.cor, _xlfn.DROP(_xlpm.cor, -(COUNTA(_xlpm.cor) - _xlpm.rn + 1))), _xlpm.cor), _xlpm.suits, _xlfn.TOCOL(_xlfn.UNIQUE(_xlfn.TEXTAFTER(_xlpm.cd, _xlpm.fcn)), 3), _xlpm.c, _xlfn.TOCOL(_xlpm.fcn &amp; _xlfn.TOROW(_xlpm.suits), , 1), _xlpm.l, _xlfn.SCAN("", _xlpm.c, _xlfn.LAMBDA(_xlpm.a,_xlpm.v, IF(IFERROR(_xlfn.TEXTAFTER(_xlpm.v, _xlpm.fcn, -1), "") &lt;&gt; IFERROR(_xlfn.TEXTAFTER(_xlpm.a, _xlpm.fcn, -1), ""), "-" &amp; _xlpm.v, _xlfn.TEXTJOIN("-", 1, _xlpm.a, _xlpm.v)))), _xlpm.s, _xlfn.TOCOL(_xlfn.TEXTAFTER(_xlpm.l, "-", -_xlpm.rn), 3), _xlpm.oc, _xlfn.TEXTJOIN("-", 1, _xlfn._xlws.FILTER(_xlpm.c, ISNUMBER(_xlfn.XMATCH(_xlpm.c, _xlpm.Cards)))), _xlpm.runs, _xlfn._xlws.FILTER(_xlpm.s, ISNUMBER(SEARCH(_xlpm.s, _xlpm.oc))), _xlpm.cr, _xlfn.DROP(_xlfn.REDUCE("", _xlpm.runs, _xlfn.LAMBDA(_xlpm.a,_xlpm.v, _xlfn.HSTACK(_xlpm.a, _xlfn.TEXTSPLIT(_xlpm.v, , "-", 1)))), , 1), _xlpm.vl, _xlfn.TEXTBEFORE(_xlpm.cd, _xlpm.suits, -1), _xlpm.fr, MostOf_byHadynWiseman(_xlpm.vl), _xlpm.st, _xlfn._xlws.FILTER(_xlfn.TAKE(_xlpm.fr, , 1), _xlfn.TAKE(_xlpm.fr, , -1) &gt;= _xlpm.rn), _xlpm.sts, _xlfn.DROP(_xlfn.REDUCE("", _xlpm.st, _xlfn.LAMBDA(_xlpm.a,_xlpm.v, _xlfn.VSTACK(_xlpm.a, _xlfn.TEXTJOIN("-", 1, _xlfn._xlws.FILTER(_xlpm.cd, _xlfn.TEXTBEFORE(_xlpm.cd, _xlpm.suits) = _xlpm.v))))), 1), _xlpm.cs, _xlfn.DROP(_xlfn.REDUCE("", _xlpm.sts, _xlfn.LAMBDA(_xlpm.a,_xlpm.v, _xlfn.HSTACK(_xlpm.a, TRANSPOSE(Combinations_byHadynWiseman(_xlfn.TEXTSPLIT(_xlpm.v, , "-", 1), _xlpm.rn, 1))))), , 1), _xlpm.end, _xlfn.UNIQUE(IFERROR(IF(_xlfn.ISOMITTED(_xlpm.Sets), _xlpm.cr, _xlpm.cs), 0), 1), _xlpm.end))</definedName>
    <definedName name="Clamp_byBoRydobon">_xlfn.LAMBDA(_xlpm.n,_xlop.lower,_xlop.upper,_xlfn.LET(_xlpm.lo,IF(_xlfn.ISOMITTED(_xlpm.lower),MIN(_xlpm.n),_xlpm.lower),_xlpm.up,IF(_xlfn.ISOMITTED(_xlpm.upper),MAX(_xlpm.n),_xlpm.upper),IF(_xlpm.n&lt;_xlpm.lo,_xlpm.lo,IF(_xlpm.n&gt;_xlpm.up,_xlpm.up,_xlpm.n))))</definedName>
    <definedName name="ClosestOnMap_byHadynWiseman">_xlfn.LAMBDA(_xlpm.mp,_xlpm.start,_xlpm.steps,_xlop.Items,_xlop.DistFunc,_xlop.ShowBlanks,_xlop.RCaa_CRaa_RCad_CRad_RCda_CRda_RCdd_CRdd,_xlfn.LET(_xlpm.st,_xlpm.start,_xlpm.rng,_xlpm.steps,_xlpm.brng,_xlpm.rng*10,_xlpm.o,_xlpm.RCaa_CRaa_RCad_CRad_RCda_CRda_RCdd_CRdd,_xlpm.mr,ROWS(_xlpm.mp),_xlpm.mc,COLUMNS(_xlpm.mp),    _xlpm.vs,INDEX(_xlpm.mp,MAX(RowNum_byHadynWiseman(_xlpm.st)-MIN(ROW(_xlpm.mp))+1-_xlpm.brng,1),MAX(ColNum_byHadynWiseman(_xlpm.st)-MIN(COLUMN(_xlpm.mp))+1-_xlpm.brng,1)):INDEX(_xlpm.mp,MIN(RowNum_byHadynWiseman(_xlpm.st)-MIN(ROW(_xlpm.mp))+1+_xlpm.brng,_xlpm.mr),MIN(ColNum_byHadynWiseman(_xlpm.st)-MIN(COLUMN(_xlpm.mp))+1+_xlpm.brng,_xlpm.mc)),    _xlpm.ad,_xlfn.TOCOL(Addresses_byDiarmuidEarly(_xlpm.vs)), _xlpm.rd,RowNum_byHadynWiseman(_xlpm.ad)-RowNum_byHadynWiseman(_xlpm.st),_xlpm.cd,ColNum_byHadynWiseman(_xlpm.ad)-ColNum_byHadynWiseman(_xlpm.st),    _xlpm.td,IF(_xlfn.ISOMITTED(_xlpm.DistFunc),Distance_byHadynWiseman(_xlpm.st,_xlpm.ad),_xlpm.DistFunc(_xlpm.st,_xlpm.ad)),    _xlpm.table,_xlfn.HSTACK(_xlfn.TOCOL(_xlpm.vs),_xlpm.ad,_xlpm.td), _xlpm.cleantable,_xlfn.SORTBY(_xlpm.table,_xlpm.td,1),    _xlpm.ordered,IF(_xlfn.ISOMITTED(_xlpm.o),_xlpm.cleantable,_xlfn.SORTBY(_xlpm.table,_xlpm.td,1,IF(ISODD(_xlpm.o),_xlpm.rd,_xlpm.cd),IF(_xlpm.o&lt;=4,1,-1),IF(ISODD(_xlpm.o),_xlpm.cd,_xlpm.rd),IF(MOD(_xlpm.o-1,4)&lt;2,1,-1))),    _xlpm.omitblanks,IF(_xlpm.ShowBlanks,_xlpm.ordered,_xlfn._xlws.FILTER(_xlpm.ordered,_xlfn.TAKE(_xlpm.ordered,,1)&lt;&gt;"")),    _xlpm.rs,IF(_xlfn.ISOMITTED(_xlpm.Items),_xlpm.omitblanks,_xlfn._xlws.FILTER(_xlpm.omitblanks,ISNUMBER(_xlfn.XMATCH(_xlfn.TAKE(_xlpm.omitblanks,,1),_xlpm.Items)))), _xlpm.end,_xlfn._xlws.FILTER(_xlpm.rs,_xlfn.DROP(_xlpm.rs,,2)&lt;=_xlpm.rng),_xlpm.end))</definedName>
    <definedName name="Coins_byHadynWiseman">_xlfn.LAMBDA(_xlpm.Target,_xlpm.Coins,_xlfn.LET(_xlpm.sc,_xlfn.TOCOL(_xlfn.SORTBY(_xlpm.Coins,-_xlpm.Coins)), _xlpm.remainder,_xlfn.SCAN(_xlpm.Target,_xlpm.sc,_xlfn.LAMBDA(_xlpm.a,_xlpm.v,ROUND(_xlpm.a-INT(_xlpm.a/_xlpm.v)*_xlpm.v,12))), _xlpm.alignrem,_xlfn.DROP(_xlfn.VSTACK(_xlpm.Target,_xlpm.remainder),-1), INT(_xlpm.alignrem/_xlpm.sc)))</definedName>
    <definedName name="ColNum_byHadynWiseman">_xlfn.LAMBDA(_xlpm.address,IF(ISNUMBER(_xlpm.address),MOD(_xlpm.address,10^6), _xlfn.LET(_xlpm.chars,UPPER(_xlfn.REGEXEXTRACT(_xlpm.address,"[A-Za-z]+")), _xlpm.L,LEN(_xlpm.chars),       _xlpm.val_1,CODE(RIGHT(_xlpm.chars,1))-64,       _xlpm.val_2,IF(_xlpm.L&gt;1,(CODE(LEFT(RIGHT(_xlpm.chars,2),1))-64)*26,0),       _xlpm.val_3,IF(_xlpm.L=3,(CODE(LEFT(_xlpm.chars,1))-64)*676, 0), _xlpm.val_1+_xlpm.val_2+_xlpm.val_3)))</definedName>
    <definedName name="Combinations_byHadynWiseman">_xlfn.LAMBDA(_xlpm.Array,_xlpm.c,_xlop.RemoveOrder,_xlop.AllowRepeatItems,_xlop.Cumulative,IFERROR(_xlfn.XLOOKUP(PerCom_byBoRydobon(COUNTA(_xlpm.Array), _xlpm.c, IF(_xlpm.RemoveOrder = 1, 1), IF(_xlpm.AllowRepeatItems = 1, 1), IF(_xlpm.Cumulative = 1, 1)), _xlfn.TAKE(_xlfn.HSTACK(_xlfn.SEQUENCE(COUNTA(_xlpm.Array)), _xlfn.TOCOL(_xlpm.Array)), , 1), _xlfn.TAKE(_xlfn.HSTACK(_xlfn.SEQUENCE(COUNTA(_xlpm.Array)), _xlfn.TOCOL(_xlpm.Array)), , -1)), ""))</definedName>
    <definedName name="Consecutives_byHadynWiseman" comment="Hadyn Wiseman, REPAIRED + MERGED by this review 2026-09-21. Run length of the current run of equal values; [groups] instead returns each element's group size. Merges Hadyn's 2026-09-07 groups branch with our single-cell split, row support, and a Prev fill">_xlfn.LAMBDA(_xlpm.array,_xlop.groups,_xlfn.LET(_xlpm.src,IF(ROWS(_xlpm.array)*COLUMNS(_xlpm.array)=1,SplitText_byHadynWiseman(_xlpm.array),_xlpm.array),_xlpm.horz,ROWS(_xlpm.src)=1,_xlpm.a,IF(_xlpm.horz,_xlfn.TOCOL(_xlpm.src),_xlpm.src),_xlpm.g,IF(_xlfn.ISOMITTED(_xlpm.groups),0,_xlpm.groups),_xlpm.same,--(Prev(_xlpm.a,1)=_xlpm.a)*(_xlfn.SEQUENCE(ROWS(_xlpm.a))&gt;1),_xlpm.r,IF(_xlpm.g,_xlfn.LET(_xlpm.s,_xlfn.SCAN(0,_xlpm.same,_xlfn.LAMBDA(_xlpm.x,_xlpm.v,IF(_xlpm.v,_xlpm.x,_xlpm.x+1))),INDEX(_xlfn.GROUPBY(_xlpm.s,_xlpm.a,_xleta.ROWS,0,0),_xlpm.s,2)),_xlfn.SCAN(1,_xlpm.same,_xlfn.LAMBDA(_xlpm.x,_xlpm.v,_xlpm.x*_xlpm.v+1))),IF(_xlpm.horz,TRANSPOSE(_xlpm.r),_xlpm.r)))</definedName>
    <definedName name="CountOcc_byHadynWiseman">_xlfn.LAMBDA(_xlpm.OccOf,_xlpm.Text,_xlop.Case,IF(_xlfn.ISOMITTED(_xlpm.Case),(LEN(_xlpm.Text)-LEN(SUBSTITUTE(LOWER(_xlpm.Text),LOWER(_xlpm.OccOf),"")))/LEN(_xlpm.OccOf),(LEN(_xlpm.Text)-LEN(SUBSTITUTE(_xlpm.Text,_xlpm.OccOf,"")))/LEN(_xlpm.OccOf)))</definedName>
    <definedName name="Decimal_Separator">'Regional Settings'!$C$12</definedName>
    <definedName name="Dice_byHadynWiseman">_xlfn.LAMBDA(_xlpm.Dice,_xlop.add,_xlop.join,_xlfn.LET(_xlpm.fin, _xlfn.MAP(_xlpm.Dice, _xlfn.LAMBDA(_xlpm.a, _xlfn.LET(_xlpm.l, IFERROR(SplitText_byHadynWiseman(_xlpm.a), ""), _xlpm.m, IF(_xlpm.add, 0, IF(_xlpm.join, "", _xlpm.l)), _xlpm.rs, IFERROR(_xlfn.XLOOKUP(_xlpm.l, {"⚀";"⚁";"⚂";"⚃";"⚄";"⚅"}, {1;2;3;4;5;6}), _xlpm.m), IF(_xlpm.add, SUM(_xlpm.rs), _xlfn.CONCAT(_xlpm.rs))))), IF(COUNTA(_xlpm.fin) = 1, _xlfn.SINGLE(_xlpm.fin), _xlpm.fin)))</definedName>
    <definedName name="DiffByRow_byJaqKennedy">_xlfn.LAMBDA(_xlpm.Input,_xlfn.LET(_xlpm.\\LambdaName, "DiffByRow", _xlpm.\\CommandName, "Difference of array columns by row", _xlpm.\\Description, "Returns first column - last column in array", _xlpm.\\Source, "Jaq Kennedy", _xlfn.TAKE(_xlpm.Input, , 1) - _xlfn.TAKE(_xlpm.Input, , -1)))</definedName>
    <definedName name="Distance_byHadynWiseman">_xlfn.LAMBDA(_xlpm.start,_xlpm.end,_xlop.h,_xlop.v,_xlop.d,_xlop.pythag,_xlop.knight,   _xlfn.LET(_xlpm.rd,ABS(RowNum_byHadynWiseman(_xlpm.start)-RowNum_byHadynWiseman(_xlpm.end)),_xlpm.cd,ABS(ColNum_byHadynWiseman(_xlpm.start)-ColNum_byHadynWiseman(_xlpm.end)),_xlpm.dd,IF(_xlpm.rd&gt;_xlpm.cd,_xlpm.rd,_xlpm.cd),_xlpm.md,IF(_xlpm.rd&lt;_xlpm.cd,_xlpm.rd,_xlpm.cd),   _xlpm.hvd,IF(_xlfn.ISOMITTED(_xlpm.h),0,IF(_xlfn.ISOMITTED(_xlpm.d),_xlpm.rd*_xlpm.v+_xlpm.cd*_xlpm.h,_xlpm.md*_xlpm.d+(_xlpm.rd-_xlpm.md)*_xlpm.v+(_xlpm.cd-_xlpm.md)*_xlpm.h)),   _xlpm.py,IF(_xlpm.pythag,SQRT(_xlpm.rd^2+_xlpm.cd^2),0),   _xlpm.kn,IF(_xlpm.knight,_xlfn.LET(_xlpm.oo,_xlpm.dd/2,_xlpm.ot,(_xlpm.dd+_xlpm.md)/3,_xlpm.km,ROUNDUP(IF(_xlpm.oo&gt;_xlpm.ot,_xlpm.oo,_xlpm.ot),0),_xlpm.parity,IF(ISODD(_xlpm.km)=ISODD(_xlpm.dd+_xlpm.md),0,1),IF(_xlpm.dd+_xlpm.md=1,3,IF(AND(_xlpm.dd=2,_xlpm.md=2),4,_xlpm.km+_xlpm.parity))),0), _xlpm.dist,IF(SUM(_xlpm.h,_xlpm.v,_xlpm.d,_xlpm.pythag,_xlpm.knight)=0,_xlpm.dd,_xlpm.hvd+_xlpm.py+_xlpm.kn), _xlpm.dist))</definedName>
    <definedName name="DistFrom_byDiarmuidEarly">_xlfn.LAMBDA(_xlpm.mp,_xlpm.trg,_xlpm.func, _xlfn.LET(_xlpm.vals, _xlfn.TOCOL(_xlpm.mp), _xlpm.rws, _xlfn.TOCOL(_xlfn.SEQUENCE(ROWS(_xlpm.mp)) + 0 * _xlfn.SEQUENCE(, COLUMNS(_xlpm.mp))), _xlpm.cls, _xlfn.TOCOL(_xlfn.SEQUENCE(ROWS(_xlpm.mp)) * 0 + _xlfn.SEQUENCE(, COLUMNS(_xlpm.mp))), _xlpm.Mrws, _xlfn.TOROW(_xlfn._xlws.FILTER(_xlpm.rws, _xlpm.vals = _xlpm.trg)), _xlpm.Mcls, _xlfn.TOROW(_xlfn._xlws.FILTER(_xlpm.cls, _xlpm.vals = _xlpm.trg)), _xlpm.rdist, ABS(_xlpm.rws - _xlpm.Mrws), _xlpm.cdist, ABS(_xlpm.cls - _xlpm.Mcls), _xlpm.dist, _xlfn.BYROW(_xlfn.MAP(_xlpm.rdist, _xlpm.cdist, _xlpm.func), _xleta.MIN), _xlfn.WRAPROWS(_xlpm.dist, COLUMNS(_xlpm.mp))))</definedName>
    <definedName name="Duplicates_byHadynWiseman">_xlfn.LAMBDA(_xlpm.Array,_xlfn.LET(_xlpm.a,IF(COUNTA(_xlpm.Array)=1,SplitText_byHadynWiseman(_xlpm.Array),_xlfn.TOCOL(_xlpm.Array,3)),_xlfn.UNIQUE(_xlfn._xlws.FILTER(_xlpm.a,ISERROR(_xlfn.XMATCH(_xlpm.a,_xlfn.UNIQUE(_xlpm.a,,1)))))))</definedName>
    <definedName name="ExactUnique_byHadynWiseman">_xlfn.LAMBDA(_xlpm.Array,_xlop.by_col,_xlop.exactly_once,_xlfn.LET( _xlpm.nums,_xlfn.XMATCH("^\Q"&amp;_xlpm.Array&amp;"\E$",_xlpm.Array,3), INDEX(_xlpm.Array,IF(_xlpm.exactly_once,_xlfn.UNIQUE(_xlpm.nums,_xlpm.by_col,1),_xlfn.UNIQUE(_xlpm.nums,_xlpm.by_col)))))</definedName>
    <definedName name="ExcludeCols_byHadynWiseman">_xlfn.LAMBDA(_xlpm.Array,_xlpm.ColumnsToRemove,_xlfn.LET(_xlpm.c,_xlfn.SEQUENCE(COLUMNS(_xlpm.Array)),_xlpm.kc,_xlfn.UNIQUE(_xlfn.VSTACK(_xlpm.c,_xlfn.TOCOL(_xlpm.ColumnsToRemove)),,1),_xlfn.CHOOSECOLS(_xlpm.Array,_xlpm.kc)))</definedName>
    <definedName name="Exists_byHadynWiseman">_xlfn.LAMBDA(_xlpm.Item,_xlpm.List,_xlop.SearchMode,_xlfn.LET(_xlpm._Mode,IF(_xlfn.ISOMITTED(_xlpm.SearchMode)+ISBLANK(_xlpm.SearchMode),0,_xlpm.SearchMode),ISNUMBER(IF(_xlpm._Mode,SEARCH(_xlpm.Item,_xlpm.List),_xlfn.XMATCH(_xlpm.Item,_xlpm.List)))))</definedName>
    <definedName name="ExtractLetters_byJaqKennedy">_xlfn.LAMBDA(_xlpm.text,_xlop.AsRuns,_xlfn.LET(_xlpm.rs,_xlfn.IFNA(_xlfn.REGEXEXTRACT(_xlpm.text,"[A-Za-z]+",1,0),""),IF(_xlfn.ISOMITTED(_xlpm.AsRuns),_xlfn.CONCAT(_xlpm.rs),_xlpm.rs)))</definedName>
    <definedName name="ExtractLowerLetters_byJaqKennedy">_xlfn.LAMBDA(_xlpm.text,_xlop.AsRuns,_xlfn.LET(_xlpm.rs,_xlfn.IFNA(_xlfn.REGEXEXTRACT(_xlpm.text,"[a-z]+",1,0),""),IF(_xlfn.ISOMITTED(_xlpm.AsRuns),_xlfn.CONCAT(_xlpm.rs),_xlpm.rs)))</definedName>
    <definedName name="ExtractNumbers_byHadynWiseman">_xlfn.LAMBDA(_xlpm.text,_xlop.With_Decimals,_xlfn.LET(_xlpm.rs, _xlfn.REGEXEXTRACT(_xlpm.text, IF(_xlfn.ISOMITTED(_xlpm.With_Decimals), "[-+]?\d+", "[-+]?\d*\.\d+|[-+]?\d+"), 1) * 1, IF(COUNTA(_xlpm.rs) = 1, _xlfn.SINGLE(_xlpm.rs) * 1, _xlpm.rs)))</definedName>
    <definedName name="ExtractUpperLetters_byJaqKennedy">_xlfn.LAMBDA(_xlpm.text,_xlop.AsRuns,_xlfn.LET(_xlpm.rs,_xlfn.IFNA(_xlfn.REGEXEXTRACT(_xlpm.text,"[A-Z]+",1,0),""),IF(_xlfn.ISOMITTED(_xlpm.AsRuns),_xlfn.CONCAT(_xlpm.rs),_xlpm.rs)))</definedName>
    <definedName name="Fetch_byJaqKennedy" comment="Value at an address or packed row/column number, read from a named range or block (e.g. a Sht_ used-range name). A list of refs returns a list. [oob] (default &quot;OOB&quot;) where the ref is outside the source. Not volatile.">_xlfn.LAMBDA(_xlpm.ref,_xlpm.source,_xlop.oob,_xlfn.LET(_xlpm.o,IF(_xlfn.ISOMITTED(_xlpm.oob),"OOB",_xlpm.oob),_xlpm.isr,ISREF(_xlpm.source),_xlpm.r0,IF(_xlpm.isr,ROW(INDEX(_xlpm.source,1,1)),1),_xlpm.c0,IF(_xlpm.isr,COLUMN(INDEX(_xlpm.source,1,1)),1),_xlpm.rr,IF({1},RowNum_byHadynWiseman(_xlpm.ref)-_xlpm.r0+1),_xlpm.cc,IF({1},ColNum_byHadynWiseman(_xlpm.ref)-_xlpm.c0+1),_xlpm.ok,(_xlpm.rr&gt;=1)*(_xlpm.rr&lt;=ROWS(_xlpm.source))*(_xlpm.cc&gt;=1)*(_xlpm.cc&lt;=COLUMNS(_xlpm.source)),_xlfn.MAP(_xlpm.rr,_xlpm.cc,_xlpm.ok,_xlfn.LAMBDA(_xlpm.a,_xlpm.b,_xlpm.k,IF(_xlpm.k,INDEX(_xlpm.source,_xlpm.a,_xlpm.b),_xlpm.o)))))</definedName>
    <definedName name="FilterArray_byErikOehm">_xlfn.LAMBDA(_xlpm.data,_xlpm.column_indexes,_xlpm.filter_values,_xlfn.LET(_xlpm.\\LambdaName, "FilterArray", _xlfn._xlws.FILTER(_xlpm.data, _xlfn.BYROW(IsInList_byErikOehm(_xlfn.CHOOSECOLS(_xlpm.data, _xlpm.column_indexes), _xlpm.filter_values), _xlfn.LAMBDA(_xlpm.x, AND(_xlpm.x))))))</definedName>
    <definedName name="FindInMap_byHadynWiseman">_xlfn.LAMBDA(_xlpm.items,_xlpm.mp,_xlfn.LET(_xlpm.g,_xlfn.DROP(GridToCol_byLiannaGerrish(_xlpm.mp,1,,,,,1),1),_xlpm.incells,_xlfn.CHOOSECOLS(_xlpm.g,1),_xlpm.addresses,_xlfn.CHOOSECOLS(_xlpm.g,2),_xlpm.out,_xlfn._xlws.FILTER(_xlpm.addresses,ISNUMBER(_xlfn.XMATCH(_xlpm.incells,_xlpm.items)),"Not Found"),IF((ROWS(_xlpm.out)*COLUMNS(_xlpm.out))=1,_xlfn.SINGLE(_xlpm.out),_xlpm.out)))</definedName>
    <definedName name="Flip_byHadynWiseman">_xlfn.LAMBDA(_xlpm.Array,_xlop.Horizontal,_xlop.Vertical,_xlop.DiagonalTopLeft,_xlop.DiagonalTopRight,_xlop.AddressMoves,_xlfn.LET(_xlpm.a, _xlpm.Array, _xlpm.c, COLUMNS(_xlpm.a), _xlpm.r, ROWS(_xlpm.a), _xlpm.ta, _xlpm.AddressMoves, _xlpm.rs, _xlfn.LAMBDA(_xlpm.x, IF(_xlpm.r * _xlpm.c = 1, _xlfn.CONCAT(MID(_xlpm.x, _xlfn.SEQUENCE(LEN(_xlpm.x), , LEN(_xlpm.x), -1), 1)), IF(_xlpm.DiagonalTopLeft, TRANSPOSE(_xlpm.x), IF(_xlpm.Horizontal, _xlfn.SORTBY(_xlpm.x, _xlfn.SEQUENCE(, _xlpm.c, _xlpm.c, -1)), IF(_xlpm.Vertical, _xlfn.SORTBY(_xlpm.x, _xlfn.SEQUENCE(_xlpm.r, , _xlpm.r, -1)), IF(_xlpm.DiagonalTopRight, TRANSPOSE(INDEX(_xlpm.x, _xlfn.SEQUENCE(_xlpm.r, , _xlpm.r, -1), _xlfn.SEQUENCE(, _xlpm.c, _xlpm.c, -1))), INDEX(_xlpm.x, _xlfn.SEQUENCE(_xlpm.r, , _xlpm.r, -1), _xlfn.SEQUENCE(, _xlpm.c, _xlpm.c, -1)))))))), IF(_xlfn.ISOMITTED(_xlpm.AddressMoves), _xlpm.rs(_xlpm.a), _xlfn.LET(_xlpm.oad, Addresses_byDiarmuidEarly(_xlpm.a), _xlpm.nad, _xlpm.rs(_xlpm.oad), _xlpm.sr, _xlfn.SINGLE(ROW(_xlpm.a)), _xlpm.sc, _xlfn.SINGLE(COLUMN(_xlpm.a)), _xlpm.out, _xlfn.MAP(_xlpm.ta, _xlfn.LAMBDA(_xlpm.y, _xlfn.CONCAT(IF(_xlpm.nad = _xlpm.y, _xlfn.MAKEARRAY(ROWS(_xlpm.nad), COLUMNS(_xlpm.nad), _xlfn.LAMBDA(_xlpm.r,_xlpm.c, ADDRESS(_xlpm.r + _xlpm.sr - 1, _xlpm.c + _xlpm.sc - 1, 4))), "")))), _xlpm.out))))</definedName>
    <definedName name="Fold_byHadynWiseman">_xlfn.LAMBDA(_xlpm.Array,_xlpm.Arrow,_xlop.PassthroughChars,_xlop.LinesToFold,_xlop.AddressMoves,_xlfn.LET(_xlpm.a,_xlpm.Array,_xlpm.ar,ArrowsLookup_byHadynWiseman(_xlpm.Arrow),_xlpm.p,IF(_xlfn.ISOMITTED(_xlpm.PassthroughChars),"Ϩ",_xlpm.PassthroughChars),_xlpm.an,_xlfn.XMATCH(_xlpm.ar,{"↓";"↑";"→";"←";"↘";"↖";"↙";"↗"}),_xlpm.r,ROWS(_xlpm.a),_xlpm.c,COLUMNS(_xlpm.a), _xlpm.sf,CHOOSE(_xlpm.an,_xlpm.r/2,_xlpm.r/2,_xlpm.c/2,_xlpm.c/2,_xlpm.r,_xlpm.r,_xlpm.r,_xlpm.r),_xlpm.fn,IF(_xlfn.ISOMITTED(_xlpm.LinesToFold),_xlpm.sf,_xlpm.LinesToFold), _xlpm.rs,_xlfn.LAMBDA(_xlpm.z,_xlfn.LET( _xlpm.inv,CHOOSE(_xlpm.an,Flip_byHadynWiseman(_xlpm.z,,1),Flip_byHadynWiseman(_xlpm.z,,1),Flip_byHadynWiseman(_xlpm.z,1),Flip_byHadynWiseman(_xlpm.z,1),Flip_byHadynWiseman(_xlpm.z,,,,1),Flip_byHadynWiseman(_xlpm.z,,,,1),Flip_byHadynWiseman(_xlpm.z,,,1),Flip_byHadynWiseman(_xlpm.z,,,1)), _xlpm.fmask,IF(_xlfn.MAKEARRAY(_xlpm.r,_xlpm.c,_xlfn.LAMBDA(_xlpm.x,_xlpm.y,CHOOSE(_xlpm.an,_xlpm.x&gt;_xlpm.r-_xlpm.fn,_xlpm.x&lt;=_xlpm.fn,_xlpm.y&gt;_xlpm.c-_xlpm.fn,_xlpm.y&lt;=_xlpm.fn,_xlpm.x+_xlpm.y&gt;_xlpm.r+_xlpm.c-_xlpm.fn,_xlpm.x+_xlpm.y&lt;=1+_xlpm.fn,_xlpm.x-_xlpm.y&gt;=_xlpm.r-_xlpm.fn,_xlpm.x-_xlpm.y&lt;=_xlpm.fn-_xlpm.r))),1,0), _xlpm.va,CHOOSE(_xlpm.an,Flip_byHadynWiseman(_xlpm.fmask,,1),Flip_byHadynWiseman(_xlpm.fmask,,1),Flip_byHadynWiseman(_xlpm.fmask,1),Flip_byHadynWiseman(_xlpm.fmask,1),Flip_byHadynWiseman(_xlpm.fmask,,,,1),Flip_byHadynWiseman(_xlpm.fmask,,,,1),Flip_byHadynWiseman(_xlpm.fmask,,,1),Flip_byHadynWiseman(_xlpm.fmask,,,1)), _xlpm.om,ArrayShift_byHadynWiseman(_xlpm.fmask,CHOOSE(_xlpm.an,(_xlpm.r/2-_xlpm.fn)*-2,(_xlpm.r/2-_xlpm.fn)*2,0,0,-(_xlpm.r-_xlpm.fn),(_xlpm.r-_xlpm.fn),-(_xlpm.r-_xlpm.fn),(_xlpm.r-_xlpm.fn)),CHOOSE(_xlpm.an,0,0,(_xlpm.c/2-_xlpm.fn)*-2,(_xlpm.c/2-_xlpm.fn)*2,-(_xlpm.c-_xlpm.fn),(_xlpm.c-_xlpm.fn),(_xlpm.c-_xlpm.fn),-(_xlpm.c-_xlpm.fn)),0), _xlpm.on,ArrayShift_byHadynWiseman(_xlpm.inv,CHOOSE(_xlpm.an,(_xlpm.r/2-_xlpm.fn)*-2,(_xlpm.r/2-_xlpm.fn)*2,0,0,-(_xlpm.r-_xlpm.fn),(_xlpm.r-_xlpm.fn),-(_xlpm.r-_xlpm.fn),(_xlpm.r-_xlpm.fn)),CHOOSE(_xlpm.an,0,0,(_xlpm.c/2-_xlpm.fn)*-2,(_xlpm.c/2-_xlpm.fn)*2,-(_xlpm.c-_xlpm.fn),(_xlpm.c-_xlpm.fn),(_xlpm.c-_xlpm.fn),-(_xlpm.c-_xlpm.fn)),0), _xlpm.oa,IF(_xlpm.om,IF(ISNUMBER(_xlfn.XMATCH(_xlpm.on,_xlpm.p)),_xlpm.z,_xlpm.on),IF(_xlpm.va,"",_xlpm.z)),_xlpm.oa)), IF(_xlfn.ISOMITTED(_xlpm.AddressMoves),_xlpm.rs(_xlpm.a),_xlfn.LET(_xlpm.oad,Addresses_byDiarmuidEarly(_xlpm.a),_xlpm.nad,_xlpm.rs(_xlpm.oad),_xlpm.sr,_xlfn.SINGLE(ROW(_xlpm.a)),_xlpm.sc,_xlfn.SINGLE(COLUMN(_xlpm.a)), _xlpm.out,_xlfn.MAP(_xlpm.AddressMoves,_xlfn.LAMBDA(_xlpm.y,_xlfn.CONCAT(IF(_xlpm.nad=_xlpm.y,_xlfn.MAKEARRAY(ROWS(_xlpm.nad),COLUMNS(_xlpm.nad),_xlfn.LAMBDA(_xlpm.r,_xlpm.c,ADDRESS(_xlpm.r+_xlpm.sr-1,_xlpm.c+_xlpm.sc-1,4))),"")))),_xlpm.out))))</definedName>
    <definedName name="GetBlock_byJaqKennedy">_xlfn.LAMBDA(_xlpm.Arr,_xlpm.AnchorCell,_xlpm.RowSize,_xlop.ColSize,_xlop.Pos,_xlop.Fill,_xlop.WrapAround,_xlfn.LET(_xlpm.nv,NOT(ISREF(_xlpm.Arr)),_xlpm._PosUsed,IF(_xlfn.ISOMITTED(_xlpm.Pos)+ISBLANK(_xlpm.Pos),"C",_xlpm.Pos),_xlpm._ColSizeUsed,IF(_xlfn.ISOMITTED(_xlpm.ColSize)+ISBLANK(_xlpm.ColSize),_xlpm.RowSize,_xlpm.ColSize),_xlpm._FillUsed,IF(_xlfn.ISOMITTED(_xlpm.Fill),0,_xlpm.Fill),_xlpm._WrapUsed,IF(_xlfn.ISOMITTED(_xlpm.WrapAround),0,_xlpm.WrapAround),_xlpm._RowTL,IF(_xlpm.nv,1,_xlfn.SINGLE(ROW(_xlpm.Arr))),_xlpm._ColTL,IF(_xlpm.nv,1,_xlfn.SINGLE(COLUMN(_xlpm.Arr))),_xlpm._RowNumber,RowNum_byHadynWiseman(_xlpm.AnchorCell),_xlpm._ColNumber,ColNum_byHadynWiseman(_xlpm.AnchorCell),_xlpm._RowShiftPos,IF(LEFT(_xlpm._PosUsed)="T",0,IF(LEFT(_xlpm._PosUsed)="B",-(_xlpm.RowSize-1),-INT(_xlpm.RowSize/2))),_xlpm._ColShiftPos,IF(RIGHT(_xlpm._PosUsed)="L",0,IF(RIGHT(_xlpm._PosUsed)="R",-(_xlpm._ColSizeUsed-1),-INT(_xlpm._ColSizeUsed/2))),_xlpm._RowShift,INDEX(_xlpm._RowNumber-_xlpm._RowTL+_xlpm._RowShiftPos,1,1),_xlpm._ColShift,INDEX(_xlpm._ColNumber-_xlpm._ColTL+_xlpm._ColShiftPos,1,1),_xlpm._Shifted,ArrayShift_byHadynWiseman(_xlpm.Arr,-_xlpm._RowShift,-_xlpm._ColShift,_xlpm._FillUsed,_xlpm._WrapUsed),_xlfn.TAKE(_xlpm._Shifted,_xlpm.RowSize,_xlpm._ColSizeUsed)))</definedName>
    <definedName name="GridToCol_byLiannaGerrish">_xlfn.LAMBDA(_xlpm.arr,_xlop.Address,_xlop.RowCol,_xlop.RCRef,_xlop.ByColumn,_xlop.HideZeros,_xlop.ShowBlanks,_xlfn.LET(_xlpm.nv,NOT(ISREF(_xlpm.arr)),_xlpm.bycol,IF(_xlfn.ISOMITTED(_xlpm.ByColumn),0,_xlpm.ByColumn),_xlpm.r0,IF(_xlpm.nv,1,_xlfn.SINGLE(ROW(_xlpm.arr))),_xlpm.c0,IF(_xlpm.nv,1,_xlfn.SINGLE(COLUMN(_xlpm.arr))),_xlpm.rws,_xlfn.TOCOL(_xlfn.SEQUENCE(,COLUMNS(_xlpm.arr))*0&amp;_xlfn.SEQUENCE(ROWS(_xlpm.arr),,_xlpm.r0),,_xlpm.bycol)*1,_xlpm.cls,_xlfn.TOCOL(_xlfn.SEQUENCE(ROWS(_xlpm.arr))*0&amp;_xlfn.SEQUENCE(,COLUMNS(_xlpm.arr),_xlpm.c0),,_xlpm.bycol)*1,_xlpm.empt,_xlfn.TOCOL(IF(_xlpm.nv,_xlpm.arr="",ISBLANK(_xlpm.arr)),,_xlpm.bycol),_xlpm.unit,_xlpm.empt*0+1,_xlpm.items,IF(_xlpm.empt,"",_xlfn.TOCOL(_xlpm.arr,,_xlpm.bycol)),_xlpm.wA,IF(_xlfn.ISOMITTED(_xlpm.Address),0,_xlpm.Address),_xlpm.wRC,IF(_xlfn.ISOMITTED(_xlpm.RowCol),0,_xlpm.RowCol),_xlpm.wR,IF(_xlfn.ISOMITTED(_xlpm.RCRef),0,_xlpm.RCRef),_xlpm.any,_xlpm.wA+_xlpm.wRC+_xlpm.wR,_xlpm.sA,IF(_xlpm.any,_xlpm.wA,1),_xlpm.sRC,IF(_xlpm.any,_xlpm.wRC,1),_xlpm.sR,IF(_xlpm.any,_xlpm.wR,1),_xlpm.pick,_xlfn._xlws.FILTER({1,2,3,4,5},{1,0,0,0,0}+_xlpm.sRC*{0,1,1,0,0}+_xlpm.sA*{0,0,0,1,0}+_xlpm.sR*{0,0,0,0,1}),_xlpm.headers,_xlfn.CHOOSECOLS(_xlfn.HSTACK("Items","Row #","Column #","Address","RCRef"),_xlpm.pick),_xlpm.data,_xlfn.CHOOSECOLS(_xlfn.HSTACK(_xlpm.items,_xlpm.rws,_xlpm.cls,ADDRESS(_xlpm.rws,_xlpm.cls,4),1000000*_xlpm.rws+_xlpm.cls),_xlpm.pick),_xlpm.keepB,IF(_xlfn.ISOMITTED(_xlpm.ShowBlanks),0,_xlpm.ShowBlanks),_xlpm.dropZ,IF(_xlfn.ISOMITTED(_xlpm.HideZeros),0,_xlpm.HideZeros),_xlpm.ok,IF(_xlpm.keepB,_xlpm.unit,NOT(_xlpm.empt)*_xlpm.unit)*IF(_xlpm.dropZ,(_xlpm.items&lt;&gt;0)*_xlpm.unit,_xlpm.unit),_xlpm.kept,IFERROR(_xlfn._xlws.FILTER(_xlpm.data,_xlpm.ok),IF(_xlfn.SEQUENCE(,COLUMNS(_xlpm.data)),"")),_xlfn.VSTACK(_xlpm.headers,_xlpm.kept)))</definedName>
    <definedName name="HugWall_byHadynWiseman">_xlfn.LAMBDA(_xlpm.mp,_xlpm.st,_xlpm.first_direction,_xlop.AntiClockwise,_xlop.AllowMp,_xlop.Steps,_xlop.ReferenceMap,_xlop.Show_on_map,_xlfn.LET(_xlpm.m,10^6,_xlpm.ac,_xlpm.AntiClockwise,_xlpm.fd,_xlpm.first_direction,_xlpm.rm,_xlpm.ReferenceMap,_xlpm.nv,NOT(ISREF(_xlpm.mp)),_xlpm.mis,_xlfn.ISOMITTED(_xlpm.rm),IF(_xlpm.nv*_xlpm.mis,"Map is not a range, add reference map",_xlfn.LET(_xlpm.um,IF(_xlpm.mis,_xlpm.mp,_xlpm.rm),_xlpm.rn,ROW(_xlpm.um),_xlpm.cn,COLUMN(_xlpm.um),_xlpm.rcn,_xlfn.TOCOL(_xlpm.rn*_xlpm.m+_xlpm.cn),_xlpm.mr,MIN(_xlpm.rn),_xlpm.xr,MAX(_xlpm.rn),_xlpm.mc,MIN(_xlpm.cn),_xlpm.xc,MAX(_xlpm.cn),_xlpm.mpA,IF(_xlfn.ISOMITTED(_xlpm.AllowMp),_xlpm.mp=IF(ISNUMBER(_xlfn.XMATCH("",_xlfn.TOCOL(_xlpm.mp))),"",0),_xlpm.AllowMp),_xlpm.d,IF(_xlpm.ac,{-1000000,1,1000000,-1},{-1000000,-1,1000000,1}),_xlpm.rcst,RowNum_byHadynWiseman(_xlpm.st)*_xlpm.m+ColNum_byHadynWiseman(_xlpm.st),_xlpm.rcd,RCRefConvert_byHadynWiseman(ArrowsLookup_byHadynWiseman(_xlpm.fd)),_xlpm.rs,RCRefConvert_byHadynWiseman(_xlfn.REDUCE(_xlfn.VSTACK(_xlpm.rcst,_xlpm.rcst+_xlpm.rcd),_xlfn.SEQUENCE(IF(_xlfn.ISOMITTED(_xlpm.Steps),150,_xlpm.Steps)),_xlfn.LAMBDA(_xlpm.a,_xlpm.v,_xlfn.LET(_xlpm.lt,_xlfn.TAKE(_xlpm.a,-2),_xlpm.ns,INDEX(_xlpm.lt,2),_xlpm.pa,_xlpm.ns-_xlfn.SINGLE(_xlpm.lt),_xlpm.ca,INDEX(_xlpm.d,MOD(_xlfn.XMATCH(_xlpm.pa,_xlpm.d)-_xlfn.SEQUENCE(,4,0),4)+1)+_xlpm.ns,_xlpm.cr,INT(_xlpm.ca/_xlpm.m),_xlpm.cc,MOD(_xlpm.ca,_xlpm.m),_xlpm.ob,(_xlpm.cr&lt;_xlpm.mr)+(_xlpm.cr&gt;_xlpm.xr)+(_xlpm.cc&lt;_xlpm.mc)+(_xlpm.cc&gt;_xlpm.xc)+(1-IFERROR(INDEX(_xlpm.mpA,_xlpm.cr-_xlpm.mr+1,_xlpm.cc-_xlpm.mc+1),0)),_xlfn.VSTACK(_xlpm.a,_xlfn.XLOOKUP(0,_xlpm.ob,_xlpm.ca)))))),IF(_xlpm.Show_on_map,_xlfn.LET(_xlpm.gb,_xlfn.GROUPBY(_xlpm.rs,_xlfn.SEQUENCE(ROWS(_xlpm.rs)),_xleta.ARRAYTOTEXT,0,0),IFERROR(VLOOKUP(Addresses_byDiarmuidEarly(_xlpm.um),_xlpm.gb,2,0),IF(_xlpm.mp="","",_xlpm.mp))),_xlpm.rs)))))</definedName>
    <definedName name="IFBLANK">_xlfn.LAMBDA(_xlpm.value,_xlpm.value_if_blank, IF(ISBLANK(_xlpm.value), _xlpm.value_if_blank, _xlpm.value))</definedName>
    <definedName name="IsInList_byErikOehm">_xlfn.LAMBDA(_xlpm.array,_xlpm.list,_xlfn.MAP(_xlpm.array,_xlfn.LAMBDA(_xlpm.x,OR(_xlpm.list=_xlpm.x))))</definedName>
    <definedName name="KnapSackInteger_byHadynWiseman">_xlfn.LAMBDA(_xlpm.Capacity,_xlpm.Weights,_xlpm.Values,_xlop.items,_xlfn.LET(_xlpm.c,_xlpm.Capacity, _xlpm.rs,_xlfn.REDUCE(_xlfn.IFNA(_xlfn.HSTACK(_xlfn.EXPAND(0,_xlpm.c+1,,0),""),""),_xlfn.SEQUENCE(ROWS(_xlpm.Weights)),_xlfn.LAMBDA(_xlpm.a,_xlpm.v,_xlfn.LET( _xlpm.w,_xlfn.SINGLE(INDEX(_xlpm.Weights,_xlpm.v)),_xlpm.p,_xlfn.SINGLE(INDEX(_xlpm.Values,_xlpm.v)),_xlpm.pv,_xlfn.TAKE(_xlpm.a,,1),_xlpm.pl,_xlfn.DROP(_xlpm.a,,1), _xlpm.nv,IF(_xlpm.w&gt;_xlpm.c,_xlpm.pv,IF(_xlpm.w=0,_xlpm.pv+_xlpm.p,_xlfn.VSTACK(_xlfn.EXPAND(0,_xlpm.w,,0),_xlfn.DROP(_xlpm.pv,-_xlpm.w)+_xlpm.p))), _xlpm.nl,IF(_xlpm.w&gt;_xlpm.c,_xlpm.pl,IF(_xlpm.w=0,_xlpm.pl,_xlfn.VSTACK(_xlfn.EXPAND("",_xlpm.w,,""),_xlfn.DROP(_xlpm.pl,-_xlpm.w)))), _xlpm.k,_xlpm.nv&gt;_xlpm.pv,_xlfn.HSTACK(IF(_xlpm.k,_xlpm.nv,_xlpm.pv),IF(_xlpm.k,_xlpm.nl&amp;1,_xlpm.pl&amp;0))))), IF(_xlfn.ISOMITTED(_xlpm.items),_xlfn.SINGLE(_xlfn.TAKE(_xlpm.rs,-1,1)),_xlfn.LET(_xlpm.b,_xlfn.SINGLE(_xlfn.TAKE(_xlpm.rs,-1,-1)),_xlfn._xlws.FILTER(_xlfn.HSTACK(_xlpm.items,_xlpm.Weights,_xlpm.Values),--MID(_xlpm.b,_xlfn.SEQUENCE(LEN(_xlpm.b)),1))))))</definedName>
    <definedName name="LanguageList">'Regional Settings'!$O$10</definedName>
    <definedName name="LetterType_byHadynWiseman">_xlfn.LAMBDA(_xlpm.text,_xlop.Vowels,_xlop.Digits,_xlfn.LET(_xlpm.l,SplitText_byHadynWiseman(_xlpm.text), _xlpm.vo,_xlfn.REGEXTEST(_xlpm.l,"A|E|I|O|U",1), _xlpm.dg,_xlfn.REGEXTEST(_xlpm.l,"[0-9]"), _xlpm.sym,EXACT(UPPER(_xlpm.l),LOWER(_xlpm.l)), _xlpm.upp,EXACT(UPPER(_xlpm.l),_xlpm.l), IF(_xlpm.Digits,IF(_xlpm.sym,IF(_xlpm.dg,"D","S"),"L"),IF(_xlpm.sym,"S",IF(_xlpm.Vowels,IF(_xlpm.vo,"V","C"),IF(_xlpm.upp,"U","L"))))))</definedName>
    <definedName name="LineOfSight_byHadynWiseman">_xlfn.LAMBDA(_xlpm.mp,_xlpm.Projections,_xlpm.blockers,_xlop.No_Diag,_xlop.Distance,_xlop.Custom_RC_Directions,_xlop.Fill, _xlfn.LET(_xlpm.M,10^6,_xlpm.R,ROWS(_xlpm.mp),_xlpm.C,COLUMNS(_xlpm.mp),_xlpm.rcn,_xlfn.SEQUENCE(_xlpm.R)*_xlpm.M+_xlfn.SEQUENCE(,_xlpm.C),_xlpm.fm,_xlfn.TOCOL(_xlpm.mp),_xlpm.fr,_xlfn.TOCOL(_xlpm.rcn),_xlpm.pm,ISNUMBER(_xlfn.XMATCH(_xlpm.fm,_xlpm.Projections)),_xlpm.st,_xlfn._xlws.FILTER(_xlpm.fr,_xlpm.pm,0),_xlpm.em,IF(_xlpm.mp="","",_xlpm.mp), IF(_xlfn.SINGLE(_xlpm.st)=0,_xlpm.em,_xlfn.LET(_xlpm.nm,_xlfn._xlws.FILTER(_xlpm.fm,_xlpm.pm),_xlpm.bk,_xlfn._xlws.FILTER(_xlpm.fr,ISNUMBER(_xlfn.XMATCH(_xlpm.fm,_xlpm.blockers)),-1), _xlpm.dr,IF(_xlfn.ISOMITTED(_xlpm.Custom_RC_Directions),_xlfn.TAKE(_xlfn.VSTACK(_xlpm.M,-_xlpm.M,1,-1,_xlpm.M+1,-_xlpm.M-1,_xlpm.M-1,1-_xlpm.M),8-4*_xlpm.No_Diag),_xlfn.TOCOL(_xlpm.Custom_RC_Directions,3)),_xlpm.td,_xlfn.TOROW(_xlpm.dr), _xlpm.sa,_xlfn.TOCOL(_xlpm.st+_xlpm.td*0),_xlpm.na,_xlfn.TOCOL(IF(_xlpm.td=_xlpm.td,_xlpm.nm)),_xlpm.da,_xlfn.TOCOL(_xlpm.st*0+_xlpm.td),_xlpm.dis,IF(_xlfn.ISOMITTED(_xlpm.Distance),MAX(_xlpm.R,_xlpm.C),_xlpm.Distance)+1,_xlpm.sq,_xlfn.SEQUENCE(,_xlpm.dis,0),_xlpm.pt,_xlpm.sa+_xlpm.da*_xlpm.sq, _xlpm.pr,INT(_xlpm.pt/_xlpm.M),_xlpm.pc,MOD(_xlpm.pt,_xlpm.M),_xlpm.sp,(_xlpm.pr&lt;1)+(_xlpm.pr&gt;_xlpm.R)+(_xlpm.pc&lt;1)+(_xlpm.pc&gt;_xlpm.C)+ISNUMBER(_xlfn.XMATCH(_xlpm.pt,_xlpm.bk)),_xlpm.si,_xlfn.BYROW(IF(_xlpm.sp,_xlpm.sq,_xlpm.dis),_xlfn.LAMBDA(_xlpm.x,MIN(_xlpm.x))), _xlpm.vp,_xlfn._xlws.FILTER(_xlfn.HSTACK(_xlfn.TOCOL(_xlpm.pt),_xlfn.TOCOL(IF(_xlpm.sq=_xlpm.sq,_xlpm.na))),_xlfn.TOCOL(_xlpm.sq&lt;_xlpm.si)),_xlpm.up,_xlfn.UNIQUE(_xlpm.vp),_xlpm.uc,_xlfn.TAKE(_xlpm.up,,1), _xlpm.lut,IF(_xlfn.ISOMITTED(_xlpm.Fill),_xlfn.GROUPBY(_xlpm.uc,_xlfn.DROP(_xlpm.up,,1),_xlfn.LAMBDA(_xlpm.x,_xlfn.TEXTJOIN("/",1,_xlpm.x)),0,0),_xlfn.HSTACK(_xlfn.UNIQUE(_xlpm.uc),_xlpm.Fill)), _xlfn.IFNA(VLOOKUP(_xlpm.rcn,_xlpm.lut,2,0),_xlpm.em)))))</definedName>
    <definedName name="LineOfSightCount_byHadynWiseman">_xlfn.LAMBDA(_xlpm.st,_xlpm.mp,_xlpm.ItemsToCount,_xlop.Blockers,_xlop.No_Diag,_xlop.Distance,_xlop.Custom_Directions,_xlop.ReferenceMap, _xlfn.LET(_xlpm.M,10^6,_xlpm.rm,_xlpm.ReferenceMap,_xlpm.nv,NOT(ISREF(_xlpm.mp)),_xlpm.ms,_xlfn.ISOMITTED(_xlpm.rm), IF(_xlpm.nv*_xlpm.ms,"Map is not a range, add reference map", _xlfn.LET(_xlpm.um,IF(_xlpm.ms,_xlpm.mp,_xlpm.rm),_xlpm.rn,ROW(_xlpm.um),_xlpm.cn,COLUMN(_xlpm.um),_xlpm.mr,MIN(_xlpm.rn),_xlpm.xr,MAX(_xlpm.rn),_xlpm.mc,MIN(_xlpm.cn),_xlpm.xc,MAX(_xlpm.cn), _xlpm.fm,_xlfn.TOCOL(_xlpm.mp),_xlpm.fr,_xlfn.TOCOL(_xlpm.rn*_xlpm.M+_xlpm.cn),_xlpm.bk,_xlfn._xlws.FILTER(_xlpm.fr,ISNUMBER(_xlfn.XMATCH(_xlpm.fm,_xlpm.Blockers)),-1), _xlpm.dr,IF(_xlfn.ISOMITTED(_xlpm.Custom_Directions),_xlfn.TAKE(_xlfn.VSTACK(_xlpm.M,-_xlpm.M,1,-1,_xlpm.M+1,-_xlpm.M-1,_xlpm.M-1,1-_xlpm.M),8-4*_xlpm.No_Diag),_xlfn.TOCOL(_xlpm.Custom_Directions,3)), _xlpm.dis,IF(_xlfn.ISOMITTED(_xlpm.Distance),MAX(ROWS(_xlpm.um),COLUMNS(_xlpm.um)),_xlpm.Distance)+1,_xlpm.sq,_xlfn.SEQUENCE(,_xlpm.dis,0), _xlpm.pt,RCRefConvert_byHadynWiseman(_xlpm.st)+_xlpm.dr*_xlpm.sq, _xlpm.pr,INT(_xlpm.pt/_xlpm.M),_xlpm.pc,MOD(_xlpm.pt,_xlpm.M),_xlpm.sp,(_xlpm.pr&lt;_xlpm.mr)+(_xlpm.pr&gt;_xlpm.xr)+(_xlpm.pc&lt;_xlpm.mc)+(_xlpm.pc&gt;_xlpm.xc)+ISNUMBER(_xlfn.XMATCH(_xlpm.pt,_xlpm.bk)), _xlpm.si,_xlfn.BYROW(IF(_xlpm.sp,_xlpm.sq,_xlpm.dis),_xlfn.LAMBDA(_xlpm.x,MIN(_xlpm.x))), _xlpm.up,_xlfn.UNIQUE(_xlfn._xlws.FILTER(_xlfn.TOCOL(_xlpm.pt),_xlfn.TOCOL(_xlpm.sq&lt;_xlpm.si))), SUM(--ISNUMBER(_xlfn.XMATCH(_xlfn.IFNA(_xlfn.XLOOKUP(_xlpm.up,_xlpm.fr,_xlpm.fm),""),_xlpm.ItemsToCount)))))))</definedName>
    <definedName name="List_Separator">'Regional Settings'!$C$14</definedName>
    <definedName name="LkpRC">_xlfn.LAMBDA(_xlpm.ToFind,_xlpm.Range,_xlfn.LET(_xlpm.\\LambdaName, "LkpRC", _xlpm.\\CommandName, "Lookup RC coordinates ", _xlpm.\\Description, "Looks up RC coordinates of matching cell(s) in range", _xlfn.CHOOSECOLS(FilterArray_byErikOehm(GridToCol_byLiannaGerrish(_xlpm.Range), {1}, _xlpm.ToFind), {2,3})))</definedName>
    <definedName name="LkpRCByRow">_xlfn.LAMBDA(_xlpm.ToFind,_xlpm.Range,_xlfn.LET(_xlpm.\\LambdaName, "LkpRCByRow", _xlpm.\\CommandName, "Lookup Value by Row", _xlpm.\\Description, "Returns RC location of a list of values in a range", _xlpm.\\Source, "Jaq Kennedy", BiRow_byHadynWiseman(_xlpm.ToFind, _xlfn.LAMBDA(_xlpm.a, IFERROR(_xlfn.CHOOSEROWS(LkpRC(_xlpm.a, _xlpm.Range), 1), {"",""})))))</definedName>
    <definedName name="Loaded_Decimal_Separator">'Regional Settings'!$E$12</definedName>
    <definedName name="Loaded_Language">'Regional Settings'!$E$15</definedName>
    <definedName name="Loaded_Language_ID">'Regional Settings'!$E$16</definedName>
    <definedName name="Loaded_List_Separator">'Regional Settings'!$E$14</definedName>
    <definedName name="Loaded_Thousands_Separator">'Regional Settings'!$E$13</definedName>
    <definedName name="Loaded_Use_System_Separators">'Regional Settings'!$E$11</definedName>
    <definedName name="MassSubstitute_byHadynWiseman">_xlfn.LAMBDA(_xlpm.Text,_xlpm.OldText,_xlop.NewText,_xlop.CaseSensitive,_xlop.InstanceNumber,_xlop.Regexmode,_xlfn.MAP(_xlpm.Text,_xlfn.LAMBDA(_xlpm.x, _xlfn.LET(_xlpm.ot,IF(_xlpm.Regexmode,"","\Q")&amp;_xlfn.TOCOL(_xlpm.OldText)&amp;IF(_xlpm.Regexmode,"","\E"),_xlpm.nt,"\Q"&amp;IF(_xlfn.ISOMITTED(_xlpm.NewText),_xlfn.EXPAND("",ROWS(_xlpm.ot),,""),_xlpm.NewText)&amp;"\E",_xlpm.in,_xlfn.EXPAND(_xlpm.InstanceNumber,ROWS(_xlpm.ot),,_xlfn.SINGLE(_xlpm.InstanceNumber)), _xlpm.ms,_xlfn.REDUCE(_xlpm.x,_xlfn.SEQUENCE(ROWS(_xlpm.ot)),_xlfn.LAMBDA(_xlpm.a,_xlpm.v,_xlfn.REGEXREPLACE(_xlpm.a,INDEX(_xlpm.ot,_xlpm.v),INDEX(_xlpm.nt,_xlpm.v),IF(_xlfn.ISOMITTED(_xlpm.InstanceNumber),0,INDEX(_xlpm.in,_xlpm.v)),1-_xlpm.CaseSensitive))), _xlpm.ms))))</definedName>
    <definedName name="Maze_byHadynWiseman">_xlfn.LAMBDA(_xlpm.mp,_xlpm.st,_xlop.targets,_xlop.No_Diag,_xlop.AllowMp,_xlop.Custom_Directions,_xlop.ReferenceMap,_xlfn.LET(_xlpm.M,10^6,_xlpm.rm,_xlpm.ReferenceMap,_xlpm.nv,NOT(ISREF(_xlpm.mp)),_xlpm.mis,_xlfn.ISOMITTED(_xlpm.rm),IF(_xlpm.nv*_xlpm.mis,"Map is not a range, add reference map",_xlfn.LET( _xlpm.um,IF(_xlpm.mis,_xlpm.mp,_xlpm.rm),_xlpm.rn,ROW(_xlpm.um),_xlpm.cn,COLUMN(_xlpm.um),_xlpm.rcn,_xlpm.rn*_xlpm.M+_xlpm.cn, _xlpm.directions,{-1000000,-1,1,1000000,-1000001,-999999,999999,1000001},_xlpm.xRC,IF(_xlfn.ISOMITTED(_xlpm.Custom_Directions),_xlfn.TAKE(_xlpm.directions,,8-4*_xlpm.No_Diag),_xlfn.TOROW(_xlpm.Custom_Directions,3)), _xlpm.mpA,IF(_xlfn.ISOMITTED(_xlpm.AllowMp),_xlpm.mp,_xlpm.AllowMp),_xlpm.al,IF(Exists_byHadynWiseman("",_xlfn.TOCOL(_xlpm.mp)),"",0),   _xlpm.Rec,_xlfn.LAMBDA(_xlpm.f,_xlpm.a,_xlfn.LET(_xlpm.j,_xlfn.DROP(_xlpm.a,,1),_xlpm.i,MAX(_xlpm.j)+1,_xlpm.p,_xlfn._xlws.FILTER(_xlpm.a,_xlpm.j=_xlpm.i-1),     _xlpm.b,_xlfn.TAKE(_xlpm.p,,1)+_xlpm.xRC,_xlpm.br,INT(_xlpm.b/_xlpm.M),_xlpm.bc,MOD(_xlpm.b,_xlpm.M),_xlpm.c,_xlfn.IFS(_xlpm.br*_xlpm.bc*ISNA(_xlfn.XMATCH(_xlpm.b,_xlfn.TAKE(_xlpm.a,,1))),INDEX(_xlpm.mpA,_xlpm.br-_xlfn.SINGLE(_xlpm.rn)+1,_xlpm.bc-_xlfn.SINGLE(_xlpm.cn)+1)),     _xlpm.h,_xlfn.IFNA(_xlfn.HSTACK(_xlfn.UNIQUE(_xlfn.TOCOL(_xlfn.IFS(IF(_xlfn.ISOMITTED(_xlpm.AllowMp),_xlpm.c=_xlpm.al,_xlpm.c),_xlpm.b),3)),_xlpm.i),_xlpm.i),     IF(ISERR(_xlfn.SINGLE(_xlpm.h)),_xlpm.a,_xlpm.f(_xlpm.f,_xlfn.VSTACK(_xlpm.a,_xlpm.h))))), _xlpm.rs,_xlpm.Rec(_xlpm.Rec,_xlfn.IFNA(_xlfn.HSTACK(_xlfn.TOCOL(RowNum_byHadynWiseman(_xlpm.st)*_xlpm.M+ColNum_byHadynWiseman(_xlpm.st)),0),0)), _xlpm.final,IF(_xlfn.ISOMITTED(_xlpm.targets),_xlfn.IFNA(VLOOKUP(_xlpm.rcn,_xlpm.rs,2,0),""),_xlfn.IFNA(VLOOKUP(RowNum_byHadynWiseman(_xlpm.targets)*_xlpm.M+ColNum_byHadynWiseman(_xlpm.targets),_xlpm.rs,2,0),"OOB")), _xlpm.final))))</definedName>
    <definedName name="MazeDistance_byHadynWiseman">_xlfn.LAMBDA(_xlpm.mp,_xlpm.st,_xlop.Targets,_xlop.No_Diag,_xlop.Allowmp,_xlop.Show_Steps,_xlop.Cus_Dir,_xlop.Mazelam,_xlop.ReferenceMap,_xlfn.LET(_xlpm.M,10^6,_xlpm.rm,_xlpm.ReferenceMap,_xlpm.nv,NOT(ISREF(_xlpm.mp)),_xlpm.mis,_xlfn.ISOMITTED(_xlpm.rm),IF(_xlpm.nv*_xlpm.mis,"Map is not a range, add reference map",_xlfn.LET( _xlpm.um,IF(_xlpm.mis,_xlpm.mp,_xlpm.rm),_xlpm.rn,ROW(_xlpm.um),_xlpm.cn,COLUMN(_xlpm.um),_xlpm.rcn,_xlpm.rn*_xlpm.M+_xlpm.cn, _xlpm.dir,{1000000,-1000000,1,-1,1000001,-1000001,999999,-999999},_xlpm.xRC,IF(_xlfn.ISOMITTED(_xlpm.Cus_Dir),_xlfn.TAKE(_xlpm.dir,,8-4*_xlpm.No_Diag),_xlfn.TOROW(_xlpm.Cus_Dir,3)),_xlpm.ir,_xlfn.SINGLE(_xlpm.rn)-1,_xlpm.ic,_xlfn.SINGLE(_xlpm.cn)-1,_xlpm.na,_xlfn.HSTACK(0,0,0),_xlpm.rcst,_xlfn.TOCOL(RowNum_byHadynWiseman(_xlpm.st)*_xlpm.M+ColNum_byHadynWiseman(_xlpm.st)),_xlpm.mpA,IF(_xlfn.ISOMITTED(_xlpm.Allowmp),ISNUMBER(_xlpm.mp),_xlpm.Allowmp),    _xlpm.fx, _xlfn.LAMBDA(_xlpm.lfx,_xlpm.pool,_xlpm.ft,_xlpm.n,      _xlfn.LET(_xlpm.fcl,_xlfn.TAKE(_xlpm.ft,,1),_xlpm.cf,_xlfn.TOCOL(_xlpm.fcl+_xlfn.SEQUENCE(,COUNTA(_xlpm.xRC),0,0)),_xlpm.rf,INT(_xlpm.cf/_xlpm.M)-_xlpm.ir,_xlpm.clf,MOD(_xlpm.cf,_xlpm.M)-_xlpm.ic,_xlpm.ct,_xlfn.TOCOL(_xlpm.fcl+_xlpm.xRC),_xlpm.rt,INT(_xlpm.ct/_xlpm.M)-_xlpm.ir,_xlpm.clt,MOD(_xlpm.ct,_xlpm.M)-_xlpm.ic,_xlpm.conf,INDEX(_xlpm.mp,_xlpm.rf,_xlpm.clf),_xlpm.cont,INDEX(_xlpm.mp,_xlpm.rt,_xlpm.clt),      _xlpm.st,_xlfn.TOCOL(_xlfn.SEQUENCE(ROWS(_xlpm.ft),,0,0)+_xlfn.SEQUENCE(,COUNTA(_xlpm.xRC),_xlpm.n+1,0)),_xlpm.df,_xlfn.TOCOL(_xlfn.CHOOSECOLS(_xlpm.ft,2)+_xlfn.SEQUENCE(,COUNTA(_xlpm.xRC),0,0)),_xlpm.dr,_xlfn.TOCOL(_xlpm.xRC+_xlfn.SEQUENCE(COUNTA(_xlpm.fcl),,0,0)),      _xlpm.pd,_xlfn.IFNA(_xlfn.XLOOKUP(_xlpm.ct,_xlfn.TAKE(_xlpm.pool,,1),_xlfn.CHOOSECOLS(_xlpm.pool,2),,,2),""),      _xlpm.ift,_xlfn._xlws.SORT(IF(_xlpm.rt*_xlpm.clt,_xlfn.LET(_xlpm.al,IFERROR(INDEX(_xlpm.mpA,_xlpm.rt,_xlpm.clt),0),_xlpm.nd,IF(_xlfn.ISOMITTED(_xlpm.Mazelam),_xlpm.cont,_xlpm.Mazelam(_xlpm.conf,_xlpm.cont,_xlpm.cf,_xlpm.ct,_xlpm.st,_xlpm.df,_xlpm.dr)),IF(_xlpm.al,IFERROR(IF(_xlpm.nd+_xlpm.df&lt;_xlpm.pd,_xlfn.HSTACK(_xlpm.ct,_xlpm.df+_xlpm.nd,_xlpm.st),_xlpm.na),_xlpm.na),_xlpm.na)),_xlpm.na),{1,2},{1,-1}),      _xlpm.nft,_xlfn.LET(_xlpm.au,_xlfn.UNIQUE(_xlfn.TAKE(_xlpm.ift,,1)),_xlpm.a,_xlfn.HSTACK(_xlpm.au,VLOOKUP(_xlpm.au,_xlpm.ift,2),VLOOKUP(_xlpm.au,_xlpm.ift,3)),_xlfn._xlws.FILTER(_xlpm.a,_xlfn.TAKE(_xlpm.a,,1)&gt;0,_xlpm.na)),      _xlpm.npool,_xlfn.LET(_xlpm.b,_xlfn._xlws.SORT(_xlfn.VSTACK(_xlpm.pool,_xlpm.nft),{1,2},{1,-1}),_xlpm.bu,_xlfn.UNIQUE(_xlfn.TAKE(_xlpm.b,,1)),_xlfn.HSTACK(_xlpm.bu,VLOOKUP(_xlpm.bu,_xlpm.b,2),VLOOKUP(_xlpm.bu,_xlpm.b,3))),    IF(SUM(_xlpm.nft)=0,_xlpm.pool,_xlpm.lfx(_xlpm.lfx,_xlpm.npool,_xlpm.nft,_xlpm.n+1)))),  _xlpm.rs,_xlpm.fx(_xlpm.fx,_xlfn.IFNA(_xlfn.HSTACK(_xlpm.rcst,0,0),0),_xlfn.IFNA(_xlfn.HSTACK(_xlpm.rcst,0,0),0),0),_xlpm.end,_xlfn.LET(_xlpm.z,IF(_xlfn.ISOMITTED(_xlpm.Show_Steps),2,3),IF(_xlfn.ISOMITTED(_xlpm.Targets),_xlfn.IFNA(VLOOKUP(_xlpm.rcn,_xlpm.rs,_xlpm.z,),""),VLOOKUP(RowNum_byHadynWiseman(_xlpm.Targets)*_xlpm.M+ColNum_byHadynWiseman(_xlpm.Targets),_xlpm.rs,_xlpm.z,))),_xlpm.end))))</definedName>
    <definedName name="MissingLetters_byJaqKennedy">_xlfn.LAMBDA(_xlpm.list,_xlop.pool,_xlfn.LET(_xlpm._Pool,IF(_xlfn.ISOMITTED(_xlpm.pool),Alphabet_byHadynWiseman(),_xlpm.pool),NotInList_byJaqKennedy(_xlpm._Pool,_xlpm.list)))</definedName>
    <definedName name="MM_byHaDang" comment="Applies -- to values, with option to sum output.  ">_xlfn.LAMBDA(_xlpm.value,_xlop.add_up, _xlfn.LET(
   _xlpm.\\LambdaName, "MM_byHaDang",
   _xlpm.\\Description, "Applies -- to values, with option to sum output",
   _xlpm.result, IFERROR(--(_xlpm.value), _xlpm.value &amp; ""),
   IF(_xlpm.add_up, SUM(_xlpm.result), _xlpm.result)
))</definedName>
    <definedName name="ModeSuper_byLiannaGerrish">_xlfn.LAMBDA(_xlpm.rng,_xlfn.LET(_xlpm.u,_xlfn.TOCOL(_xlfn.UNIQUE(_xlpm.rng),3),_xlfn.TAKE(_xlfn._xlws.SORT(_xlfn.HSTACK(_xlpm.u,COUNTIF(_xlpm.rng,_xlpm.u)),2,-1),1)))</definedName>
    <definedName name="MostOf_byHadynWiseman" comment="Hadyn Wiseman. [Letter_Mode] restored 2026-09-22: 1 counts the letters of the text, 0 counts each cell whole, so MostOf(A1,0) on &quot;BANANA&quot; returns BANANA, 1. Omitted, a single cell is split into letters.">_xlfn.LAMBDA(_xlpm.Array,_xlop.Letter_Mode,_xlop.Overlay_Array,_xlfn.LET(_xlpm.split, IF(_xlfn.ISOMITTED(_xlpm.Letter_Mode), COUNTA(_xlpm.Array) = 1, _xlpm.Letter_Mode), _xlpm.vals, _xlfn.TOCOL(IF(_xlpm.split, SplitText_byHadynWiseman(_xlfn.CONCAT(_xlpm.Array)), _xlpm.Array), 3), _xlpm.table, _xlfn.GROUPBY(_xlpm.vals, _xlpm.vals, _xleta.ROWS, 0, 0, -2), IF(_xlfn.ISOMITTED(_xlpm.Overlay_Array), _xlpm.table, IFERROR(VLOOKUP(_xlpm.Overlay_Array, _xlpm.table, 2, 0), 0))))</definedName>
    <definedName name="MoveOnMap_byHadynWiseman">_xlfn.LAMBDA(_xlpm.St,_xlpm.Dir,_xlop.Steps,_xlop.mp,_xlop.Path,_xlop.Stop,_xlop.Glide,_xlop.Bounce,_xlop.Wrap,_xlop.RefMap,_xlop.mpA,_xlop.ShowDir,_xlfn.LET(_xlpm.sp,_xlpm.Path,_xlpm.sh,_xlpm.ShowDir,_xlpm.b,_xlpm.Bounce,_xlpm.g,_xlpm.Glide,_xlpm.wa,_xlpm.Wrap,_xlpm.rp,_xlpm.RefMap,_xlpm.ar,ArrowsLookup_byHadynWiseman(_xlpm.Dir),_xlpm.M,1000000,_xlpm.r,RowNum_byHadynWiseman(_xlpm.St),_xlpm.c,ColNum_byHadynWiseman(_xlpm.St),_xlpm.u,IF(_xlfn.ISOMITTED(_xlpm.rp),_xlpm.mp,_xlpm.rp),_xlpm.rr,ROW(_xlpm.u),_xlpm.cc,COLUMN(_xlpm.u),_xlpm.rn,_xlpm.rr*_xlpm.M+_xlpm.cc,_xlpm.ri,MIN(_xlpm.rr),_xlpm.ci,MIN(_xlpm.cc),_xlpm.rx,MAX(_xlpm.rr),_xlpm.cx,MAX(_xlpm.cc),_xlpm.mt,IF(_xlfn.ISOMITTED(_xlpm.Steps),1,_xlpm.Steps),_xlpm.am,_xlfn.ISOMITTED(_xlpm.mpA),_xlpm.ib,_xlfn.TOCOL(IF(_xlpm.am,_xlpm.rn,IF(_xlpm.mpA,_xlpm.rn,1/0)),2),_xlpm.d,{"↗";"↖";"↙";"↓";"↘";"→";"↑";"←"},_xlpm.dd,{"↘";"↖";"↙";"↗"},_xlpm.rm,_xlfn.XLOOKUP(_xlpm.ar,_xlpm.d,{-1;-1;1;1;1;0;-1;0}),_xlpm.cm,_xlfn.XLOOKUP(_xlpm.ar,_xlpm.d,{1;-1;-1;0;1;1;0;-1}),IF(_xlpm.mt=0,_xlpm.St,  IF(_xlpm.b+_xlpm.g,_xlfn.LET(_xlpm.pt,_xlfn.REDUCE(_xlfn.HSTACK(_xlpm.r*_xlpm.M+_xlpm.c,_xlpm.ar,_xlpm.ar,0),_xlfn.SEQUENCE(_xlpm.mt),_xlfn.LAMBDA(_xlpm.a,_xlpm.v,IF(_xlfn.SINGLE(_xlfn.TAKE(_xlpm.a,-1,-1))=1,_xlpm.a,_xlfn.LET(_xlpm.sc,_xlfn.SINGLE(_xlfn.TAKE(_xlpm.a,-1,1)),_xlpm.sa,_xlfn.SINGLE(_xlfn.TAKE(_xlpm.a,-1,IF(_xlpm.b,-2,-3))),_xlpm.gc,RCRefConvert_byHadynWiseman(_xlpm.sa)+_xlpm.sc,_xlpm.rs,IF(COUNT(_xlfn.XMATCH(_xlpm.gc,_xlpm.ib)),_xlfn.HSTACK(_xlpm.gc,_xlpm.sa,_xlpm.sa,0),_xlfn.LET(_xlpm.ck,_xlfn.XLOOKUP(_xlpm.sa,_xlpm.dd,{1000000,1,"↗","↙","→","↓";-1000000,-1,"↙","↗","←","↑";1000000,-1,"↖","↘","←","↓";-1000000,1,"↘","↖","→","↑"}),_xlpm.cb,--ISNUMBER(_xlfn.XMATCH(_xlfn.TAKE(_xlpm.ck,,2)+_xlpm.sc,_xlpm.ib)),_xlpm.ea,IF(ISERROR(_xlfn.SINGLE(_xlpm.ck)),IF(_xlpm.g,0,_xlfn.XLOOKUP(_xlpm.sa,{"↓";"↑";"→";"←"},{"↑";"↓";"←";"→"})),IF(SUM(_xlpm.cb)&lt;&gt;1,IF(_xlpm.g,0,_xlfn.XLOOKUP(_xlpm.sa,_xlpm.dd,{"↖";"↘";"↗";"↙"})),_xlfn.CONCAT(_xlfn.XLOOKUP(0,_xlpm.cb,IF(_xlpm.b,_xlfn.CHOOSECOLS(_xlpm.ck,3,4),_xlfn.DROP(_xlpm.ck,,4)))))),_xlpm.nc,RCRefConvert_byHadynWiseman(_xlpm.ea)+_xlpm.sc,IF((_xlpm.ea=0)+ISNA(_xlfn.XMATCH(_xlpm.nc,_xlpm.ib)),_xlfn.HSTACK(_xlfn.TAKE(_xlpm.a,-1,3),1),_xlfn.HSTACK(_xlpm.nc,IF(_xlpm.g,_xlpm.ar,_xlpm.sa),_xlpm.ea,0)))),IF(_xlpm.sp,_xlfn.VSTACK(_xlpm.a,_xlpm.rs),_xlpm.rs))))),_xlpm.cp,IF((_xlfn.SINGLE(_xlfn.TAKE(_xlpm.pt,-1,-1))=1)*(ROWS(_xlpm.pt)&gt;1),_xlfn.DROP(_xlpm.pt,-1),_xlpm.pt),_xlpm.rc,RCRefConvert_byHadynWiseman(_xlfn.TAKE(_xlpm.cp,,1)),IF(_xlpm.sh,_xlfn.HSTACK(_xlpm.rc,IF(ROWS(_xlpm.cp)=1,{0,0},_xlfn.VSTACK(_xlfn.DROP(_xlfn.CHOOSECOLS(_xlpm.cp,2,3),1),{0,0}))),_xlpm.rc)),  _xlfn.LET(_xlpm.fs,(_xlpm.sp=0)*_xlpm.am,_xlpm.vr,IF(_xlpm.rm,_xlfn.LET(_xlpm.x,IF(_xlpm.rm&lt;0,_xlpm.r-_xlpm.ri,_xlpm.rx-_xlpm.r),_xlpm.x*(_xlpm.x&gt;0)),_xlpm.mt),_xlpm.vc,IF(_xlpm.cm,_xlfn.LET(_xlpm.x,IF(_xlpm.cm&lt;0,_xlpm.c-_xlpm.ci,_xlpm.cx-_xlpm.c),_xlpm.x*(_xlpm.x&gt;0)),_xlpm.mt),_xlpm.sm,IF(_xlpm.vr&lt;_xlpm.vc,_xlpm.vr,_xlpm.vc),_xlpm.sq,IF(_xlpm.fs,IF(_xlpm.Stop,IF(_xlpm.mt&lt;_xlpm.sm,_xlpm.mt,_xlpm.sm),_xlpm.mt),_xlfn.SEQUENCE(_xlpm.mt+1,,0)),_xlpm.ra,IF(_xlpm.wa,MOD(_xlpm.r+_xlpm.rm*_xlpm.sq-_xlpm.ri,_xlpm.rx-_xlpm.ri+1)+_xlpm.ri,_xlpm.r+_xlpm.rm*_xlpm.sq),_xlpm.ca,IF(_xlpm.wa,MOD(_xlpm.c+_xlpm.cm*_xlpm.sq-_xlpm.ci,_xlpm.cx-_xlpm.ci+1)+_xlpm.ci,_xlpm.c+_xlpm.cm*_xlpm.sq),_xlpm.gl,IFERROR(ADDRESS(_xlpm.ra,_xlpm.ca,4),"OOB"),_xlpm.vi,IF(_xlfn.ISOMITTED(_xlpm.mp),--(_xlpm.gl&lt;&gt;"OOB"),--ISNUMBER(_xlfn.XMATCH(_xlpm.ra*_xlpm.M+_xlpm.ca,_xlpm.ib))),IF(_xlpm.fs,IF(_xlpm.vi,_xlpm.gl,"OOB"),_xlfn.LET(_xlpm.fo,_xlfn.XMATCH(0,_xlpm.vi),_xlpm.fp,IF(ISNA(_xlpm.fo),_xlpm.gl,IF(_xlpm.Stop,IF(_xlpm.fo=1,"OOB",_xlfn.TAKE(_xlpm.gl,_xlpm.fo-1)),IF(_xlpm.vi,_xlpm.gl,"OOB"))),IF(_xlpm.sp,_xlpm.fp,_xlfn.SINGLE(_xlfn.TAKE(_xlpm.fp,-1))))))))))</definedName>
    <definedName name="NetworkGraph_byHadynWiseman">_xlfn.LAMBDA(_xlpm.Starts,_xlpm.OriginDestinationTable,_xlop.Weights,_xlop.Function,_xlop.Targets,_xlop.BiDirectional,_xlop.StartWeights,_xlop.MaximiseW,_xlop.StepLimit,_xlop.ShowRoute,_xlfn.LET(_xlpm.ori, _xlfn.TAKE(_xlpm.OriginDestinationTable, , 1), _xlpm.des, _xlfn.TAKE(_xlpm.OriginDestinationTable, , -1), _xlpm.o, IF(_xlpm.BiDirectional, _xlfn.VSTACK(_xlpm.ori, _xlpm.des), _xlpm.ori), _xlpm.d, IF(_xlpm.BiDirectional, _xlfn.VSTACK(_xlpm.des, _xlpm.ori), _xlpm.des), _xlpm.w, IF(_xlfn.ISOMITTED(_xlpm.Weights), _xlfn.SEQUENCE(ROWS(_xlpm.o), , 1, 0), IF(_xlpm.BiDirectional, _xlfn.VSTACK(_xlpm.Weights, _xlpm.Weights), _xlpm.Weights)), _xlpm.st, _xlfn.IFNA(_xlfn.HSTACK(_xlfn.TOCOL(_xlpm.Starts), IF(_xlfn.ISOMITTED(_xlpm.StartWeights), 0, _xlfn.TOCOL(_xlpm.StartWeights)), 0, 0), 0), _xlpm.na, _xlfn.HSTACK(0, 0, 0, 0), _xlpm.fx, _xlfn.LAMBDA(_xlpm.lfx,_xlpm.pool,_xlpm.ft,_xlpm.n, _xlfn.LET(_xlpm.ct, IF(_xlfn.ISOMITTED(_xlpm.Function), BiRow_byHadynWiseman(_xlpm.ft, _xlfn.LAMBDA(_xlpm.r, IFERROR(_xlfn.EXPAND(_xlfn._xlws.FILTER(_xlfn.IFNA(_xlfn.HSTACK(_xlpm.d, _xlfn.MAP(_xlpm.w, _xlfn.LAMBDA(_xlpm.f, SUM(_xlpm.f, INDEX(_xlpm.r, 1, 2)))), _xlpm.n + 1), _xlpm.n + 1), _xlpm.o = INDEX(_xlpm.r, 1, 1)), , 4, INDEX(_xlpm.r, 1, 1)), _xlpm.r))), BiRow_byHadynWiseman(_xlpm.ft, _xlfn.LAMBDA(_xlpm.r, IFERROR(_xlfn.EXPAND(_xlfn._xlws.FILTER(_xlfn.IFNA(_xlfn.HSTACK(_xlpm.d, _xlfn.MAP(_xlpm.w, _xlfn.LAMBDA(_xlpm.f, _xlpm.Function(_xlpm.f, INDEX(_xlpm.r, 1, 2)))), _xlpm.n + 1), _xlpm.n + 1), _xlpm.o = INDEX(_xlpm.r, 1, 1)), , 4, INDEX(_xlpm.r, 1, 1)), _xlpm.r)))), _xlpm.pd, _xlfn.IFNA(_xlfn.XLOOKUP(_xlfn.TAKE(_xlpm.ct, , 1), _xlfn.TAKE(_xlpm.pool, , 1), _xlfn.CHOOSECOLS(_xlpm.pool, 2), , , 2), ""), _xlpm.ift, IF(_xlpm.MaximiseW, _xlfn._xlws.SORT(IF((_xlfn.CHOOSECOLS(_xlpm.ct, 2) &gt; _xlpm.pd) + (_xlpm.pd = ""), _xlpm.ct, _xlpm.na), {1,2,3}, {1,1,1}), _xlfn._xlws.SORT(IF(_xlfn.CHOOSECOLS(_xlpm.ct, 2) &lt; _xlpm.pd, _xlpm.ct, _xlpm.na), {1,2,3}, {1,-1,1})), _xlpm.nft, _xlfn.LET(_xlpm.au, _xlfn.UNIQUE(_xlfn.TAKE(_xlpm.ift, , 1)), _xlpm.a, _xlfn.HSTACK(_xlpm.au, VLOOKUP(_xlpm.au, _xlpm.ift, 2), VLOOKUP(_xlpm.au, _xlpm.ift, 3), VLOOKUP(_xlpm.au, _xlpm.ift, 4)), _xlfn._xlws.FILTER(_xlpm.a, _xlfn.TAKE(_xlpm.a, , 1) &gt; 0, _xlpm.na)), _xlpm.npool, _xlfn.LET(_xlpm.b, IF(_xlpm.MaximiseW, _xlfn._xlws.SORT(_xlfn.VSTACK(_xlpm.pool, _xlpm.nft), {1,2}, {1,1}), _xlfn._xlws.SORT(_xlfn.VSTACK(_xlpm.pool, _xlpm.nft), {1,2}, {1,-1})), _xlpm.bu, _xlfn.UNIQUE(_xlfn.TAKE(_xlpm.b, , 1)), _xlfn.HSTACK(_xlpm.bu, VLOOKUP(_xlpm.bu, _xlpm.b, 2), VLOOKUP(_xlpm.bu, _xlpm.b, 3), VLOOKUP(_xlpm.bu, _xlpm.b, 4))), _xlpm.Stop, (SUM(_xlpm.nft) = 0) + ((_xlpm.StepLimit = _xlpm.n) * NOT(_xlfn.ISOMITTED(_xlpm.StepLimit))), IF(_xlpm.Stop, _xlpm.pool, _xlpm.lfx(_xlpm.lfx, _xlpm.npool, _xlpm.nft, _xlpm.n + 1)))), _xlpm.rs, _xlpm.fx(_xlpm.fx, _xlpm.st, _xlpm.st, 0), _xlpm.end, IF(_xlfn.ISOMITTED(_xlpm.Targets), _xlpm.rs, IF(_xlfn.ISOMITTED(_xlpm.ShowRoute), _xlfn.XLOOKUP(_xlpm.Targets, _xlfn.TAKE(_xlpm.rs, , 1), _xlfn.CHOOSECOLS(_xlpm.rs, 2), , , 2), _xlfn.LET(_xlpm.rt, _xlfn.SCAN(, _xlfn.VSTACK(_xlpm.Targets, _xlfn.SEQUENCE(_xlfn.XLOOKUP(_xlpm.Targets, _xlfn.TAKE(_xlpm.rs, , 1), _xlfn.CHOOSECOLS(_xlpm.rs, 3), , , 2))), _xlfn.LAMBDA(_xlpm.a,_xlpm.v, _xlfn.XLOOKUP(_xlpm.a, _xlfn.TAKE(_xlpm.rs, , 1), _xlfn.TAKE(_xlpm.rs, , -1), , , 2))), _xlfn.HSTACK(_xlpm.rt, VLOOKUP(_xlpm.rt, _xlpm.rs, 2))))), _xlpm.end))</definedName>
    <definedName name="NotInList_byJaqKennedy">_xlfn.LAMBDA(_xlpm.array,_xlpm.list,IFERROR(_xlfn._xlws.FILTER(_xlpm.array,NOT(IsInList_byErikOehm(_xlpm.array,_xlpm.list))),""))</definedName>
    <definedName name="nSet_byJaqKennedy" comment="Intersection: distinct values in both arrays, in array1's order, as a column. Case-insensitive; &quot;&quot; if none. skip_blanks_zeros (default TRUE) drops blanks, &quot;&quot; and 0.">_xlfn.LAMBDA(_xlpm.array1,_xlpm.array2,_xlop.skip_blanks_zeros,_xlfn.LET(_xlpm.skip,IF(_xlfn.ISOMITTED(_xlpm.skip_blanks_zeros),TRUE,_xlpm.skip_blanks_zeros),_xlpm.a,_xlfn.UNIQUE(_xlfn.TOCOL(_xlpm.array1)),_xlpm.keep,ISNUMBER(_xlfn.XMATCH(_xlpm.a,_xlfn.TOCOL(_xlpm.array2)))*IF(_xlpm.skip,(_xlpm.a&lt;&gt;"")*(_xlpm.a&lt;&gt;0),1),_xlfn._xlws.FILTER(_xlpm.a,_xlpm.keep,"")))</definedName>
    <definedName name="OffsetA_byPeterScharl">_xlfn.LAMBDA(_xlpm.arr,_xlpm.rows,_xlop.cols,_xlop.h,_xlop.w,_xlop.pad_with,_xlfn.LET(_xlpm.r,ROWS(_xlpm.arr),_xlpm.c,COLUMNS(_xlpm.arr),_xlpm.y,IF(_xlfn.ISOMITTED(_xlpm.h),_xlpm.r,ABS(_xlpm.h)),_xlpm.x,IF(_xlfn.ISOMITTED(_xlpm.w),_xlpm.c,ABS(_xlpm.w)),_xlpm.i,_xlfn.SEQUENCE(_xlpm.y,,_xlpm.rows+1-(_xlpm.h&lt;0)*(_xlpm.y-1)),_xlpm.j,_xlfn.SEQUENCE(,_xlpm.x,_xlpm.cols+1-(_xlpm.w&lt;0)*(_xlpm.x-1)),IF((_xlpm.i&gt;0)*(_xlpm.i&lt;=_xlpm.r)*(_xlpm.j&gt;0)*(_xlpm.j&lt;=_xlpm.c),INDEX(_xlpm.arr,_xlpm.i,_xlpm.j),_xlpm.pad_with)))</definedName>
    <definedName name="OptimiseTSP_byHadynWiseman">_xlfn.LAMBDA(_xlpm.GreedyResult,_xlpm.DistanceMatrix,     _xlfn.LET(         _xlpm.CurrentFloor,INDEX(_xlpm.GreedyResult,1),         _xlpm.PathString,INDEX(_xlpm.GreedyResult,2),         _xlpm.PathArr,--_xlfn.TEXTSPLIT(_xlpm.PathString,"|"),         _xlpm.N,COLUMNS(_xlpm.PathArr),         _xlpm.IsClosed,INDEX(_xlpm.PathArr,1)=INDEX(_xlpm.PathArr,_xlpm.N),          _xlpm.EdgesFrom,_xlfn.DROP(_xlpm.PathArr,,-1),         _xlpm.EdgesTo,_xlfn.DROP(_xlpm.PathArr,,1),         _xlpm.EdgeCosts,_xlfn.MAP(_xlpm.EdgesFrom,_xlpm.EdgesTo,_xlfn.LAMBDA(_xlpm.f,_xlpm.t,INDEX(_xlpm.DistanceMatrix,_xlpm.f,_xlpm.t))),          _xlpm.MaxIdx,_xlfn.XMATCH(MAX(_xlpm.EdgeCosts),_xlpm.EdgeCosts),         _xlpm.ExtractIdx,IF(AND(_xlpm.IsClosed,_xlpm.MaxIdx=_xlpm.N-1),_xlpm.MaxIdx,_xlpm.MaxIdx+1),         _xlpm.TargetNode,INDEX(_xlpm.PathArr,_xlpm.ExtractIdx),          _xlpm.SplicedPath,_xlfn._xlws.FILTER(_xlpm.PathArr,_xlfn.SEQUENCE(,_xlpm.N)&lt;&gt;_xlpm.ExtractIdx),         _xlpm.SweepCount,IF(_xlpm.IsClosed,_xlpm.N-2,_xlpm.N-1),          _xlpm.rs,_xlfn.REDUCE(_xlpm.GreedyResult,_xlfn.SEQUENCE(_xlpm.SweepCount),_xlfn.LAMBDA(_xlpm.a,_xlpm.v,             _xlfn.LET(                 _xlpm.BestDist,INDEX(_xlpm.a,1),                 _xlpm.Left,_xlfn.TAKE(_xlpm.SplicedPath,,_xlpm.v),                 _xlpm.Right,IFERROR(_xlfn.DROP(_xlpm.SplicedPath,,_xlpm.v),""),                 _xlpm.TestString,_xlfn.TEXTJOIN("|",1,_xlpm.Left,_xlpm.TargetNode,_xlpm.Right),                 _xlpm.TestPathArr,--_xlfn.TEXTSPLIT(_xlpm.TestString,"|"),                 _xlpm.TestFrom,_xlfn.DROP(_xlpm.TestPathArr,,-1),                 _xlpm.TestTo,_xlfn.DROP(_xlpm.TestPathArr,,1),                 _xlpm.TestDist,SUM(_xlfn.MAP(_xlpm.TestFrom,_xlpm.TestTo,_xlfn.LAMBDA(_xlpm.f,_xlpm.t,INDEX(_xlpm.DistanceMatrix,_xlpm.f,_xlpm.t)))),                 IF(_xlpm.TestDist&lt;_xlpm.BestDist,_xlfn.HSTACK(_xlpm.TestDist,_xlpm.TestString),_xlpm.a)))),_xlpm.rs))</definedName>
    <definedName name="PerCom_byBoRydobon">_xlfn.LAMBDA(_xlpm.n,_xlpm.c,_xlop.P0C1,_xlop.rep,_xlop.cum,_xlfn.LET(_xlpm.s,_xlfn.UNICHAR(_xlfn.SEQUENCE(,_xlpm.n,20001)), _xlpm.t,_xlfn.SEQUENCE(,_xlpm.c), _xlpm.re,_xlfn.REDUCE("",_xlpm.t,_xlfn.LAMBDA(_xlpm.x,_xlpm.w,_xlfn.LET(_xlpm.b,IF(_xlpm.cum,_xlfn._xlws.FILTER(_xlpm.x,LEN(_xlpm.x)=_xlpm.w-1),_xlpm.x), _xlpm.d,_xlfn.TOCOL(_xlfn.IFS(IF(_xlpm.P0C1,IF(_xlpm.rep,RIGHT(_xlpm.b)&lt;=_xlpm.s,RIGHT(_xlpm.b)&lt;_xlpm.s),IF(_xlpm.rep,1,ISERR(FIND(_xlpm.s,_xlpm.b)))),_xlpm.b&amp;_xlpm.s),3),IF(_xlpm.cum,_xlfn.VSTACK(_xlpm.x,_xlpm.d),_xlpm.d)))), IFERROR(_xlfn.UNICODE(MID(_xlpm.re,_xlpm.t,1))-20000,"")))</definedName>
    <definedName name="Prev">_xlfn.LAMBDA(_xlpm.arr,_xlpm.n,_xlop.fill,_xlfn.LET(_xlpm._n,MAX(1,_xlpm.n),_xlpm._fill,IF(_xlfn.ISOMITTED(_xlpm.fill),"X",_xlpm.fill),IF(ROWS(_xlpm.arr)=1,_xlfn.HSTACK(IF(_xlfn.SEQUENCE(,_xlpm._n),_xlpm._fill),_xlfn.DROP(_xlpm.arr,,-_xlpm._n)),_xlfn.VSTACK(IF(_xlfn.SEQUENCE(_xlpm._n,COLUMNS(_xlpm.arr)),_xlpm._fill),_xlfn.DROP(_xlpm.arr,-_xlpm._n)))))</definedName>
    <definedName name="RCRefConvert_byHadynWiseman">_xlfn.LAMBDA(_xlpm.St,IFERROR(IF(ISNUMBER(_xlpm.St),ADDRESS(INT(_xlpm.St/10^6),MOD(_xlpm.St,10^6),4),RowNum_byHadynWiseman(_xlpm.St)*10^6+ColNum_byHadynWiseman(_xlpm.St)),_xlfn.XLOOKUP(_xlpm.St,{"↓";"↑";"→";"←";"↘";"↖";"↙";"↗"},{1000000;-1000000;1;-1;1000001;-1000001;999999;-999999})))</definedName>
    <definedName name="Regions_byHadynWiseman">_xlfn.LAMBDA(_xlpm.mp,_xlop.No_Diag,_xlop.Allowmp,_xlop.Cus_Dir,_xlop.Mazelam,_xlfn.LET(_xlpm.M,10^6,_xlpm.rn,_xlfn.SEQUENCE(ROWS(_xlpm.mp)),_xlpm.cn,_xlfn.SEQUENCE(,COLUMNS(_xlpm.mp)),_xlpm.rcn,_xlpm.rn*_xlpm.M+_xlpm.cn, _xlpm.dir,{1000000,-1000000,1,-1,1000001,-1000001,999999,-999999},_xlpm.xRC,IF(_xlfn.ISOMITTED(_xlpm.Cus_Dir),_xlfn.TAKE(_xlpm.dir,,8-4*_xlpm.No_Diag),_xlfn.HSTACK(_xlfn.TOROW(_xlpm.Cus_Dir,3),_xlfn.TOROW(-_xlpm.Cus_Dir,3))),_xlpm.na,_xlfn.HSTACK(0,0,0),_xlpm.mpA,IF(_xlfn.ISOMITTED(_xlpm.Allowmp),_xlpm.mp=IF(Exists_byHadynWiseman("",_xlfn.TOCOL(_xlpm.mp)),"",0),_xlpm.Allowmp),_xlpm.rcst,_xlfn._xlws.FILTER(_xlfn.TOCOL(_xlpm.rcn),_xlfn.TOCOL(_xlpm.mpA)),    _xlpm.fx, _xlfn.LAMBDA(_xlpm.lfx,_xlpm.pool,_xlpm.ft,_xlpm.n,      _xlfn.LET(_xlpm.fcl,_xlfn.TAKE(_xlpm.ft,,1),_xlpm.cf,_xlfn.TOCOL(_xlpm.fcl+_xlpm.xRC*0),_xlpm.rf,INT(_xlpm.cf/_xlpm.M),_xlpm.clf,MOD(_xlpm.cf,_xlpm.M),_xlpm.ct,_xlfn.TOCOL(_xlpm.fcl+_xlpm.xRC),_xlpm.rt,INT(_xlpm.ct/_xlpm.M),_xlpm.clt,MOD(_xlpm.ct,_xlpm.M),_xlpm.conf,INDEX(_xlpm.mp,_xlpm.rf,_xlpm.clf),_xlpm.cont,INDEX(_xlpm.mp,_xlpm.rt,_xlpm.clt),      _xlpm.st,_xlfn.TOCOL(_xlpm.fcl*0+_xlpm.n+1),_xlpm.df,_xlfn.IFNA(_xlfn.XLOOKUP(_xlpm.cf,_xlfn.TAKE(_xlpm.pool,,1),_xlfn.CHOOSECOLS(_xlpm.pool,2),,,2),""),_xlpm.dr,_xlfn.TOCOL(_xlpm.fcl*0+_xlpm.xRC),      _xlpm.pd,_xlfn.IFNA(_xlfn.XLOOKUP(_xlpm.ct,_xlfn.TAKE(_xlpm.pool,,1),_xlfn.CHOOSECOLS(_xlpm.pool,2),,,2),""),      _xlpm.ift,_xlfn._xlws.SORT(IF(IFERROR(INDEX(_xlpm.mpA,_xlpm.rt,_xlpm.clt),0),_xlfn.LET(_xlpm.nd,IF(_xlfn.ISOMITTED(_xlpm.Mazelam),_xlpm.df,IF(_xlpm.Mazelam(_xlpm.conf,_xlpm.cont,_xlpm.cf,_xlpm.ct,_xlpm.st,_xlpm.df,_xlpm.dr),_xlpm.df,"")),IFERROR(IF(_xlpm.nd&lt;_xlpm.pd,_xlfn.HSTACK(_xlpm.ct,_xlpm.nd,_xlpm.st),_xlpm.na),_xlpm.na)),_xlpm.na),{1,2},{1,-1}),      _xlpm.nft,_xlfn.LET(_xlpm.au,_xlfn.UNIQUE(_xlfn.TAKE(_xlpm.ift,,1)),_xlpm.a,_xlfn.HSTACK(_xlpm.au,VLOOKUP(_xlpm.au,_xlpm.ift,{2,3})),_xlfn._xlws.FILTER(_xlpm.a,_xlfn.TAKE(_xlpm.a,,1)&gt;0,_xlpm.na)),      _xlpm.npool,_xlfn.LET(_xlpm.b,_xlfn._xlws.SORT(_xlfn.VSTACK(_xlpm.pool,_xlpm.nft),{1,2},{1,-1}),_xlpm.bu,_xlfn.UNIQUE(_xlfn.TAKE(_xlpm.b,,1)),_xlfn.HSTACK(_xlpm.bu,VLOOKUP(_xlpm.bu,_xlpm.b,{2,3}))),    IF(SUM(_xlpm.nft)=0,_xlpm.pool,_xlpm.lfx(_xlpm.lfx,_xlpm.npool,_xlpm.nft,_xlpm.n+1)))),  _xlpm.rs,_xlpm.fx(_xlpm.fx,_xlfn.IFNA(_xlfn.HSTACK(_xlpm.rcst,_xlfn.SEQUENCE(ROWS(_xlpm.rcst)),0),0),_xlfn.IFNA(_xlfn.HSTACK(_xlpm.rcst,_xlfn.SEQUENCE(ROWS(_xlpm.rcst)),0),0),0),_xlpm.rst,_xlfn.CHOOSECOLS(_xlpm.rs,2),_xlpm.rl,_xlfn.HSTACK(_xlfn.TAKE(_xlpm.rs,,1),_xlfn.XMATCH(_xlpm.rst,_xlfn.UNIQUE(_xlpm.rst))),_xlpm.end,_xlfn.IFNA(VLOOKUP(_xlpm.rcn,_xlpm.rl,2,),""), _xlpm.end))</definedName>
    <definedName name="RegPattern_byHadynWiseman">_xlfn.LAMBDA(_xlpm.WordArray,_xlop.words_within_words,_xlfn.LET(_xlpm.ar,_xlfn.TOCOL(_xlpm.WordArray,3),_xlpm.sa,_xlfn.SORTBY(_xlpm.ar,LEN(_xlpm.ar),-1),_xlpm.words,IF(_xlpm.words_within_words,"\Q","\b\Q")&amp;_xlpm.sa&amp;IF(_xlpm.words_within_words,"\E","\E\b"), _xlfn.TEXTJOIN("|",1,_xlpm.words)))</definedName>
    <definedName name="RightAlignedArray_byJaqKennedy" comment="Aligns contents of array to the right, ignoring blanks">_xlfn.LAMBDA(_xlpm.Input,_xlfn.LET(_xlpm.\\LambdaName, "RightAlignedArray", _xlpm.\\CommandName, "Align array to right", _xlpm.\\Description, "Aligns array to the right with blanks to left", _xlpm.\\Source, "Jaq Kennedy", _xlpm._ColsByRow, _xlfn.BYROW(_xlpm.Input, _xleta.COUNT), _xlpm._Rows, ROWS(_xlpm.Input), _xlpm._Cols, COLUMNS(_xlpm.Input), _xlpm._ColIndex, IF(MOD(_xlfn.SEQUENCE(_xlpm._Rows, _xlpm._Cols) - 1, _xlpm._Cols) + 1 - _xlpm._Cols + _xlpm._ColsByRow &lt;= 0, -1, MOD(_xlfn.SEQUENCE(_xlpm._Rows, _xlpm._Cols) - 1, _xlpm._Cols) + 1 - _xlpm._Cols + _xlpm._ColsByRow), _xlpm._RowIndex, _xlfn.SEQUENCE(_xlpm._Rows), _xlpm._Result, IFERROR(INDEX(_xlpm.Input, _xlpm._RowIndex, _xlpm._ColIndex), ""), _xlpm._Result))</definedName>
    <definedName name="Rotate_byHadynWiseman">_xlfn.LAMBDA(_xlpm.Array,_xlop.Rotation,_xlop.InputAddresses,_xlfn.LET(_xlpm.ar,IF(_xlfn.ISOMITTED(_xlpm.Rotation),1,MOD(_xlpm.Rotation-1,4)+1),_xlpm.rev,_xlfn.LAMBDA(_xlpm.a,INDEX(_xlpm.a,_xlfn.SEQUENCE(ROWS(_xlpm.a),,ROWS(_xlpm.a),-1),_xlfn.SEQUENCE(,COLUMNS(_xlpm.a),COLUMNS(_xlpm.a),-1))),_xlpm.rs,CHOOSE(_xlpm.ar,TRANSPOSE(BiCol_byHadynWiseman(_xlpm.Array,_xlpm.rev)),_xlpm.rev(_xlpm.Array),TRANSPOSE(BiRow_byHadynWiseman(_xlpm.Array,_xlpm.rev)),_xlpm.Array),IF(_xlfn.ISOMITTED(_xlpm.InputAddresses),_xlpm.rs,_xlfn.LET(_xlpm.sr,_xlfn.SINGLE(ROW(_xlpm.Array)),_xlpm.sc,_xlfn.SINGLE(COLUMN(_xlpm.Array)),_xlpm.oad,Addresses_byDiarmuidEarly(_xlpm.Array),_xlpm.nad,IF(ISODD(_xlpm.ar),ADDRESS(_xlfn.SEQUENCE(COLUMNS(_xlpm.Array),,_xlpm.sr),_xlfn.SEQUENCE(,ROWS(_xlpm.Array),_xlpm.sc),4),_xlpm.oad),_xlpm.ra,CHOOSE(_xlpm.ar,TRANSPOSE(BiRow_byHadynWiseman(_xlpm.nad,_xlpm.rev)),_xlpm.rev(_xlpm.nad),TRANSPOSE(BiCol_byHadynWiseman(_xlpm.nad,_xlpm.rev)),_xlpm.nad),_xlpm.ars,_xlfn.MAP(_xlpm.InputAddresses,_xlfn.LAMBDA(_xlpm.i,_xlfn.CONCAT(IF(_xlpm.i=_xlpm.oad,_xlpm.ra,"")))),IF(COUNTA(_xlpm.InputAddresses)=1,_xlfn.SINGLE(_xlpm.ars),_xlpm.ars)))))</definedName>
    <definedName name="RowNum_byHadynWiseman">_xlfn.LAMBDA(_xlpm.addresses,IF(ISNUMBER(_xlpm.addresses),INT(_xlpm.addresses/10^6),1*_xlfn.REGEXEXTRACT(_xlpm.addresses,"\d+")))</definedName>
    <definedName name="RunningCount_byHadynWiseman">_xlfn.LAMBDA(_xlpm.Array,_xlfn.SCAN(0,_xlfn.SEQUENCE(ROWS(_xlfn.TOCOL(_xlpm.Array))),_xlfn.LAMBDA(_xlpm.a,_xlpm.v,SUM(--(_xlfn.TAKE(_xlpm.Array,_xlpm.v)=INDEX(_xlpm.Array,_xlpm.v,1))))))</definedName>
    <definedName name="RunningTotal_byJaqKennedy" comment="Running total that can RESTART at flagged rows and CAP or STOP at a limit. Only values is required; with nothing else it is a plain running total. ResetFlags: 1 where the total restarts at ResetTo (default 0); the flagged row's own value is included unles">_xlfn.LAMBDA(_xlpm.values,_xlop.ResetFlags,_xlop.ResetTo,_xlop.StopAt,_xlop.Cap,_xlop.IncFlaggedVal,_xlfn.LET(_xlpm.v,_xlfn.TOCOL(_xlpm.values),_xlpm.n,ROWS(_xlpm.v),_xlpm.f,IF(_xlfn.ISOMITTED(_xlpm.ResetFlags),_xlfn.SEQUENCE(_xlpm.n)*0,IFERROR(--_xlfn.TOCOL(_xlpm.ResetFlags),0)),_xlpm.r,IF(_xlfn.ISOMITTED(_xlpm.ResetTo),0,IF(_xlpm.ResetTo="",0,_xlpm.ResetTo)),_xlpm.h,IF(_xlfn.ISOMITTED(_xlpm.StopAt),FALSE,_xlpm.StopAt&lt;&gt;""),_xlpm.s,IF(_xlpm.h,_xlpm.StopAt,0),_xlpm.cp,IF(_xlfn.ISOMITTED(_xlpm.Cap),1,IF(_xlpm.Cap="",1,_xlpm.Cap)),_xlpm.inc,IF(_xlfn.ISOMITTED(_xlpm.IncFlaggedVal),1,IF(_xlpm.IncFlaggedVal="",1,_xlpm.IncFlaggedVal)),_xlfn.SCAN(0,_xlfn.SEQUENCE(_xlpm.n),_xlfn.LAMBDA(_xlpm.acc,_xlpm.i,_xlfn.LET(_xlpm.x,INDEX(_xlpm.v,_xlpm.i),_xlpm.fl,IFERROR(INDEX(_xlpm.f,_xlpm.i),0)=1,_xlpm.t,IF(_xlpm.fl,_xlpm.r+IF(_xlpm.inc,_xlpm.x,0),IF(AND(_xlpm.h,_xlpm.acc&gt;=_xlpm.s),_xlpm.acc,_xlpm.acc+_xlpm.x)),IF(AND(_xlpm.h,_xlpm.t&gt;=_xlpm.s),IF(_xlpm.cp,_xlpm.s,_xlpm.t),_xlpm.t))))))</definedName>
    <definedName name="ShiftText_byHadynWiseman">_xlfn.LAMBDA(_xlpm.Text,_xlpm.Shift,_xlop.AlongShift,_xlop.AlongLettersOnly,_xlop.NoWrapAround,_xlfn.LET(_xlpm.l, SplitText_byHadynWiseman(_xlpm.Text), _xlpm.als, IF(_xlpm.AlongShift, _xlpm.AlongShift, 0), _xlpm.sym, EXACT(LOWER(_xlpm.l), UPPER(_xlpm.l)), _xlpm.upp, EXACT(UPPER(_xlpm.l), _xlpm.l), _xlpm.al, IF(_xlpm.AlongLettersOnly, _xlfn.SCAN(-_xlpm.als, _xlpm.sym, _xlfn.LAMBDA(_xlpm.a,_xlpm.v, IF(_xlpm.v, _xlpm.a, _xlpm.a + _xlpm.als))), _xlfn.SEQUENCE(LEN(_xlpm.Text), , 0, _xlpm.als)), _xlpm.mu, MOD(CODE(_xlpm.l) - 65 + _xlpm.Shift + _xlpm.al, 26) + 65, _xlpm.ml, MOD(CODE(_xlpm.l) - 97 + _xlpm.Shift + _xlpm.al, 26) + 97, _xlpm.nw, IFERROR(_xlfn.UNICHAR(_xlfn.UNICODE(_xlpm.l) + _xlpm.Shift + _xlpm.al), _xlpm.l), _xlpm.rs, IF(_xlpm.sym, _xlpm.l, IF(_xlpm.upp, CHAR(_xlpm.mu), CHAR(_xlpm.ml))), _xlfn.CONCAT(IF(_xlpm.NoWrapAround, _xlpm.nw, _xlpm.rs))))</definedName>
    <definedName name="Snake_byHadynWiseman">_xlfn.LAMBDA(_xlpm.Array,_xlop.ByCol,_xlop.StartRorC,_xlop.SwapEvery,_xlop.AddressMoves,_xlfn.LET(_xlpm.a, _xlpm.Array, _xlpm.r, ROWS(_xlpm.a), _xlpm.c, COLUMNS(_xlpm.a), _xlpm.st, IF(_xlpm.StartRorC, _xlpm.StartRorC, IF(_xlpm.SwapEvery, _xlpm.SwapEvery, 2)), _xlpm.sw, IF(_xlpm.SwapEvery, _xlpm.SwapEvery, MAX(_xlpm.st, 2)), _xlpm.rs, _xlfn.LAMBDA(_xlpm.x, IF(_xlpm.ByCol, IF(MOD(_xlfn.SEQUENCE(, _xlpm.c) - _xlpm.st, _xlpm.sw) = 0, _xlfn.SORTBY(_xlpm.a, _xlfn.SEQUENCE(_xlpm.r, , _xlpm.r, -1)), _xlpm.x), IF(MOD(_xlfn.SEQUENCE(_xlpm.r) - _xlpm.st, _xlpm.sw) = 0, _xlfn.SORTBY(_xlpm.x, _xlfn.SEQUENCE(, _xlpm.c, _xlpm.c, -1)), _xlpm.x))), IF(_xlfn.ISOMITTED(_xlpm.AddressMoves), _xlpm.rs(_xlpm.a), _xlfn.LET(_xlpm.oad, Addresses_byDiarmuidEarly(_xlpm.a), _xlpm.nad, _xlpm.rs(_xlpm.oad), _xlpm.sr, _xlfn.SINGLE(ROW(_xlpm.a)), _xlpm.sc, _xlfn.SINGLE(COLUMN(_xlpm.a)), _xlpm.out, _xlfn.MAP(_xlpm.AddressMoves, _xlfn.LAMBDA(_xlpm.y, _xlfn.CONCAT(IF(_xlpm.nad = _xlpm.y, _xlfn.MAKEARRAY(ROWS(_xlpm.nad), COLUMNS(_xlpm.nad), _xlfn.LAMBDA(_xlpm.r,_xlpm.c, ADDRESS(_xlpm.r + _xlpm.sr - 1, _xlpm.c + _xlpm.sc - 1, 4))), "")))), _xlpm.out))))</definedName>
    <definedName name="SplitText_byHadynWiseman">_xlfn.LAMBDA(_xlpm.Text,_xlop.Groups,_xlop.Overlap,_xlfn.LET(_xlpm.t,_xlfn.CONCAT(_xlpm.Text),_xlpm._groups,MAX(_xlpm.Groups,1),IF(_xlpm.Overlap,MID(_xlpm.t,_xlfn.SEQUENCE(LEN(_xlpm.t)-_xlpm._groups+1),_xlpm._groups),IF(_xlfn.ISOMITTED(_xlpm.Groups),_xlfn.TOCOL(_xlfn.REGEXEXTRACT(_xlpm.t,"\X",1)),MID(_xlpm.t,_xlfn.SEQUENCE(ROUNDUP(LEN(_xlpm.t)/_xlpm._groups,0),,,_xlpm._groups),_xlpm._groups)))))</definedName>
    <definedName name="StackSheets_byJaqKennedy">_xlfn.LAMBDA(_xlpm.blocks,_xlpm.names,_xlop.TopLeft,_xlop.HideBlanks,_xlfn.LET(_xlpm.n,COUNTA(_xlpm.names),_xlpm.r,ROWS(_xlpm.blocks)/_xlpm.n,_xlpm.c,COLUMNS(_xlpm.blocks),_xlpm.tl,IF(_xlfn.ISOMITTED(_xlpm.TopLeft),"A1",_xlpm.TopLeft),_xlpm.r0,RowNum_byHadynWiseman(_xlpm.tl),_xlpm.c0,ColNum_byHadynWiseman(_xlpm.tl),_xlpm.cells,_xlpm.r*_xlpm.c,_xlpm.k,_xlfn.SEQUENCE(_xlpm.n*_xlpm.cells)-1,_xlpm.idx,MOD(_xlpm.k,_xlpm.cells),_xlpm.sheet,_xlfn.TOCOL(IF(_xlfn.SEQUENCE(_xlpm.cells),_xlfn.TOROW(_xlpm.names)),,1),_xlpm.rw,_xlpm.r0+INT(_xlpm.idx/_xlpm.c),_xlpm.cl,_xlpm.c0+MOD(_xlpm.idx,_xlpm.c),_xlpm.val,_xlfn.TOCOL(_xlpm.blocks),_xlpm.data,_xlfn.HSTACK(_xlpm.sheet,_xlpm.val,ADDRESS(_xlpm.rw,_xlpm.cl,4),_xlpm.rw,_xlpm.cl,_xlpm.rw*10^6+_xlpm.cl),_xlpm.hide,IF(_xlfn.ISOMITTED(_xlpm.HideBlanks),0,_xlpm.HideBlanks),_xlpm.blank,IF(_xlfn.SEQUENCE(,6),""),_xlpm.kept,IF(_xlpm.hide,IFERROR(_xlfn._xlws.FILTER(_xlpm.data,(_xlpm.val&lt;&gt;"")*(_xlpm.val&lt;&gt;0)),_xlpm.blank),_xlpm.data),_xlfn.VSTACK(_xlfn.HSTACK("Sheet","Value","Address","Row","Col","RCRef"),_xlpm.kept)))</definedName>
    <definedName name="Thousands_Separator">'Regional Settings'!$C$13</definedName>
    <definedName name="TSPFull_byHadynWiseman">_xlfn.LAMBDA(_xlpm.DistanceMatrix,_xlop.StartNodeNumber,_xlop.ReturnToStart,_xlop.StepLimit, _xlfn.LET(_xlpm.dm,_xlpm.DistanceMatrix,_xlpm.sn,_xlpm.StartNodeNumber,_xlpm.rt,_xlpm.ReturnToStart,_xlpm.sl,_xlpm.StepLimit, _xlpm.tn,ROWS(_xlpm.dm),_xlpm.sm,_xlpm.dm+_xlfn.MUNIT(_xlpm.tn)*1E+99,_xlpm.fn,IF(_xlfn.ISOMITTED(_xlpm.sn),1,_xlpm.sn),_xlpm.ns,_xlfn.SEQUENCE(1,_xlpm.tn),_xlpm.iv,(_xlpm.ns=_xlpm.fn)*1,_xlpm.ds,AND(_xlfn.ISOMITTED(_xlpm.sn),NOT(_xlpm.rt)),_xlpm.gr,OptimiseTSP_byHadynWiseman(TSPGreedy_byHadynWiseman(_xlpm.dm,_xlpm.fn,_xlpm.rt),_xlpm.dm),  _xlpm.ir,_xlfn.REDUCE(_xlfn.HSTACK(INDEX(_xlpm.gr,1),INDEX(_xlpm.gr,2),_xlpm.fn&amp;"",0,0,_xlpm.fn,_xlpm.iv),_xlfn.SEQUENCE(IF(_xlfn.ISOMITTED(_xlpm.sl),10000,_xlpm.sl)),_xlfn.LAMBDA(_xlpm.cs,_xlpm.si, _xlfn.LET(_xlpm.isf,INDEX(_xlpm.cs,5),IF(_xlpm.isf=1,_xlpm.cs,_xlfn.LET(_xlpm.bsc,INDEX(_xlpm.cs,1),_xlpm.bpt,INDEX(_xlpm.cs,2),_xlpm.ep,INDEX(_xlpm.cs,3),_xlpm.ed,INDEX(_xlpm.cs,4),_xlpm.cn,INDEX(_xlpm.cs,6),_xlpm.va,_xlfn.DROP(_xlpm.cs,,6),  _xlpm.dr,--_xlfn.TEXTBEFORE(_xlpm.ep&amp;"|","|",1),_xlpm.ab,SUM(_xlpm.va)=_xlpm.tn,_xlpm.sb,(_xlpm.isf=2)+_xlpm.ab,_xlpm.ts,IF(_xlpm.ab,_xlpm.ed+_xlpm.rt*INDEX(_xlpm.dm,_xlpm.cn,_xlpm.dr),1E+99),_xlpm.fb,_xlpm.ts&lt;_xlpm.bsc,_xlpm.nbs,IF(_xlpm.fb,_xlpm.ts,_xlpm.bsc),_xlpm.nbp,IF(_xlpm.fb,_xlpm.ep&amp;IF(_xlpm.rt,"|"&amp;_xlpm.dr,""),_xlpm.bpt),  _xlpm.lb,IF(_xlpm.sb,0,_xlfn.LET(_xlpm.um,1-_xlpm.va,_xlpm.mm,_xlpm.sm+_xlpm.va*(_xlpm.ns&lt;&gt;_xlpm.dr)*(_xlpm.ns&lt;&gt;_xlpm.cn)*1E+99, _xlpm.hfa,_xlfn.TOROW(_xlfn.BYROW(_xlpm.mm,_xlfn.LAMBDA(_xlpm.r,MIN(_xlpm.r))))/2, _xlpm.hfb,_xlfn.TOROW(_xlfn.BYROW(_xlpm.mm,_xlfn.LAMBDA(_xlpm.r,SMALL(_xlpm.r,2))))/2, _xlpm.sfa,_xlpm.hfa*(_xlpm.hfa&lt;1E+50), _xlpm.sfb,_xlpm.hfb*(_xlpm.hfb&lt;1E+50), _xlpm.ed+SUM((_xlpm.sfa+_xlpm.sfb)*_xlpm.um)+INDEX(_xlpm.sfa,_xlpm.cn)+IF(_xlpm.rt,INDEX(_xlpm.sfa,_xlpm.dr),-MAX(_xlpm.sfb*_xlpm.um)))), _xlpm.sbt,(_xlpm.lb&gt;=_xlpm.bsc)+_xlpm.sb,  _xlpm.nsd,IF(_xlpm.sbt,_xlfn.LET(_xlpm.cp,IFERROR(_xlfn.TEXTBEFORE(_xlpm.ep,"|",-1),""),_xlpm.isr,_xlpm.cp="",_xlpm.sr,AND(_xlpm.isr,_xlpm.ds,_xlpm.cn&lt;_xlpm.tn),_xlpm.np,IF(_xlpm.sr,_xlpm.cn+1,IF(_xlpm.isr,0,IFERROR(_xlfn.XMATCH(0,_xlpm.va+(_xlpm.ns&lt;=_xlpm.cn)),0))), _xlpm.pn,IF(_xlpm.isr,_xlpm.dr,IFERROR(--_xlfn.TEXTAFTER(_xlpm.cp,"|",-1),--_xlpm.cp)), _xlpm.npt,IF(_xlpm.sr,_xlpm.np&amp;"",IF(_xlpm.np&gt;0,_xlpm.cp&amp;"|"&amp;_xlpm.np,_xlpm.cp)), _xlpm.nd,IF(_xlpm.sr,0,IF(_xlpm.isr,0,_xlpm.ed-INDEX(_xlpm.dm,_xlpm.pn,_xlpm.cn))+IF(_xlpm.np&gt;0,INDEX(_xlpm.dm,_xlpm.pn,_xlpm.np),0)), _xlpm.nf,IF(_xlpm.sr+(_xlpm.np&gt;0),0,IF(_xlpm.npt="",1,2)), _xlpm.nn,IF(_xlpm.np&gt;0,_xlpm.np,_xlpm.pn), _xlpm.nv,IF(_xlpm.sr,(_xlpm.ns=_xlpm.np)*1,_xlpm.va-(_xlpm.ns=_xlpm.cn)+(_xlpm.ns=_xlpm.np)), _xlfn.HSTACK(_xlpm.npt,_xlpm.nd,_xlpm.nf,_xlpm.nn,_xlpm.nv)),  _xlfn.LET(_xlpm.ndn,IFERROR(_xlfn.XMATCH(0,_xlpm.va),1),_xlpm.npt,_xlpm.ep&amp;"|"&amp;_xlpm.ndn,_xlpm.nd,_xlpm.ed+INDEX(_xlpm.dm,_xlpm.cn,_xlpm.ndn),_xlpm.nf,0,_xlpm.nn,_xlpm.ndn,_xlpm.nv,_xlpm.va+(_xlpm.ns=_xlpm.ndn),_xlfn.HSTACK(_xlpm.npt,_xlpm.nd,_xlpm.nf,_xlpm.nn,_xlpm.nv))), _xlfn.HSTACK(_xlpm.nbs,_xlpm.nbp,_xlpm.nsd)))))), _xlfn.HSTACK(_xlfn.TAKE(_xlpm.ir,,2),IF(INDEX(_xlpm.ir,5)=1,"DONE","NOT FINISHED, INCREASE STEP LIMIT"))))</definedName>
    <definedName name="TSPGreedy_byHadynWiseman">_xlfn.LAMBDA(_xlpm.DistanceMatrix,_xlop.StartNodeNumber,_xlop.ReturnToStart,     _xlfn.LET(         _xlpm.TotalNodes,ROWS(_xlpm.DistanceMatrix),         _xlpm.FirstNode,IF(_xlfn.ISOMITTED(_xlpm.StartNodeNumber),1,_xlpm.StartNodeNumber),         _xlpm.NodeSeq,_xlfn.SEQUENCE(,_xlpm.TotalNodes),         _xlpm.InitialState,_xlfn.HSTACK(_xlpm.FirstNode,0,_xlpm.FirstNode,--(_xlpm.NodeSeq=_xlpm.FirstNode)),         _xlpm.GreedyRun,_xlfn.REDUCE(_xlpm.InitialState,_xlfn.SEQUENCE(_xlpm.TotalNodes-1),_xlfn.LAMBDA(_xlpm.State,_xlpm.Step,             _xlfn.LET(                 _xlpm.Path,INDEX(_xlpm.State,1),                 _xlpm.TotalDistance,INDEX(_xlpm.State,2),                 _xlpm.LastNode,INDEX(_xlpm.State,3),                 _xlpm.VisitedArray,_xlfn.DROP(_xlpm.State,,3),                 _xlpm.AdjustedRow,_xlfn.CHOOSEROWS(_xlpm.DistanceMatrix,_xlpm.LastNode)+(_xlpm.VisitedArray*1E+99),                 _xlpm.NextDist,MIN(_xlpm.AdjustedRow),                 _xlpm.NextNode,_xlfn.XMATCH(_xlpm.NextDist,_xlpm.AdjustedRow),                 _xlfn.HSTACK(_xlpm.Path&amp;"|"&amp;_xlpm.NextNode,_xlpm.TotalDistance+_xlpm.NextDist,_xlpm.NextNode,_xlpm.VisitedArray+(_xlpm.NodeSeq=_xlpm.NextNode))))),         _xlpm.FinalPath,INDEX(_xlpm.GreedyRun,1),         _xlpm.FinalDist,INDEX(_xlpm.GreedyRun,2),         _xlpm.FinalNode,INDEX(_xlpm.GreedyRun,3),         _xlpm.BBInitialFloor,_xlpm.FinalDist+IF(_xlpm.ReturnToStart,INDEX(_xlpm.DistanceMatrix,_xlpm.FinalNode,_xlpm.FirstNode),0),         _xlpm.BBInitialpath,_xlpm.FinalPath&amp;IF(_xlpm.ReturnToStart,"|"&amp;_xlpm.FirstNode,""),         _xlfn.HSTACK(_xlpm.BBInitialFloor,_xlpm.BBInitialpath)))</definedName>
    <definedName name="UnPivot_byHadynWiseman" comment="Hadyn Wiseman. CREDIT CORRECTED 2026-09-21, was UnPivot_byErikOehm. Two different UnPivot builds exist: Erik's is ~1650 chars with a 5-argument signature and lives in Array Robot Vol 1; this 451-char BiRow build is Hadyn's. An award for the idea does not ">_xlfn.LAMBDA(_xlpm.KeepColumns,_xlpm.UnpivotColumns,_xlop.HasHeaders,_xlop.RemoveBlanks,_xlfn.LET(_xlpm.hh,_xlpm.HasHeaders,_xlpm.rb,_xlpm.RemoveBlanks, _xlpm.r,IF(_xlpm.hh,ROWS(_xlpm.KeepColumns)-1,ROWS(_xlpm.KeepColumns)),_xlpm.c,COLUMNS(_xlpm.UnpivotColumns), _xlpm.k,BiRow_byHadynWiseman(IF(_xlpm.hh,_xlfn.DROP(_xlpm.KeepColumns,1),_xlpm.KeepColumns),_xlfn.LAMBDA(_xlpm.r,_xlfn.IFNA(_xlfn.EXPAND(_xlpm.r,_xlpm.c),_xlpm.r))), _xlpm.h,IF(_xlpm.hh,_xlfn.TOCOL(IFERROR(_xlfn.EXPAND(_xlfn.TAKE(_xlpm.UnpivotColumns,1),_xlpm.r),_xlfn.TAKE(_xlpm.UnpivotColumns,1)))), _xlpm.v,_xlfn.TOCOL(IF(_xlpm.hh,_xlfn.DROP(_xlpm.UnpivotColumns,1),_xlpm.UnpivotColumns)), _xlpm.tbl,IF(_xlpm.hh,_xlfn.HSTACK(_xlpm.k,_xlpm.h,_xlpm.v),_xlfn.HSTACK(_xlpm.k,_xlpm.v)), IF(_xlpm.rb,_xlfn._xlws.FILTER(_xlpm.tbl,_xlpm.v&lt;&gt;""),_xlpm.tbl)))</definedName>
    <definedName name="UnSplivot_byJJ">_xlfn.LAMBDA(_xlpm.table,_xlpm.delim,_xlfn.LET(_xlpm.v,_xlfn.TAKE(_xlpm.table,,1),_xlpm.keep,_xlfn.DROP(_xlpm.table,,1),_xlpm.n,ROWS(_xlpm.v),_xlpm.k,MAX((LEN(_xlpm.v)-LEN(SUBSTITUTE(_xlpm.v,_xlpm.delim,"")))/LEN(_xlpm.delim))+1,_xlpm.tok,_xlfn.MAKEARRAY(_xlpm.n,_xlpm.k,_xlfn.LAMBDA(_xlpm.r,_xlpm.c,IFERROR(TRIM(_xlfn.TEXTBEFORE(_xlfn.TEXTAFTER(_xlpm.delim&amp;INDEX(_xlpm.v,_xlpm.r)&amp;_xlpm.delim,_xlpm.delim,_xlpm.c),_xlpm.delim)),""))),_xlpm.idx,_xlfn.TOCOL(_xlfn.SEQUENCE(_xlpm.n)+_xlfn.SEQUENCE(,_xlpm.k)*0),_xlpm.body,_xlfn.HSTACK(_xlfn.TOCOL(_xlpm.tok),_xlfn.CHOOSEROWS(_xlpm.keep,_xlpm.idx)),_xlfn._xlws.FILTER(_xlpm.body,_xlfn.TAKE(_xlpm.body,,1)&lt;&gt;"")))</definedName>
    <definedName name="Use_System_Separators">'Regional Settings'!$C$11</definedName>
    <definedName name="uSet_byJaqKennedy" comment="Union: distinct values in either array, array1's first, as a column. Case-insensitive. skip_blanks_zeros (default TRUE) drops blanks, &quot;&quot; and 0; &quot;&quot; if nothing left.">_xlfn.LAMBDA(_xlpm.array1,_xlpm.array2,_xlop.skip_blanks_zeros,_xlfn.LET(_xlpm.skip,IF(_xlfn.ISOMITTED(_xlpm.skip_blanks_zeros),TRUE,_xlpm.skip_blanks_zeros),_xlpm.u,_xlfn.UNIQUE(_xlfn.VSTACK(_xlfn.TOCOL(_xlpm.array1),_xlfn.TOCOL(_xlpm.array2))),IF(_xlpm.skip,_xlfn._xlws.FILTER(_xlpm.u,(_xlpm.u&lt;&gt;"")*(_xlpm.u&lt;&gt;0),""),_xlpm.u)))</definedName>
    <definedName name="VStacks_byHadynWiseman">_xlfn.LAMBDA(_xlpm.Array,_xlpm.NoTimes,_xlop.Hstk,IFERROR(_xlfn.REDUCE(_xlpm.Array, _xlfn.SEQUENCE(_xlpm.NoTimes - 1), _xlfn.LAMBDA(_xlpm.a,_xlpm.v, IF(_xlpm.Hstk, _xlfn.HSTACK(_xlpm.a, _xlpm.Array), _xlfn.VSTACK(_xlpm.a, _xlpm.Array)))), _xlpm.Array))</definedName>
    <definedName name="WhileIterations_byHarryGross">_xlfn.LAMBDA(_xlpm.initialValue,_xlpm.iterativeStep,_xlpm.stopCondition,_xlop.currentIterationCount,_xlfn.LET(_xlpm.v,_xlpm.initialValue,_xlpm.iterationCount,IF(_xlfn.ISOMITTED(_xlpm.currentIterationCount),0,_xlpm.currentIterationCount),IF(_xlpm.stopCondition(_xlpm.v),_xlpm.iterationCount,WhileIterations_byHarryGross(_xlpm.iterativeStep(_xlpm.v),_xlpm.iterativeStep,_xlpm.stopCondition,_xlpm.iterationCount+1))))</definedName>
    <definedName name="WhileLoop_byHarryGross">_xlfn.LAMBDA(_xlpm.initialValue,_xlpm.iterativeStep,_xlpm.stopCondition,_xlfn.LET(_xlpm.v,_xlpm.initialValue,IF(_xlpm.stopCondition(_xlpm.v),_xlpm.v,WhileLoop_byHarryGross(_xlpm.iterativeStep(_xlpm.v),_xlpm.iterativeStep,_xlpm.stopCondition))))</definedName>
    <definedName name="XLOOKUP2D_byBendeLeon">_xlfn.LAMBDA(_xlpm.DataSource,_xlpm.RLU,_xlpm.CLU,_xlop.RowArray,_xlop.ColumnArray,_xlop.MatchMode,_xlop.SearchMode,_xlop.IfNotFound,_xlfn.LET(_xlpm.dropRow,IF(_xlfn.ISOMITTED(_xlpm.ColumnArray),1,0),_xlpm.dropCol,IF(_xlfn.ISOMITTED(_xlpm.RowArray),1,0),_xlpm.vals,_xlfn.DROP(_xlpm.DataSource,_xlpm.dropRow,_xlpm.dropCol),_xlpm.rlab,IF(_xlfn.ISOMITTED(_xlpm.RowArray),_xlfn.DROP(_xlfn.TAKE(_xlpm.DataSource,,1),_xlpm.dropRow),_xlfn.TAKE(_xlpm.RowArray,,1)),_xlpm.clab,IF(_xlfn.ISOMITTED(_xlpm.ColumnArray),_xlfn.DROP(_xlfn.TAKE(_xlpm.DataSource,1),,_xlpm.dropCol),_xlfn.TAKE(_xlpm.ColumnArray,1)),_xlpm.mm,IF(_xlfn.ISOMITTED(_xlpm.MatchMode),0,_xlpm.MatchMode),_xlpm.sm,IF(_xlfn.ISOMITTED(_xlpm.SearchMode),1,_xlpm.SearchMode),IFERROR(INDEX(_xlpm.vals,_xlfn.XMATCH(_xlpm.RLU,_xlpm.rlab,_xlpm.mm,_xlpm.sm),_xlfn.XMATCH(_xlpm.CLU,_xlpm.clab,_xlpm.mm,_xlpm.sm)),IF(_xlfn.ISOMITTED(_xlpm.IfNotFound),NA(),_xlpm.IfNotFound))))</definedName>
    <definedName name="YouAreHere_byLiannaGerrish">_xlfn.LAMBDA(_xlpm.cell,_xlop.sheetname,_xlfn.LET(_xlpm._a,ADDRESS(ROW(_xlpm.cell),COLUMN(_xlpm.cell),4,TRUE),IF(_xlfn.ISOMITTED(_xlpm.sheetname),_xlpm._a,"'"&amp;_xlpm.sheetname&amp;"'!"&amp;_xlpm._a)))</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1" l="1"/>
  <c r="C14" i="18" l="1"/>
  <c r="G14" i="18"/>
  <c r="F14" i="18"/>
  <c r="E14" i="18"/>
  <c r="I14" i="18" s="1"/>
  <c r="I12" i="18"/>
  <c r="O10" i="18" a="1"/>
  <c r="E15" i="18"/>
  <c r="B7" i="20"/>
  <c r="J12" i="18" l="1"/>
  <c r="J14" i="1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<sst xmlns="http://schemas.openxmlformats.org/spreadsheetml/2006/main" count="1098" uniqueCount="845">
  <si>
    <t>CompBot</t>
  </si>
  <si>
    <t>by Jaq Kennedy</t>
  </si>
  <si>
    <t>Robot Commands</t>
  </si>
  <si>
    <t>Lambdas Included</t>
  </si>
  <si>
    <t>Name</t>
  </si>
  <si>
    <t>Description</t>
  </si>
  <si>
    <t>Creator</t>
  </si>
  <si>
    <t>Harry Gross</t>
  </si>
  <si>
    <t>Parameters</t>
  </si>
  <si>
    <t>Array friendly</t>
  </si>
  <si>
    <t>No</t>
  </si>
  <si>
    <t>Create Blank Sheet</t>
  </si>
  <si>
    <t>Jaq Kennedy</t>
  </si>
  <si>
    <t>Creates a blank sheet named based on cell value (Sht otherwise)</t>
  </si>
  <si>
    <t>N/A</t>
  </si>
  <si>
    <t>Launch Code</t>
  </si>
  <si>
    <t xml:space="preserve"> </t>
  </si>
  <si>
    <t>Backup Sheets in Workbook</t>
  </si>
  <si>
    <t>Create Level Sheets</t>
  </si>
  <si>
    <t>Diarmuid Early</t>
  </si>
  <si>
    <t>Lianna Gerrish</t>
  </si>
  <si>
    <t>Yes</t>
  </si>
  <si>
    <t>Decimal Separator</t>
  </si>
  <si>
    <t>Thousands Separator</t>
  </si>
  <si>
    <t>Use System Separators</t>
  </si>
  <si>
    <t>List Separator</t>
  </si>
  <si>
    <t>.</t>
  </si>
  <si>
    <t>,</t>
  </si>
  <si>
    <t>Language</t>
  </si>
  <si>
    <t>Afrikaans</t>
  </si>
  <si>
    <t>Example</t>
  </si>
  <si>
    <t>English (UK/US)</t>
  </si>
  <si>
    <t>Current list of CompBot Commands</t>
  </si>
  <si>
    <t>Create Data Table</t>
  </si>
  <si>
    <t>Name All Used Ranges</t>
  </si>
  <si>
    <t>NURS</t>
  </si>
  <si>
    <t>Erik Oehm</t>
  </si>
  <si>
    <t>SBC</t>
  </si>
  <si>
    <t>SAL</t>
  </si>
  <si>
    <t>TC</t>
  </si>
  <si>
    <t>IC</t>
  </si>
  <si>
    <t>Create Bonus Sheet</t>
  </si>
  <si>
    <t>BU</t>
  </si>
  <si>
    <t>Save Copy of File</t>
  </si>
  <si>
    <t>SA</t>
  </si>
  <si>
    <t>Clear Lambdas</t>
  </si>
  <si>
    <t>Returns a boolean for matches in an array to a list</t>
  </si>
  <si>
    <t>XLOOKUP2D_byBendeLeon</t>
  </si>
  <si>
    <t>Sequence of Row Count</t>
  </si>
  <si>
    <t>Find Above In Left</t>
  </si>
  <si>
    <t>DF</t>
  </si>
  <si>
    <t>Wrap in Drop First Row</t>
  </si>
  <si>
    <t>Wrap in Concat</t>
  </si>
  <si>
    <t>Wrap with IFERROR TEXTBEFORE space</t>
  </si>
  <si>
    <t>Full Setup Case</t>
  </si>
  <si>
    <t>Wrap in UNICODE</t>
  </si>
  <si>
    <t>EB</t>
  </si>
  <si>
    <t>Align Array to Right</t>
  </si>
  <si>
    <t>Difference of Array Columns by Row</t>
  </si>
  <si>
    <t>Negative Values</t>
  </si>
  <si>
    <t>IsInList_byErikOehm</t>
  </si>
  <si>
    <t>Import Lambda Library</t>
  </si>
  <si>
    <t>Aligns array to the right with blanks to left</t>
  </si>
  <si>
    <t>Create Case Inputs Sheet</t>
  </si>
  <si>
    <t>Goto Similar Background Color</t>
  </si>
  <si>
    <t>Lookup Value by Row</t>
  </si>
  <si>
    <t>Returns RC location of a list of values in a range</t>
  </si>
  <si>
    <t>Name Used Ranges</t>
  </si>
  <si>
    <t>Negative values. with errors as blank</t>
  </si>
  <si>
    <t>Rename Sheets</t>
  </si>
  <si>
    <t>Sequence of row count of array variable</t>
  </si>
  <si>
    <t>Toggle Calculation Mode</t>
  </si>
  <si>
    <t>Toggle Iterative Calculation</t>
  </si>
  <si>
    <t>Wrap in ABS</t>
  </si>
  <si>
    <t>ABS</t>
  </si>
  <si>
    <t>Wrap in Take by Copied Cell Columns</t>
  </si>
  <si>
    <t>Wrap in take by copied cell columns.</t>
  </si>
  <si>
    <t>TCC</t>
  </si>
  <si>
    <t>Wrap in UNICHAR</t>
  </si>
  <si>
    <t>Wraps current formula with TEXTBEFORE space with IFERROR in case space doesn't exist</t>
  </si>
  <si>
    <t>Keep Cell of Array</t>
  </si>
  <si>
    <t>KTC</t>
  </si>
  <si>
    <t>Split Text by Delimiter Above</t>
  </si>
  <si>
    <t>ST</t>
  </si>
  <si>
    <t>Loaded</t>
  </si>
  <si>
    <t>Language ID</t>
  </si>
  <si>
    <t>Albanian</t>
  </si>
  <si>
    <t>Alsatian</t>
  </si>
  <si>
    <t>Amharic</t>
  </si>
  <si>
    <t>Arabic (Algeria)</t>
  </si>
  <si>
    <t>Arabic (Bahrain)</t>
  </si>
  <si>
    <t>Arabic (Egypt)</t>
  </si>
  <si>
    <t>Arabic (Iraq)</t>
  </si>
  <si>
    <t>Arabic (Jordan)</t>
  </si>
  <si>
    <t>Arabic (Kuwait)</t>
  </si>
  <si>
    <t>Arabic (Lebanon)</t>
  </si>
  <si>
    <t>Arabic (Libya)</t>
  </si>
  <si>
    <t>Arabic (Morocco)</t>
  </si>
  <si>
    <t>Arabic (Oman)</t>
  </si>
  <si>
    <t>Arabic (Qatar)</t>
  </si>
  <si>
    <t>Arabic (Saudi Arabia)</t>
  </si>
  <si>
    <t>Arabic (Syria)</t>
  </si>
  <si>
    <t>Arabic (Tunisia)</t>
  </si>
  <si>
    <t>Arabic (U.A.E.)</t>
  </si>
  <si>
    <t>Arabic (Yemen)</t>
  </si>
  <si>
    <t>Armenian</t>
  </si>
  <si>
    <t>Assamese</t>
  </si>
  <si>
    <t>Azerbaijani (Cyrillic)</t>
  </si>
  <si>
    <t>Azerbaijani (Latin)</t>
  </si>
  <si>
    <t>Bashkir</t>
  </si>
  <si>
    <t>Basque</t>
  </si>
  <si>
    <t>Belarusian</t>
  </si>
  <si>
    <t>Bengali (Bangladesh)</t>
  </si>
  <si>
    <t>Bengali (India)</t>
  </si>
  <si>
    <t>Bosnian (Cyrillic)</t>
  </si>
  <si>
    <t>Bosnian (Latin)</t>
  </si>
  <si>
    <t>Breton</t>
  </si>
  <si>
    <t>Bulgarian</t>
  </si>
  <si>
    <t>Catalan</t>
  </si>
  <si>
    <t>Chinese (Hong Kong SAR)</t>
  </si>
  <si>
    <t>Chinese (Macao SAR)</t>
  </si>
  <si>
    <t>Chinese (Simplified, PRC)</t>
  </si>
  <si>
    <t>Chinese (Simplified, Singapore)</t>
  </si>
  <si>
    <t>Chinese (Traditional, Taiwan)</t>
  </si>
  <si>
    <t>Corsican</t>
  </si>
  <si>
    <t>Croatian</t>
  </si>
  <si>
    <t>Croatian (Latin, Bosnia)</t>
  </si>
  <si>
    <t>Czech</t>
  </si>
  <si>
    <t>Danish</t>
  </si>
  <si>
    <t>Dari</t>
  </si>
  <si>
    <t>Divehi</t>
  </si>
  <si>
    <t>Dutch (Belgium)</t>
  </si>
  <si>
    <t>Dutch (Netherlands)</t>
  </si>
  <si>
    <t>English (Australia)</t>
  </si>
  <si>
    <t>English (Belize)</t>
  </si>
  <si>
    <t>English (Canada)</t>
  </si>
  <si>
    <t>English (Caribbean)</t>
  </si>
  <si>
    <t>English (India)</t>
  </si>
  <si>
    <t>English (Ireland)</t>
  </si>
  <si>
    <t>English (Jamaica)</t>
  </si>
  <si>
    <t>English (Malaysia)</t>
  </si>
  <si>
    <t>English (New Zealand)</t>
  </si>
  <si>
    <t>English (Philippines)</t>
  </si>
  <si>
    <t>English (Singapore)</t>
  </si>
  <si>
    <t>English (South Africa)</t>
  </si>
  <si>
    <t>English (Trinidad)</t>
  </si>
  <si>
    <t>English (United Kingdom)</t>
  </si>
  <si>
    <t>English (United States)</t>
  </si>
  <si>
    <t>English (Zimbabwe)</t>
  </si>
  <si>
    <t>Estonian</t>
  </si>
  <si>
    <t>Faroese</t>
  </si>
  <si>
    <t>Filipino</t>
  </si>
  <si>
    <t>Finnish</t>
  </si>
  <si>
    <t>French (Belgium)</t>
  </si>
  <si>
    <t>French (Canada)</t>
  </si>
  <si>
    <t>French (France)</t>
  </si>
  <si>
    <t>French (Luxembourg)</t>
  </si>
  <si>
    <t>French (Monaco)</t>
  </si>
  <si>
    <t>French (Switzerland)</t>
  </si>
  <si>
    <t>Frisian</t>
  </si>
  <si>
    <t>Galician</t>
  </si>
  <si>
    <t>Georgian</t>
  </si>
  <si>
    <t>German (Austria)</t>
  </si>
  <si>
    <t>German (Germany)</t>
  </si>
  <si>
    <t>German (Liechtenstein)</t>
  </si>
  <si>
    <t>German (Luxembourg)</t>
  </si>
  <si>
    <t>German (Switzerland)</t>
  </si>
  <si>
    <t>Greek</t>
  </si>
  <si>
    <t>Greenlandic</t>
  </si>
  <si>
    <t>Gujarati</t>
  </si>
  <si>
    <t>Hausa (Latin)</t>
  </si>
  <si>
    <t>Hebrew</t>
  </si>
  <si>
    <t>Hindi</t>
  </si>
  <si>
    <t>Hungarian</t>
  </si>
  <si>
    <t>Icelandic</t>
  </si>
  <si>
    <t>Igbo</t>
  </si>
  <si>
    <t>Indonesian</t>
  </si>
  <si>
    <t>Inuktitut (Syllabics)</t>
  </si>
  <si>
    <t>Inuktitut (Latin)</t>
  </si>
  <si>
    <t>Irish</t>
  </si>
  <si>
    <t>isiXhosa</t>
  </si>
  <si>
    <t>isiZulu</t>
  </si>
  <si>
    <t>Italian (Italy)</t>
  </si>
  <si>
    <t>Italian (Switzerland)</t>
  </si>
  <si>
    <t>Japanese</t>
  </si>
  <si>
    <t>Kannada</t>
  </si>
  <si>
    <t>Kazakh</t>
  </si>
  <si>
    <t>Khmer</t>
  </si>
  <si>
    <t>K'iche</t>
  </si>
  <si>
    <t>Kinyarwanda</t>
  </si>
  <si>
    <t>Kiswahili</t>
  </si>
  <si>
    <t>Konkani</t>
  </si>
  <si>
    <t>Korean</t>
  </si>
  <si>
    <t>Kyrgyz</t>
  </si>
  <si>
    <t>Lao</t>
  </si>
  <si>
    <t>Latvian</t>
  </si>
  <si>
    <t>Lithuanian</t>
  </si>
  <si>
    <t>Lower Sorbian</t>
  </si>
  <si>
    <t>Luxembourgish</t>
  </si>
  <si>
    <t>Macedonian</t>
  </si>
  <si>
    <t>Malay (Brunei)</t>
  </si>
  <si>
    <t>Malay (Malaysia)</t>
  </si>
  <si>
    <t>Malayalam</t>
  </si>
  <si>
    <t>Maltese</t>
  </si>
  <si>
    <t>Maori</t>
  </si>
  <si>
    <t>Mapudungun</t>
  </si>
  <si>
    <t>Marathi</t>
  </si>
  <si>
    <t>Mohawk</t>
  </si>
  <si>
    <t>Mongolian (Cyrillic)</t>
  </si>
  <si>
    <t>Mongolian (Traditional)</t>
  </si>
  <si>
    <t>Nepali</t>
  </si>
  <si>
    <t>Norwegian (Bokmål)</t>
  </si>
  <si>
    <t>Norwegian (Nynorsk)</t>
  </si>
  <si>
    <t>Occitan</t>
  </si>
  <si>
    <t>Odia</t>
  </si>
  <si>
    <t>Pashto</t>
  </si>
  <si>
    <t>Persian</t>
  </si>
  <si>
    <t>Polish</t>
  </si>
  <si>
    <t>Portuguese (Brazil)</t>
  </si>
  <si>
    <t>Portuguese (Portugal)</t>
  </si>
  <si>
    <t>Punjabi</t>
  </si>
  <si>
    <t>Quechua (Bolivia)</t>
  </si>
  <si>
    <t>Quechua (Ecuador)</t>
  </si>
  <si>
    <t>Quechua (Peru)</t>
  </si>
  <si>
    <t>Romanian</t>
  </si>
  <si>
    <t>Romansh</t>
  </si>
  <si>
    <t>Russian</t>
  </si>
  <si>
    <t>Sami (Inari)</t>
  </si>
  <si>
    <t>Sami (Lule, Norway)</t>
  </si>
  <si>
    <t>Sami (Lule, Sweden)</t>
  </si>
  <si>
    <t>Sami (Northern, Norway)</t>
  </si>
  <si>
    <t>Sami (Northern, Sweden)</t>
  </si>
  <si>
    <t>Sami (Northern, Finland)</t>
  </si>
  <si>
    <t>Sami (Skolt)</t>
  </si>
  <si>
    <t>Sami (Southern, Norway)</t>
  </si>
  <si>
    <t>Sami (Southern, Sweden)</t>
  </si>
  <si>
    <t>Sanskrit</t>
  </si>
  <si>
    <t>Serbian (Cyrillic, Bosnia)</t>
  </si>
  <si>
    <t>Serbian (Cyrillic, Serbia)</t>
  </si>
  <si>
    <t>Serbian (Latin, Bosnia)</t>
  </si>
  <si>
    <t>Serbian (Latin, Serbia)</t>
  </si>
  <si>
    <t>Sesotho sa Leboa</t>
  </si>
  <si>
    <t>Setswana</t>
  </si>
  <si>
    <t>Sinhala</t>
  </si>
  <si>
    <t>Slovak</t>
  </si>
  <si>
    <t>Slovenian</t>
  </si>
  <si>
    <t>Spanish (Argentina)</t>
  </si>
  <si>
    <t>Spanish (Bolivia)</t>
  </si>
  <si>
    <t>Spanish (Chile)</t>
  </si>
  <si>
    <t>Spanish (Colombia)</t>
  </si>
  <si>
    <t>Spanish (Costa Rica)</t>
  </si>
  <si>
    <t>Spanish (Dominican Republic)</t>
  </si>
  <si>
    <t>Spanish (Ecuador)</t>
  </si>
  <si>
    <t>Spanish (El Salvador)</t>
  </si>
  <si>
    <t>Spanish (Guatemala)</t>
  </si>
  <si>
    <t>Spanish (Honduras)</t>
  </si>
  <si>
    <t>Spanish (Mexico)</t>
  </si>
  <si>
    <t>Spanish (Nicaragua)</t>
  </si>
  <si>
    <t>Spanish (Panama)</t>
  </si>
  <si>
    <t>Spanish (Paraguay)</t>
  </si>
  <si>
    <t>Spanish (Peru)</t>
  </si>
  <si>
    <t>Spanish (Puerto Rico)</t>
  </si>
  <si>
    <t>Spanish (Spain, International)</t>
  </si>
  <si>
    <t>Spanish (Spain, Traditional)</t>
  </si>
  <si>
    <t>Spanish (US)</t>
  </si>
  <si>
    <t>Spanish (Uruguay)</t>
  </si>
  <si>
    <t>Spanish (Venezuela)</t>
  </si>
  <si>
    <t>Swedish (Finland)</t>
  </si>
  <si>
    <t>Swedish (Sweden)</t>
  </si>
  <si>
    <t>Syriac</t>
  </si>
  <si>
    <t>Tajik</t>
  </si>
  <si>
    <t>Tamazight (Latin)</t>
  </si>
  <si>
    <t>Tamil</t>
  </si>
  <si>
    <t>Tatar</t>
  </si>
  <si>
    <t>Telugu</t>
  </si>
  <si>
    <t>Thai</t>
  </si>
  <si>
    <t>Tibetan</t>
  </si>
  <si>
    <t>Turkish</t>
  </si>
  <si>
    <t>Turkmen</t>
  </si>
  <si>
    <t>Uighur</t>
  </si>
  <si>
    <t>Ukrainian</t>
  </si>
  <si>
    <t>Upper Sorbian</t>
  </si>
  <si>
    <t>Urdu</t>
  </si>
  <si>
    <t>Uzbek (Cyrillic)</t>
  </si>
  <si>
    <t>Uzbek (Latin)</t>
  </si>
  <si>
    <t>Vietnamese</t>
  </si>
  <si>
    <t>Welsh</t>
  </si>
  <si>
    <t>Wolof</t>
  </si>
  <si>
    <t>Yakut</t>
  </si>
  <si>
    <t>Yi</t>
  </si>
  <si>
    <t>Yoruba</t>
  </si>
  <si>
    <t>ID</t>
  </si>
  <si>
    <t>To find the settings on the computer (before overwriting) run "Get Current Settings" to populate the Loaded column below</t>
  </si>
  <si>
    <t>Does not update anything - for info only</t>
  </si>
  <si>
    <t>To update settings run command "Update Settings". Note this will not change Windows level settings, only Excel, to the settings in yellow.
If Use System Separators = "TRUE", settings will not be updated. Use "FALSE" to load in your preferred settings.</t>
  </si>
  <si>
    <t>Inputted Settings</t>
  </si>
  <si>
    <t>Add your favourites here</t>
  </si>
  <si>
    <t>Round to 0</t>
  </si>
  <si>
    <t>ARR</t>
  </si>
  <si>
    <t>Update Settings</t>
  </si>
  <si>
    <t>US</t>
  </si>
  <si>
    <t>Get Current Settings</t>
  </si>
  <si>
    <t>Revert Settings</t>
  </si>
  <si>
    <t>GS</t>
  </si>
  <si>
    <t>Wrap in UNIQUE</t>
  </si>
  <si>
    <t>U</t>
  </si>
  <si>
    <t>Apply ARROWSHIFT_byEmilieWilliams Lambda</t>
  </si>
  <si>
    <t>Alphabet_byHadynWiseman</t>
  </si>
  <si>
    <t>ArrayShift_byHadynWiseman</t>
  </si>
  <si>
    <t>ArrowsLookup_byHadynWiseman</t>
  </si>
  <si>
    <t>BiCol_byHadynWiseman</t>
  </si>
  <si>
    <t>Biggest_byHadynWiseman</t>
  </si>
  <si>
    <t>BiRow_byHadynWiseman</t>
  </si>
  <si>
    <t>BoardGameMove_byHadynWiseman</t>
  </si>
  <si>
    <t>CardSets_byHadynWiseman</t>
  </si>
  <si>
    <t>ClosestOnMap_byHadynWiseman</t>
  </si>
  <si>
    <t>Coins_byHadynWiseman</t>
  </si>
  <si>
    <t>ColNum_byHadynWiseman</t>
  </si>
  <si>
    <t>Combinations_byHadynWiseman</t>
  </si>
  <si>
    <t>Consecutives_byHadynWiseman</t>
  </si>
  <si>
    <t>CountOcc_byHadynWiseman</t>
  </si>
  <si>
    <t>Dice_byHadynWiseman</t>
  </si>
  <si>
    <t>Distance_byHadynWiseman</t>
  </si>
  <si>
    <t>Duplicates_byHadynWiseman</t>
  </si>
  <si>
    <t>Exists_byHadynWiseman</t>
  </si>
  <si>
    <t>ExtractNumbers_byHadynWiseman</t>
  </si>
  <si>
    <t>Flip_byHadynWiseman</t>
  </si>
  <si>
    <t>Fold_byHadynWiseman</t>
  </si>
  <si>
    <t>LetterType_byHadynWiseman</t>
  </si>
  <si>
    <t>Maze_byHadynWiseman</t>
  </si>
  <si>
    <t>MazeDistance_byHadynWiseman</t>
  </si>
  <si>
    <t>MoveOnMap_byHadynWiseman</t>
  </si>
  <si>
    <t>NetworkGraph_byHadynWiseman</t>
  </si>
  <si>
    <t>Regions_byHadynWiseman</t>
  </si>
  <si>
    <t>Rotate_byHadynWiseman</t>
  </si>
  <si>
    <t>RowNum_byHadynWiseman</t>
  </si>
  <si>
    <t>ShiftText_byHadynWiseman</t>
  </si>
  <si>
    <t>Snake_byHadynWiseman</t>
  </si>
  <si>
    <t>SplitText_byHadynWiseman</t>
  </si>
  <si>
    <t>UnPivot_byHadynWiseman</t>
  </si>
  <si>
    <t>VStacks_byHadynWiseman</t>
  </si>
  <si>
    <t>Hadyn Wiseman</t>
  </si>
  <si>
    <t>Shifts an array by rows and columns, either filling the gap or wrapping it round</t>
  </si>
  <si>
    <t>ExactUnique_byHadynWiseman</t>
  </si>
  <si>
    <t>Returns the distinct values, or only those appearing exactly once</t>
  </si>
  <si>
    <t>ExcludeCols_byHadynWiseman</t>
  </si>
  <si>
    <t>Mirrors an array left-to-right, top-to-bottom or in either diagonal, optionally carrying addresses through the same flip</t>
  </si>
  <si>
    <t>Folds an array along an arrow, with characters that pass through instead of colliding</t>
  </si>
  <si>
    <t>OffsetA_byPeterScharl</t>
  </si>
  <si>
    <t>Peter Scharl</t>
  </si>
  <si>
    <t>Turns an array through quarter turns, optionally carrying addresses through the same rotation</t>
  </si>
  <si>
    <t>RunningCount_byHadynWiseman</t>
  </si>
  <si>
    <t>Returns which occurrence of its own value each item is</t>
  </si>
  <si>
    <t>GridToCol_byLiannaGerrish</t>
  </si>
  <si>
    <t>Converts a grid to a single column with the row number, column number, address and packed coordinate of each cell, or just the columns asked for, reading along the rows or down the columns</t>
  </si>
  <si>
    <t>Reads a grid in serpentine order, reversing direction on alternate lines</t>
  </si>
  <si>
    <t>Converts a wide block into a long one, repeating the key columns once per value</t>
  </si>
  <si>
    <t>UnSplivot_byJJ</t>
  </si>
  <si>
    <t>JJ</t>
  </si>
  <si>
    <t>Splits a delimited column and unpivots it in one step, repeating the other columns for each token</t>
  </si>
  <si>
    <t>Repeats a block n times, stacked or side by side</t>
  </si>
  <si>
    <t>YouAreHere_byLiannaGerrish</t>
  </si>
  <si>
    <t>Converts a cell to its A1 address as text, optionally sheet-qualified</t>
  </si>
  <si>
    <t>Finds sets or runs in a hand, with ace-high, ace-low, wrap-around and custom rank orders</t>
  </si>
  <si>
    <t>Decodes dice glyphs into their pip values, listed or totalled</t>
  </si>
  <si>
    <t>ByRectangle_byBoRydobon</t>
  </si>
  <si>
    <t>Bo Rydobon</t>
  </si>
  <si>
    <t>Applies a function to every rectangular window of a range</t>
  </si>
  <si>
    <t>Returns the nearest matching item on a grid with its value, address and distance</t>
  </si>
  <si>
    <t>DistFrom_byDiarmuidEarly</t>
  </si>
  <si>
    <t>Returns how far every cell is from the nearest cell holding a given VALUE, under any metric you supply</t>
  </si>
  <si>
    <t>FindInMap_byHadynWiseman</t>
  </si>
  <si>
    <t>Returns the A1 address of every cell in a grid holding a given value</t>
  </si>
  <si>
    <t>GetBlock_byJaqKennedy</t>
  </si>
  <si>
    <t>Gets a block of cells in a range or array based on an address and block size</t>
  </si>
  <si>
    <t>HugWall_byHadynWiseman</t>
  </si>
  <si>
    <t>Follows a wall around a grid by the left-hand or right-hand rule</t>
  </si>
  <si>
    <t>LineOfSight_byHadynWiseman</t>
  </si>
  <si>
    <t>Returns what a cell can see across a grid, with blockers stopping the view</t>
  </si>
  <si>
    <t>LineOfSightCount_byHadynWiseman</t>
  </si>
  <si>
    <t>Counts how many of a given item are visible from a cell</t>
  </si>
  <si>
    <t>Returns which cells can be reached from a starting cell, obeying walls</t>
  </si>
  <si>
    <t>Walks a direction across a grid, stopping, gliding, bouncing or wrapping at obstacles, and optionally returning the whole path</t>
  </si>
  <si>
    <t>Returns the cheapest (or dearest) route over an origin/destination edge table, with its cost or its route</t>
  </si>
  <si>
    <t>Labels each connected region of a grid, so separate areas can be counted or told apart</t>
  </si>
  <si>
    <t>NotInList_byJaqKennedy</t>
  </si>
  <si>
    <t>Returns the items of a list that do not appear in another list</t>
  </si>
  <si>
    <t>StackSheets_byJaqKennedy</t>
  </si>
  <si>
    <t>Turns many same-shaped sheets into one table, one row per cell, carrying the sheet name and the cell's address, row, column and packed coordinate</t>
  </si>
  <si>
    <t>Ben de Leon</t>
  </si>
  <si>
    <t>Looks up a value by row key and column key together</t>
  </si>
  <si>
    <t>WhileIterations_byHarryGross</t>
  </si>
  <si>
    <t>Repeats a step until a condition holds and returns how many steps it took</t>
  </si>
  <si>
    <t>WhileLoop_byHarryGross</t>
  </si>
  <si>
    <t>Repeats a step until a condition holds and returns the final state</t>
  </si>
  <si>
    <t>Bounce_byBoRydobon</t>
  </si>
  <si>
    <t>Returns a run of positions that reflect off a lower and upper wall</t>
  </si>
  <si>
    <t>Clamp_byBoRydobon</t>
  </si>
  <si>
    <t>Keeps a number, or every number in an array, between an optional lower and upper bound</t>
  </si>
  <si>
    <t>Returns the LABEL belonging to the nth largest or smallest number, with an optional tie-break key</t>
  </si>
  <si>
    <t>ModeSuper_byLiannaGerrish</t>
  </si>
  <si>
    <t>Returns the most frequent value AND how many times it appears</t>
  </si>
  <si>
    <t>Addresses_byDiarmuidEarly</t>
  </si>
  <si>
    <t>Returns the A1 address of every cell in a range</t>
  </si>
  <si>
    <t>Returns A to Z as a 26-row array</t>
  </si>
  <si>
    <t>Normalises an arrow glyph or compass abbreviation into one consistent form</t>
  </si>
  <si>
    <t>Converts an A1 address, or a packed row/column number, to its column number</t>
  </si>
  <si>
    <t>Returns TRUE where an item is found in a list, with an optional substring mode</t>
  </si>
  <si>
    <t>RCRefConvert_byHadynWiseman</t>
  </si>
  <si>
    <t>Converts between an A1 address and a packed row/column number, and decodes an arrow glyph into the packed step it means</t>
  </si>
  <si>
    <t>Converts an A1 address, or a packed row/column number, to its row number</t>
  </si>
  <si>
    <t>Returns how many of each denomination greedily makes up a target, largest first</t>
  </si>
  <si>
    <t>Lists the ways of choosing c items from a set, ordered or unordered, with or without repeats</t>
  </si>
  <si>
    <t>KnapSackInteger_byHadynWiseman</t>
  </si>
  <si>
    <t>Returns the best total value that fits a weight capacity, or which items to take</t>
  </si>
  <si>
    <t>OptimiseTSP_byHadynWiseman</t>
  </si>
  <si>
    <t>Improves a greedy tour and returns its cost and route</t>
  </si>
  <si>
    <t>PerCom_byBoRydobon</t>
  </si>
  <si>
    <t>Lists the permutations or combinations of c items chosen from n</t>
  </si>
  <si>
    <t>TSPFull_byHadynWiseman</t>
  </si>
  <si>
    <t>Returns the cost of the exact shortest tour over a distance matrix</t>
  </si>
  <si>
    <t>TSPGreedy_byHadynWiseman</t>
  </si>
  <si>
    <t>Returns the cost of a nearest-neighbour tour over a distance matrix</t>
  </si>
  <si>
    <t>Returns the values that appear more than once, or the repeated letters of a single piece of text</t>
  </si>
  <si>
    <t>Prev</t>
  </si>
  <si>
    <t>Shifts a list by n places so each row can see an earlier one, filling the gap it opens</t>
  </si>
  <si>
    <t>Returns how long the current run of identical values is, at every position</t>
  </si>
  <si>
    <t>Counts occurrences of a character or substring within text, optionally case-sensitive</t>
  </si>
  <si>
    <t>ExtractLetters_byJaqKennedy</t>
  </si>
  <si>
    <t>Splits out the letters in mixed text, joined up or as separate runs</t>
  </si>
  <si>
    <t>ExtractLowerLetters_byJaqKennedy</t>
  </si>
  <si>
    <t>Splits out only the lower-case letters in mixed text, joined up or as separate runs</t>
  </si>
  <si>
    <t>Splits out the numbers in mixed text, optionally keeping decimals whole</t>
  </si>
  <si>
    <t>ExtractUpperLetters_byJaqKennedy</t>
  </si>
  <si>
    <t>Splits out only the capital letters in mixed text, joined up or as separate runs</t>
  </si>
  <si>
    <t>MassSubstitute_byHadynWiseman</t>
  </si>
  <si>
    <t>Applies a whole list of substitutions to text in one pass, with regex and case-sensitive modes</t>
  </si>
  <si>
    <t>MissingLetters_byJaqKennedy</t>
  </si>
  <si>
    <t>Returns the letters of the alphabet, or of any other complete set, that do not appear in a list</t>
  </si>
  <si>
    <t>RegPattern_byHadynWiseman</t>
  </si>
  <si>
    <t>Builds a regular expression that matches any word in a list, longest first</t>
  </si>
  <si>
    <t>Shifts each letter along the alphabet, optionally by an amount that grows with its position</t>
  </si>
  <si>
    <t>Splits text into characters, or into fixed or overlapping groups of characters</t>
  </si>
  <si>
    <t>ar</t>
  </si>
  <si>
    <t>Apply ARROWSHIFT_byEmilieWilliams lambda function to active cell, using direction in clipboard.</t>
  </si>
  <si>
    <t>Copy all sheets in workbook for backup</t>
  </si>
  <si>
    <t>Clear Bonus From Dock</t>
  </si>
  <si>
    <t>Hides one bonus from the dock by hand (type 2, B4, B or Bonus 2)</t>
  </si>
  <si>
    <t>BQX</t>
  </si>
  <si>
    <t>Clear Unused Lambdas</t>
  </si>
  <si>
    <t>Clear Unused Lambdas with Report</t>
  </si>
  <si>
    <t>BS, CBS, S</t>
  </si>
  <si>
    <t>Creates bonus sheet "B" with bonus questions</t>
  </si>
  <si>
    <t>BQC, CB</t>
  </si>
  <si>
    <t>CIS, IS</t>
  </si>
  <si>
    <t>CDT, DT</t>
  </si>
  <si>
    <t>Creates a sheet for each level in the Case sheet</t>
  </si>
  <si>
    <t>CL, CLS</t>
  </si>
  <si>
    <t>diff, dbr</t>
  </si>
  <si>
    <t>Eggy</t>
  </si>
  <si>
    <t>Easter Egg Fun</t>
  </si>
  <si>
    <t>Exclude Blanks</t>
  </si>
  <si>
    <t>Filters blank cells out of the active array, leaving only cells that hold something</t>
  </si>
  <si>
    <t>Exclude Examples</t>
  </si>
  <si>
    <t>Trims the worked-example rows off the top of the selection, leaving just the real questions</t>
  </si>
  <si>
    <t>XE</t>
  </si>
  <si>
    <t>Extract Characters</t>
  </si>
  <si>
    <t>Split the active cell's text into its individual characters, one per row. Keeps line breaks, accented letters and emoji intact.</t>
  </si>
  <si>
    <t>Fill Similar Background Color</t>
  </si>
  <si>
    <t>FBC</t>
  </si>
  <si>
    <t>fal</t>
  </si>
  <si>
    <t>Find Address Of Value On Map</t>
  </si>
  <si>
    <t>FAM</t>
  </si>
  <si>
    <t>Find Nearest On Map</t>
  </si>
  <si>
    <t>FNM</t>
  </si>
  <si>
    <t>First Match By Row</t>
  </si>
  <si>
    <t>FMR</t>
  </si>
  <si>
    <t>Flip Array</t>
  </si>
  <si>
    <t>FLP</t>
  </si>
  <si>
    <t>Get current settings for this computer.</t>
  </si>
  <si>
    <t>Reduces a spilled array to just the one cell you selected, so a single value can be inspected or reused</t>
  </si>
  <si>
    <t>List Combinations Of Array</t>
  </si>
  <si>
    <t>LCA</t>
  </si>
  <si>
    <t>List Lambdas Used</t>
  </si>
  <si>
    <t>Load Game Into Calculation</t>
  </si>
  <si>
    <t>Loads the selected data table game into the example calculation, or restores the example</t>
  </si>
  <si>
    <t>Lookup Array from Column N</t>
  </si>
  <si>
    <t>Looks every value of the active array up in a named range or table and returns the column you choose</t>
  </si>
  <si>
    <t>LKN</t>
  </si>
  <si>
    <t>lkp</t>
  </si>
  <si>
    <t>MM</t>
  </si>
  <si>
    <t>Applies -- to an array, turning TRUE/FALSE into 1/0 so it can be summed or multiplied</t>
  </si>
  <si>
    <t>Modulo Array</t>
  </si>
  <si>
    <t>MODA</t>
  </si>
  <si>
    <t>Modulo Array 1-Based</t>
  </si>
  <si>
    <t>MOD1</t>
  </si>
  <si>
    <t>Renames used range in all sheets</t>
  </si>
  <si>
    <t>NA, NAUR</t>
  </si>
  <si>
    <t>Names used range in all sheets starting with the prefix as provided in the active cell</t>
  </si>
  <si>
    <t>neg</t>
  </si>
  <si>
    <t>Next Bonus In Status Bar</t>
  </si>
  <si>
    <t>Shows the next open bonus question on the status bar (no-dock fallback)</t>
  </si>
  <si>
    <t>BQN</t>
  </si>
  <si>
    <t>Paste Flattened List With Formatting</t>
  </si>
  <si>
    <t>PFF</t>
  </si>
  <si>
    <t>Previous Bonus In Status Bar</t>
  </si>
  <si>
    <t>Shows the previous open bonus question on the status bar</t>
  </si>
  <si>
    <t>BQP</t>
  </si>
  <si>
    <t>Record Walk Route</t>
  </si>
  <si>
    <t>Start recording a route: every orthogonal move adds the cells you pass over. Diagonal click finishes</t>
  </si>
  <si>
    <t>RWR</t>
  </si>
  <si>
    <t>rs</t>
  </si>
  <si>
    <t>Restore Cleared Bonuses</t>
  </si>
  <si>
    <t>Brings every hand-cleared bonus back into the dock</t>
  </si>
  <si>
    <t>BQR</t>
  </si>
  <si>
    <t>Reverts settings to those loaded into the Loaded column.</t>
  </si>
  <si>
    <t>RVS</t>
  </si>
  <si>
    <t>Rotate Array</t>
  </si>
  <si>
    <t>ROT</t>
  </si>
  <si>
    <t>r0</t>
  </si>
  <si>
    <t>Run Data Table</t>
  </si>
  <si>
    <t>Fills a Create Data Table block with static results game by game, recalculating only when run</t>
  </si>
  <si>
    <t>Save Answers To Left</t>
  </si>
  <si>
    <t>Saves references to the selected cells in the green answer cells to the left on the same row.</t>
  </si>
  <si>
    <t>Enable editing and save copy of file with suffix based on active cell (otherwise Working)</t>
  </si>
  <si>
    <t>Save From Example</t>
  </si>
  <si>
    <t>SFE</t>
  </si>
  <si>
    <t>src</t>
  </si>
  <si>
    <t>Show Bonus Dock</t>
  </si>
  <si>
    <t>Shows the open bonus questions in a dock on the right; answered ones drop off</t>
  </si>
  <si>
    <t>BQ</t>
  </si>
  <si>
    <t>Split Text by Semicolon</t>
  </si>
  <si>
    <t>Splits the active cell's text on semicolons into an array, trimming each piece</t>
  </si>
  <si>
    <t>S;</t>
  </si>
  <si>
    <t>Stack Sheets From Clipboard</t>
  </si>
  <si>
    <t>Stacks the same block from many sheets into one table, driven by a sheet-name list in the clipboard</t>
  </si>
  <si>
    <t>STK</t>
  </si>
  <si>
    <t>Stack Sheets From Clipboard, Hide Blanks</t>
  </si>
  <si>
    <t>STKH</t>
  </si>
  <si>
    <t>Stop Walk Route</t>
  </si>
  <si>
    <t>Ends a walk route by hand and writes it out, for when a diagonal click is awkward to reach</t>
  </si>
  <si>
    <t>SWR</t>
  </si>
  <si>
    <t>Sum True</t>
  </si>
  <si>
    <t>Toggles calculation mode and places current mode notice in StatusBar</t>
  </si>
  <si>
    <t>Toggles iterative calculation and sets status in status bar</t>
  </si>
  <si>
    <t>Unmerge Multi-Row Merges</t>
  </si>
  <si>
    <t>Wrap Flat List Into Grid</t>
  </si>
  <si>
    <t>WFG</t>
  </si>
  <si>
    <t>con</t>
  </si>
  <si>
    <t>Wraps the active formula in DROP(...,1) to remove a header row from a spilled array</t>
  </si>
  <si>
    <t>char</t>
  </si>
  <si>
    <t>code</t>
  </si>
  <si>
    <t>tbse</t>
  </si>
  <si>
    <t>As Clear Unused Lambdas, but writes out what it removed and what it kept; use this one when you want to check before trusting it</t>
  </si>
  <si>
    <t>Returns the cell ADDRESS of each value you are looking for on a map, the start point the distance commands need</t>
  </si>
  <si>
    <t>Lists every lambda the active workbook's formulas actually call; worth running before clearing anything</t>
  </si>
  <si>
    <t>Wraps the active array with MOD; turns cumulative movement into a position on a looping board</t>
  </si>
  <si>
    <t>Wraps the active formula in ROUND(...,0) for a whole number. Round once at the END of a chain; rounding each step compounds the error</t>
  </si>
  <si>
    <t>As Stack Sheets From Clipboard, but drops empty cells. WARNING: it drops zeros too</t>
  </si>
  <si>
    <t>Folds a single row or column back into a grid of a chosen width, the missing half of Reshape To One Row/Column</t>
  </si>
  <si>
    <t>Wraps the active formula in ABS() to make the result positive: distances, differences, gaps, reflections</t>
  </si>
  <si>
    <t>Wraps the active formula in CONCAT() to join an array into one string with no separator, rebuilding a word from its letters</t>
  </si>
  <si>
    <t>Wraps the active formula in UNICHAR() to turn code numbers back into characters: decoding glyphs, emoji or dice faces</t>
  </si>
  <si>
    <t>Wraps the active formula in UNICODE() to turn characters into their code numbers, the first step in most cipher and glyph puzzles</t>
  </si>
  <si>
    <t>Returns an array with the named columns removed (CHOOSECOLS by exclusion)</t>
  </si>
  <si>
    <t>Returns a block offset within an array, padding rather than stepping outside it (a non-volatile OFFSET)</t>
  </si>
  <si>
    <t>Returns the distance between two cells with independent horizontal, vertical and diagonal step costs, or as straight-line or knight moves; it ignores the map</t>
  </si>
  <si>
    <t>Returns the shortest distance across a grid, obeying walls. Weighted, so it takes the cheapest route rather than the fewest steps</t>
  </si>
  <si>
    <t>Applies a function to each column, allowing it to return an array (BYCOL that tolerates arrays)</t>
  </si>
  <si>
    <t>Applies a function to each row, allowing it to return an array (BYROW that tolerates arrays)</t>
  </si>
  <si>
    <t>Returns first column minus last column in array</t>
  </si>
  <si>
    <t>bonus_to_clear: Bonus to clear from the dock (e.g. 2, B4, B or Bonus 2)</t>
  </si>
  <si>
    <t>ColumnNumber: Column number to return | LookupRange: Named range or table to look up in</t>
  </si>
  <si>
    <t>Divisor: Divide by (e.g. board size)</t>
  </si>
  <si>
    <t>RowWidth: How many cells per row in the result</t>
  </si>
  <si>
    <t>not established; ships uncredited</t>
  </si>
  <si>
    <t>Array: the block to shift.
[RowShift]: how many rows to move it down. Negative moves it up.
[ColumnShift]: how many columns to move it right. Negative moves it left.
[Fill]: what to put in the space the shift opens up.
[WrapAround]: 0 = the far end falls off. 1 = it comes back round the other side, which is exactly a deck cut.</t>
  </si>
  <si>
    <t>Array: the list to reduce.
[by_col]: 1 to treat columns as the items instead of rows.
[exactly_once]: 1 = keep ONLY the values that appear exactly once. This is the mode plain UNIQUE does not have, and the one cases ask for.</t>
  </si>
  <si>
    <t>Array: the block to take columns out of.
ColumnsToRemove: which column numbers to DROP. The opposite of CHOOSECOLS, which makes you list the ones to keep.</t>
  </si>
  <si>
    <t>Array: the block to flip.
[Horizontal]: 1 mirrors left-to-right.
[Vertical]: 1 mirrors top-to-bottom.
[DiagonalTopLeft]: 1 reflects in the leading diagonal (a transpose).
[DiagonalTopRight]: 1 reflects in the other diagonal.
[AddressMoves]: addresses to carry through the same flip, so you can find out where a cell ENDED UP.</t>
  </si>
  <si>
    <t>Array: the block to turn.
[Rotation]: 1 = a quarter turn, 2 = a half turn, 3 = three quarters, 4 = leave it. Omitted = 1.
[InputAddresses]: addresses to put through the same rotation, so you can say where a particular cell ended up.</t>
  </si>
  <si>
    <t>Array: the grid to linearise.
[ByCol]: 1 snakes down the columns instead of along the rows.
[StartRorC]: which row or column to start from.
[SwapEvery]: how many lines before the direction flips. 1 is the ordinary boustrophedon zig-zag.
[AddressMoves]: addresses to carry through the same reordering.</t>
  </si>
  <si>
    <t>KeepColumns: the columns that stay as they are and get REPEATED down the output.
UnpivotColumns: the block that gets turned from wide into long.
[HasHeaders]: 1 if the first row is a header row.
[RemoveBlanks]: 1 drops rows whose value is empty.</t>
  </si>
  <si>
    <t>table: the whole block. Column 1 is the one that gets SPLIT; columns 2 onwards are repeated once per token.
delim: the delimiter inside column 1.</t>
  </si>
  <si>
    <t>Array: the block to repeat.
NoTimes: how many copies.
[Hstk]: 1 stacks them side by side instead of on top of each other.</t>
  </si>
  <si>
    <t>cell: the cell whose address you want as text.
[sheetname]: include a sheet name in the address, for a reference that has to survive being used on another sheet.</t>
  </si>
  <si>
    <t>Cards: the hand.
CardsInRun: how many cards make a set or a run.
[Ace_High]: 1 counts the ace above the king.
[Ace_Low]: 1 counts the ace below the two. Both can be on at once.
[Sets]: 1 looks for SETS (same rank), 0 for RUNS (consecutive).
[CustomCardList]: your own rank order, for a game that is not a standard deck.
[WrapAroundRuns]: 1 lets a run pass through the end of the order and back round.</t>
  </si>
  <si>
    <t>Dice: the dice glyphs to decode.
[add]: 1 SUMS the pips instead of listing them.
[join]: join the values into one string.</t>
  </si>
  <si>
    <t>start: the first cell, as an address.
end: the second cell.
[h]: cost of a horizontal step.
[v]: cost of a vertical step.
[d]: cost of a diagonal step. Omitted, diagonals are not treated separately.
[pythag]: 1 for straight-line (Euclidean) distance instead of steps.
[knight]: 1 for the number of KNIGHT MOVES between the two cells.</t>
  </si>
  <si>
    <t>mp: the map.
st: where to start.
first_direction: which way to set off, as an arrow or a compass letter.
[AntiClockwise]: 1 for the left-hand rule instead of the right-hand one.
[AllowMp]: which cells may be walked on, as an array of TRUE/FALSE.
[Steps]: how many steps to take before stopping.
[ReferenceMap]: locates an array on the sheet.
[Show_on_map]: 1 draws the path onto the map instead of listing the cells.</t>
  </si>
  <si>
    <t>st: the cell doing the looking.
mp: the map. RANGE ONLY, same as LineOfSight.
ItemsToCount: what you are counting sightings of.
[Blockers]: what stops the view.
[No_Diag]: 1 for rows and columns only.
[Distance]: how far the eye reaches.
[Custom_Directions]: your own directions to look along.
[ReferenceMap]: locates an array on the sheet.</t>
  </si>
  <si>
    <t>mp: the map.
st: where you start from.
[targets]: optional cells of interest.
[No_Diag]: 1 for 4-way, 0 for 8-way.
[AllowMp]: which cells may be entered, as an array of TRUE/FALSE.
[Custom_Directions]: your own move list.
[ReferenceMap]: locates an array on the sheet.</t>
  </si>
  <si>
    <t>array: the value or values to test.
list: the list to test them against.</t>
  </si>
  <si>
    <t>blocks: the sheets already stacked on top of each other. VSTACK takes a 3D reference, so VSTACK(Area1:Area64!A1:P16) is the whole job in one go.
names: the sheet names, in the same order as the blocks. "Area"&amp;SEQUENCE(64) when they are numbered; a literal list when they are not.
[TopLeft]: where the block sits on its own sheet, as an address. Blank means A1. Get it wrong and every address is out by the same amount.
[HideBlanks]: 1 drops the empty and zero cells. Blank keeps every cell.</t>
  </si>
  <si>
    <t>array: the block to walk across.
function: a LAMBDA applied to each COLUMN, allowed to return an array.</t>
  </si>
  <si>
    <t>array: the block to walk down.
function: a LAMBDA applied to each ROW. Unlike native BYROW, it may return an ARRAY per row instead of a single value.</t>
  </si>
  <si>
    <t>initialValue: the starting state.
iterativeStep: a LAMBDA that turns the state into the next state.
stopCondition: a LAMBDA that returns TRUE when you want to stop. Returns THE STATE at that point.</t>
  </si>
  <si>
    <t>Direction: an arrow glyph or a compass abbreviation. Normalises whichever notation a case happens to use into one internal form.</t>
  </si>
  <si>
    <t>address: an A1 address as text ("C5"), OR a number already packed as row*1000000+column. It tests which it was given, so passing an already-converted number is harmless.</t>
  </si>
  <si>
    <t>Item: the value (or array of values) you are looking for.
List: the list to look in.
[SearchMode]: 0 or omitted = whole-value match. 1 = SUBSTRING match, so "cat" is found inside "concatenate".</t>
  </si>
  <si>
    <t>St: either an A1 address (converted to a packed number), a packed number (converted back to an address), or one of the eight arrow glyphs (converted to the packed MOVE that arrow means).</t>
  </si>
  <si>
    <t>addresses: an A1 address as text ("C5"), OR a packed row*1000000+column number. Plural because it takes a whole array of them at once.</t>
  </si>
  <si>
    <t>Capacity: how much weight the sack holds.
Weights: the weight of each item.
Values: the value of each item, lined up with Weights.
[items]: return WHICH items were chosen instead of the total value.</t>
  </si>
  <si>
    <t>GreedyResult: the output of TSPGreedy, which this improves.
DistanceMatrix: the same distance matrix.</t>
  </si>
  <si>
    <t>n: how many items there are, as a COUNT rather than a list.
c: how many to choose.
[P0C1]: 0 = permutations (order matters), 1 = combinations (it does not). The name is literally 'permutation 0 / combination 1', and it is idiosyncratic enough that it is how the attribution audit proved the lambda is Bo's.
[rep]: 1 allows repeats.
[cum]: 1 returns every size up to c.</t>
  </si>
  <si>
    <t>DistanceMatrix: a square matrix of distances.
[StartNodeNumber]: which node to start at.
[ReturnToStart]: 1 for a closed tour.
[StepLimit]: a cap on how far it will search.</t>
  </si>
  <si>
    <t>DistanceMatrix: a square matrix of distances between every pair of nodes.
[StartNodeNumber]: which node to start at.
[ReturnToStart]: 1 for a closed tour that comes home, 0 for an open one.</t>
  </si>
  <si>
    <t>Array: the list to examine. A single text value is split into characters first, so it also answers 'which letter is repeated?'</t>
  </si>
  <si>
    <t>arr: the list to shift.
[n]: how many places to shift it down. 1 is 'the one before'.
[fill]: what to put in the gap the shift opens at the top. Omitted, it uses "X".</t>
  </si>
  <si>
    <t>text: the mixed text to pull letters out of.
[AsRuns]: TRUE returns each RUN of letters as a separate item. Omitted, they are concatenated into one string.</t>
  </si>
  <si>
    <t>text: the mixed text to pull lower-case letters out of.
[AsRuns]: TRUE returns each run separately.</t>
  </si>
  <si>
    <t>text: the mixed text to pull numbers out of.
[With_Decimals]: 1 keeps a decimal point as part of the number instead of splitting 12.5 into 12 and 5.</t>
  </si>
  <si>
    <t>text: the mixed text to pull capitals out of.
[AsRuns]: TRUE returns each run of capitals separately.</t>
  </si>
  <si>
    <t>WordArray: the list of words to build a pattern from. LONGEST FIRST, so 'catalog' is matched before 'cat' and you do not get a half-match.
[words_within_words]: 1 allows a match inside a longer word; omitted, it wraps the pattern in word boundaries.</t>
  </si>
  <si>
    <t>Text: the string to split.
[Groups]: how many characters per piece. Omitted = one character each.
[Overlap]: 1 = the pieces OVERLAP, sliding one character at a time. That is what makes it more than TEXTSPLIT and is how you scan for n-grams.</t>
  </si>
  <si>
    <t>No: needs a real RANGE</t>
  </si>
  <si>
    <t>Yes: with an array, its top-left counts as A1</t>
  </si>
  <si>
    <t>Yes: dual mode, PASS AN ARRAY (the range path uses implicit intersection and only works alongside the map)</t>
  </si>
  <si>
    <t>Yes: but a LIST, not a grid; flatten a 2-D block with TOCOL</t>
  </si>
  <si>
    <t>Yes: and VSTACK of a 3D reference is how you feed it</t>
  </si>
  <si>
    <t>n/a: takes numbers, not a block</t>
  </si>
  <si>
    <t>Yes: it is arithmetic on a packed number or an address</t>
  </si>
  <si>
    <t>n/a: takes text, not a block</t>
  </si>
  <si>
    <t>Yes: it takes a list, from a range or an array</t>
  </si>
  <si>
    <t>Array: the block to fold.
Arrow: which way to fold it; the arrow points the way the flap travels.
[PassthroughChars]: characters that do NOT collide when two layers land on the same cell, e.g. a blank.
[LinesToFold]: how many rows or columns of the flap to fold over.
[AddressMoves]: addresses to carry through the fold.</t>
  </si>
  <si>
    <t>arr: the array to look inside. Values come back, NOT a reference; that is the difference from OFFSET and the reason it is not volatile.
rows: how far down to start.
[cols]: how far right to start.
[h]: how many rows to return. Omitted = all of them.
[w]: how many columns to return. Omitted = all of them.
[pad_with]: what to return for a position that falls OUTSIDE the array. It cannot step outside and fetch real data; it pads.</t>
  </si>
  <si>
    <t>Array: the list to count through. Answers 'which occurrence of this value is this one?', not how many there are in total.</t>
  </si>
  <si>
    <t>arr: the grid to flatten. ARRAY-SAFE: it builds the coordinates with SEQUENCE rather than reading ROW()/COLUMN() off the sheet, which is why it works on anything. Given a RANGE the row and column numbers are real sheet coordinates; given a typed ARRAY the array's own top-left counts as A1.
[Address]: 1 asks for the ADDRESS column (B2, C3, ...).
[RowCol]: 1 asks for the Row # and Column # columns, two columns, not one.
[RCRef]: 1 asks for the packed row*10^6+col column the rest of the toolbox speaks.
[ByColumn]: 1 walks DOWN THE COLUMNS instead of along the rows. This is the half of Flatten that GridToCol absorbed when Flatten was retired.
[HideZeros]: 1 drops the cells holding a zero. Off by default; a zero is a real value and hiding it is the caller's choice, not the default.
[ShowBlanks]: 1 KEEPS the empty cells, which are dropped by default. A blank reports as "", never as 0, so it cannot be mistaken for a real zero, which is exactly the bug this caused in FindInMap.</t>
  </si>
  <si>
    <t>Range: the grid. A REAL RANGE; it builds a:b spans internally, so an array will not do.
Function: what to work out for each window.
Rows: how many rows the window is.
[Columns]: how many columns. Omitted, it is square.
[No_Overlap]: 1 steps a whole window at a time instead of one cell at a time.</t>
  </si>
  <si>
    <t>mp: the map.
start: where you are searching from.
steps: how far to look.
[Items]: what you are looking for.
[DistFunc]: the metric to measure with, YOUR OWN definition of how far apart two cells are. In the 2026-09-20 cut this one parameter replaced the five separate dh/dv/dd/py/kn switches the old body had. It is a LAMBDA(from, to) where FROM is the one start address and TO is the whole column of candidate addresses at once, so build it out of things that work on arrays (RowNum, ColNum, ABS, SQRT) and it returns one distance per candidate. Omit it and you get king moves: diagonals cost the same as straight steps. See the worked examples below.
[ShowBlanks]: include cells with nothing in them.
[RCaa_CRaa_RCad_CRad_RCda_CRda_RCdd_CRdd]: the tie-break ORDER when two targets are equally close, i.e. which of the eight directions wins.</t>
  </si>
  <si>
    <t>mp: the map.
trg: the VALUE to measure distance to; not a cell, a value. That is the difference from MazeDistance, which wants an address.
func: a LAMBDA taking the row gap and the column gap and returning a distance. ANY metric you like, Euclidean included.</t>
  </si>
  <si>
    <t>items: the value, or values, to find. A LIST finds all of them in one call.
mp: the map to look in. A RANGE or a typed ARRAY; both work. Given a range you get real sheet addresses; given an array, the array's own top-left counts as A1 and the addresses are relative to that.</t>
  </si>
  <si>
    <t>Arr: the grid to cut a block out of. A RANGE or a typed ARRAY; both work. Given a range, AnchorCell is a real sheet address; given an array, the array's own top-left counts as A1 and the anchor is read relative to that.
AnchorCell: the address the block is positioned around.
RowSize: how many rows the block has.
[ColSize]: how many columns. Blank gives a SQUARE block.
[Pos]: where the anchor sits in the block (TL, TR, C, BL, BR). Blank is the CENTRE, which is what 'the cells around this one' means.
[Fill]: what to use where the block runs off the edge of the grid.
[WrapAround]: 1 wraps round the grid instead of filling.</t>
  </si>
  <si>
    <t>mp: the map. RANGE ONLY; handed an array it returns the TEXT 'Map is not a range, add reference map', and because that is a string and not an error, IFERROR will not catch it.
Projections: the cell, or cells, doing the looking.
blockers: what stops a line of sight.
[No_Diag]: 1 to look only along rows and columns.
[Distance]: how far the line of sight reaches.
[Custom_RC_Directions]: your own list of directions to look along.
[Fill]: what to mark the cells that cannot be seen with.</t>
  </si>
  <si>
    <t>mp: the map. A RANGE, or an ARRAY with [ReferenceMap] to say where it sits.
st: the start cell, as a SHEET address: "B12", not "A1-for-the-map's-corner".
[Targets]: where you are going. OMIT IT and you get the distance to EVERY cell, a whole distance field in one call.
[No_Diag]: 1 = 4-way movement, 0 = 8-way. The commonest thing a case changes.
[Allowmp]: which cells may be entered, as an ARRAY OF TRUE/FALSE. Never a bare TRUE; see the watch-out.
[Show_Steps]: 1 returns the NUMBER OF STEPS instead of the accumulated cost.
[Cus_Dir]: your own list of moves as packed numbers, so knight moves, hex moves and teleports all become ordinary steps.
[Mazelam]: YOUR OWN price list for entering a cell. Normally a cell costs whatever is written in it; this replaces that rule. It is a LAMBDA of SEVEN arguments, in this order: the contents of the cell you are LEAVING, the contents of the cell you are ENTERING, where you are leaving from, where you are going, how many steps you have taken, how far you have come, and which DIRECTION the move is in. Return the cost of making that move. THE ONE THING TO KNOW: it is handed the whole search frontier at once, not one cell at a time, so all seven arrive as ARRAYS and it must give back an array of the same shape. A bare 1 will not do; write toValue*0+1, which is 1 in the right shape. The three position arguments are PACKED coordinates, so INT(to/10^6) is the row it is moving into and MOD(to,10^6) the column, and the direction is the difference between the two: 1 or -1 sideways, a million up or down, and anything else diagonal. See the examples below.
[ReferenceMap]: a real range that locates an ARRAY on the sheet.</t>
  </si>
  <si>
    <t>St: the starting cell.
Dir: which way to go, as an arrow glyph or a compass letter.
[Steps]: how many steps to take.
[mp]: the map, if the walk has to respect walls.
[Path]: 1 returns EVERY cell visited instead of just the last one.
[Stop]: 1 stops dead at a blocker.
[Glide]: 1 slides until something stops it, like a curling stone.
[Bounce]: 1 reflects off the wall and comes back.
[Wrap]: 1 comes round the other side of the map.
[RefMap]: locates an array on the sheet.
[mpA]: which cells may be entered, as an array of TRUE/FALSE.
[ShowDir]: also report the direction being travelled at the end.</t>
  </si>
  <si>
    <t>Starts: the node, or nodes, to start from.
OriginDestinationTable: the edges, as a two-column from/to table. This is the NON-GRID half of pathfinding; use it once a grid has been contracted to a graph.
[Weights]: the cost of each edge.
[Function]: a callback to work the cost out instead.
[Targets]: where you are going. Omit for every node at once.
[BiDirectional]: 1 if every edge can be travelled both ways.
[StartWeights]: a cost already carried at each start node.
[MaximiseW]: 1 finds the DEAREST route rather than the cheapest.
[StepLimit]: stop after this many hops.
[ShowRoute]: 1 returns the route itself, not just its cost.</t>
  </si>
  <si>
    <t>mp: the map.
[No_Diag]: 1 = cells touch only edge-to-edge, 0 = diagonals count as touching.
[Allowmp]: which cells take part, as an array of TRUE/FALSE. Omitted, it groups cells of EQUAL VALUE instead, a different question and a useful one.
[Cus_Dir]: your own idea of which cells are neighbours.
[Mazelam]: a callback deciding what counts as connected. Same seven-argument shape as MazeDistance's, and its worked examples are the ones to read.</t>
  </si>
  <si>
    <t>array: the list you are checking. A LIST, not a grid; see the watch-out.
list: the list to check it against.</t>
  </si>
  <si>
    <t>DataSource: the whole table INCLUDING its row labels and header row.
RLU: the row key to look up.
CLU: the column key to look up.
[RowArray]: supply the row labels separately, when they are not the table's first column.
[ColumnArray]: supply the column labels separately.
[MatchMode]: as XLOOKUP: 0 exact, -1 or 1 nearest, 2 wildcard.
[SearchMode]: as XLOOKUP: 1 first-to-last, -1 last-to-first.
[IfNotFound]: what to return instead of an error.</t>
  </si>
  <si>
    <t>initialValue: the starting state.
iterativeStep: a LAMBDA that produces the next state.
stopCondition: a LAMBDA returning TRUE when to stop.
[currentIterationCount]: bookkeeping, the count so far. Leave it alone; the recursion passes it to itself.</t>
  </si>
  <si>
    <t>n: the number, or an array of numbers, to limit.
[lower]: smallest allowed value. Omitted, it defaults to MIN(n), i.e. no lower limit is applied.
[upper]: largest allowed value. Omitted, it defaults to MAX(n).</t>
  </si>
  <si>
    <t>Range: the NUMBERS to rank.
Return: the LABELS to return, lined up with Range. This is the whole point; you get the name, not the score.
[Smallest]: 0 for largest, 1 for smallest. REQUIRED, not optional.
[N]: which one; 1 is the biggest, 2 the second biggest. Omitted = 1.</t>
  </si>
  <si>
    <t>rng: the values to count. MUST BE A REAL RANGE, not a typed array; it uses COUNTIF inside, and COUNTIF on an array returns the WRONG ANSWER SILENTLY.</t>
  </si>
  <si>
    <t>rng: the range whose addresses you want. Must be a real RANGE, not an array; it reads ROW() and COLUMN() off the sheet.</t>
  </si>
  <si>
    <t>Target: the amount to make up.
Coins: the denominations available, in any order; it sorts them largest first.</t>
  </si>
  <si>
    <t>Array: the items to choose from.
c: how many to choose.
[RemoveOrder]: 1 treats {1,2} and {2,1} as the SAME selection. WITHOUT IT YOU GET PERMUTATIONS; see the watch-out, because the name says otherwise.
[AllowRepeatItems]: 1 lets an item be picked more than once.
[Cumulative]: 1 returns every size up to c, not just size c.</t>
  </si>
  <si>
    <t>array: the list to measure runs in. A single cell, or a single text value, is split into characters first. A row and a column both work, and the answer comes back the same way round.
[groups]: 1 returns each element's GROUP SIZE (the length of the run it belongs to) instead of the running count. Omitted or 0 gives the running count.</t>
  </si>
  <si>
    <t>OccOf: WHAT YOU ARE LOOKING FOR, and it comes FIRST, which is the opposite way round from most of Excel. Getting this backwards returns a number rather than an error, so nothing tells you.
Text: the text to look in.
[Case]: 1 makes it case-sensitive. Omitted, 'A' and 'a' count as the same.</t>
  </si>
  <si>
    <t>Text: the text to work on.
OldText: a LIST of things to replace.
[NewText]: a list of what to replace them with, lined up with OldText.
[CaseSensitive]: 1 to match case exactly.
[InstanceNumber]: replace only the nth occurrence rather than all of them.
[Regexmode]: 1 treats OldText as a regular expression; pairs with RegPattern.</t>
  </si>
  <si>
    <t>list: what you HAVE. A LIST, not a word; see the watch-out.
[pool]: the complete set to check against. Blank is the 26 letters, which is the case that names the lambda; pass anything else and it answers 'which of THESE are missing' for any set you like. Underneath it is NotInList_byJaqKennedy(pool, list); this lambda is that one with the alphabet already filled in.</t>
  </si>
  <si>
    <t>Text: the text to shift.
Shift: how many places to move each letter along the alphabet.
[AlongShift]: an EXTRA shift that grows with the position; character 1 moves by Shift, character 2 by Shift+AlongShift, and so on. One case called this its only invented mechanic.
[AlongLettersOnly]: 1 counts only letters when working out the position, so spaces and punctuation do not advance the shift.
[NoWrapAround]: 1 stops z rolling round to a.</t>
  </si>
  <si>
    <t>DEV ONLY, DISABLED. Clears lambdas out of CompBot itself (never the active file) that are not in the Lambdas table or needed by a command. Would delete any lambda library a user has pulled into CompBot.</t>
  </si>
  <si>
    <t>n: how many steps to generate.
max: the upper wall.
[min]: the lower wall. Omitted = 1.
[start]: where the walk starts. Omitted = min.
[step]: how far each step moves. Omitted = 1.
[leave0Clip1Bounce2]: WHAT HAPPENS WHEN A STEP WOULD OVERSHOOT A WALL. 0 carries on past the wall, then turns; 1 stops at the wall; 2 reflects back off it. With a step that always lands exactly on the wall (a step of 1, for instance) all three give the same sequence.</t>
  </si>
  <si>
    <t>Import Lambdas From CompBot</t>
  </si>
  <si>
    <t>ILC</t>
  </si>
  <si>
    <t>ILL</t>
  </si>
  <si>
    <t>Clear Status Bar</t>
  </si>
  <si>
    <t>Set Lambda Library</t>
  </si>
  <si>
    <t>Points CompBot at YOUR lambda library workbook, once; ILL and Full Setup Case then load it</t>
  </si>
  <si>
    <t>SLL</t>
  </si>
  <si>
    <t>Import Case Lambdas</t>
  </si>
  <si>
    <t>Your library (if set), then CompBot's lambdas, into the active workbook. Chained after Full Setup Case</t>
  </si>
  <si>
    <t>Clear Lambda Library</t>
  </si>
  <si>
    <t>Forgets your saved lambda library, so ILL and Full Setup Case stop loading it</t>
  </si>
  <si>
    <t>CLL</t>
  </si>
  <si>
    <t>Builds (or finds) the data table block for the level you are in, beside its inputs, and lands on the last input; fill it with Run Data Table (RDT)</t>
  </si>
  <si>
    <t>Setup Case Settings</t>
  </si>
  <si>
    <t>Your choice</t>
  </si>
  <si>
    <t>What it does</t>
  </si>
  <si>
    <t>Save a _Solve copy</t>
  </si>
  <si>
    <t>Saves the case as name_Solve first, so the original file is never touched.</t>
  </si>
  <si>
    <t>Back up every sheet</t>
  </si>
  <si>
    <t>A BU_ copy of every sheet (BU).</t>
  </si>
  <si>
    <t>Name the used ranges</t>
  </si>
  <si>
    <t>A Sht_ name for each sheet's data (NA).</t>
  </si>
  <si>
    <t>Create the level sheets</t>
  </si>
  <si>
    <t>Create the bonus sheet</t>
  </si>
  <si>
    <t>Sheet B, for the bonus questions.</t>
  </si>
  <si>
    <t>Create the Case inputs sheet</t>
  </si>
  <si>
    <t>The inputs on a sheet of their own (CIS).</t>
  </si>
  <si>
    <t>Import your lambda library</t>
  </si>
  <si>
    <t>Your own lambdas, if a library is set with SLL.</t>
  </si>
  <si>
    <t>Import CompBot's lambdas</t>
  </si>
  <si>
    <t>CompBot's own lambdas (ILC).</t>
  </si>
  <si>
    <t>Whose lambdas win a clash</t>
  </si>
  <si>
    <t>CompBot or Your library. The winner replaces a lambda of the same name; the other never does. ILL and ILC follow it too.</t>
  </si>
  <si>
    <t>Your lambda library</t>
  </si>
  <si>
    <t>Library file</t>
  </si>
  <si>
    <t>Set with Set Lambda Library (SLL); forgotten with Clear Lambda Library (CLL). Shown here, not changed here.</t>
  </si>
  <si>
    <t>Full path</t>
  </si>
  <si>
    <t>Your library</t>
  </si>
  <si>
    <t>Sets up the case: saves a _Solve copy, backs up the sheets, creates the level, bonus and Case inputs sheets, then imports lambdas. Choose the steps with SCS</t>
  </si>
  <si>
    <t>SC, Ctrl+Shift+G</t>
  </si>
  <si>
    <t>Unmerges every merged area spanning more than one row (the selection, or the whole sheet), leaving the value in the top-left cell</t>
  </si>
  <si>
    <t>Shortens multi-word sheet names to their initials, keeping numbers (Level 1 Data becomes L1D); backups keep their names</t>
  </si>
  <si>
    <t>Loads CompBot's own lambdas into the active workbook, replacing older copies unless SCS says your library wins</t>
  </si>
  <si>
    <t>Opens CompBot's Setup Settings sheet: choose which steps Full Setup Case runs, and whose lambdas win a name clash</t>
  </si>
  <si>
    <t>SCS</t>
  </si>
  <si>
    <t>Merged To Centre Across Selection</t>
  </si>
  <si>
    <t>Merged Cells changed to Centre Across Selection</t>
  </si>
  <si>
    <t>Unmerge, M2C</t>
  </si>
  <si>
    <t>One sheet per level: L01, L02... Untick to solve on the Case sheet.</t>
  </si>
  <si>
    <t>Go To Example</t>
  </si>
  <si>
    <t>Goes to the level's example row, two cells right of its last input, ready to solve</t>
  </si>
  <si>
    <t>GE</t>
  </si>
  <si>
    <t>Clears the status bar</t>
  </si>
  <si>
    <t>CSB</t>
  </si>
  <si>
    <t>Link Answer Cell</t>
  </si>
  <si>
    <t>Points the level's data table ANSWER cell at the active cell (your calculation's output); then run RDT</t>
  </si>
  <si>
    <t>nSet_byJaqKennedy</t>
  </si>
  <si>
    <t>Returns the values found in both arrays (their intersection), each once</t>
  </si>
  <si>
    <t>array1: the first list or block; its order is kept.
array2: the list or block to check against.
[skip_blanks_zeros]: TRUE (the default) leaves out blanks, empty text and 0. FALSE keeps them.</t>
  </si>
  <si>
    <t>Yes: any shape, returned as one column</t>
  </si>
  <si>
    <t>uSet_byJaqKennedy</t>
  </si>
  <si>
    <t>Returns every value found in either array (their union), each once</t>
  </si>
  <si>
    <t>array1: the first list or block; its values come first.
array2: the second list or block; its new values follow.
[skip_blanks_zeros]: TRUE (the default) leaves out blanks, empty text and 0. FALSE keeps them.</t>
  </si>
  <si>
    <t>Link Side Cell</t>
  </si>
  <si>
    <t>Save Answer To Bonus 1</t>
  </si>
  <si>
    <t>Links the active cell (any sheet) into the Bonus 1 answer cell, goes there and copies it for the submission site.</t>
  </si>
  <si>
    <t>B1</t>
  </si>
  <si>
    <t>Save Answer To Bonus 2</t>
  </si>
  <si>
    <t>Links the active cell (any sheet) into the Bonus 2 answer cell, goes there and copies it for the submission site.</t>
  </si>
  <si>
    <t>B2</t>
  </si>
  <si>
    <t>Save Answer To Bonus 3</t>
  </si>
  <si>
    <t>Links the active cell (any sheet) into the Bonus 3 answer cell, goes there and copies it for the submission site.</t>
  </si>
  <si>
    <t>B3</t>
  </si>
  <si>
    <t>Save Answer To Bonus 4</t>
  </si>
  <si>
    <t>Links the active cell (any sheet) into the Bonus 4 answer cell, goes there and copies it for the submission site.</t>
  </si>
  <si>
    <t>B4</t>
  </si>
  <si>
    <t>Save Answer To Bonus 5</t>
  </si>
  <si>
    <t>Links the active cell (any sheet) into the Bonus 5 answer cell, goes there and copies it for the submission site.</t>
  </si>
  <si>
    <t>B5</t>
  </si>
  <si>
    <t>Choose what Full Setup Case (SC, Ctrl+Shift+G) does. Tick or untick a step, or pick whose lambdas win.</t>
  </si>
  <si>
    <t>Kept in this copy of CompBot, so your choices go wherever it goes. Open CompBot for editing to keep a change; a CompBot update puts them back to all on.</t>
  </si>
  <si>
    <t>Excel's separators</t>
  </si>
  <si>
    <t>Non-US English settings? Run Get Current Settings (GS), then Update Settings (US); Revert Settings (RVS) before you leave.</t>
  </si>
  <si>
    <t>Relink it with Set Lambda Library (SLL): its location will have changed.</t>
  </si>
  <si>
    <t>These setup choices</t>
  </si>
  <si>
    <t>Review them above before your first Full Setup Case.</t>
  </si>
  <si>
    <t>Counts the TRUE values in an array (applies -- and sums it): the usual way to answer 'how many rows pass this test'</t>
  </si>
  <si>
    <t>ST  ·  MMS</t>
  </si>
  <si>
    <t>Sum False</t>
  </si>
  <si>
    <t>Counts the FALSE (0) values in an array: how many rows fail the test</t>
  </si>
  <si>
    <t>SF</t>
  </si>
  <si>
    <t>RunningTotal_byJaqKennedy</t>
  </si>
  <si>
    <t>Running total that can restart at chosen rows, and cap or stop at a limit</t>
  </si>
  <si>
    <t>values: the numbers to accumulate.
[ResetFlags]: 1 where the total restarts.
[ResetTo]: what the total restarts at. Default 0.
[StopAt]: the limit.
[Cap]: 1 (default) holds the total at StopAt; 0 keeps the crossing row's full value.
[IncFlaggedVal]: 1 (default) adds the flagged row's own value to the restart; 0 leaves it out.</t>
  </si>
  <si>
    <t>Running Total</t>
  </si>
  <si>
    <t>Wraps the active array in a running total (RunningTotal_byJaqKennedy with nothing else set)</t>
  </si>
  <si>
    <t>RT</t>
  </si>
  <si>
    <t>Running Total with Reset</t>
  </si>
  <si>
    <t>Running total that restarts wherever the COPIED flag range holds 1; asks what it restarts at (blank = 0). The flagged row's own value is included</t>
  </si>
  <si>
    <t>ResetTo: what the total restarts at (leave blank for 0)</t>
  </si>
  <si>
    <t>RTR</t>
  </si>
  <si>
    <t>Running Total with Cap</t>
  </si>
  <si>
    <t>Running total that stops at the COPIED limit and holds there (Cap = 1). Change the final 1 to 0 to keep the crossing row's full value instead</t>
  </si>
  <si>
    <t>RTC</t>
  </si>
  <si>
    <t>Select the empty grid between two lists: marks 1 where the item ABOVE each column is found in the item LEFT of each row</t>
  </si>
  <si>
    <t>For each row, the position of the first cell equal to the COPIED cell's value, or a fallback (blank = never) where the row never matches</t>
  </si>
  <si>
    <t>IfNotFound: result where the row never matches (leave blank for never)</t>
  </si>
  <si>
    <t>Splits the active cell's text DOWN into rows on the delimiter in the cell above (linked, so changing that cell re-splits), and trims each piece</t>
  </si>
  <si>
    <t>LookFor: the value to find, typed plainly (no quotes)</t>
  </si>
  <si>
    <t>Stand on the start (e.g. the S) in a map spill, with the target cell COPIED: lists the nearest targets with their addresses and distances, to the right of the map</t>
  </si>
  <si>
    <t>Turns the active array a quarter turn clockwise; run it again for another quarter turn</t>
  </si>
  <si>
    <t>Reverses the active cell's text (stressed becomes desserts). For a block use FLR (left to right) or FTB (top to bottom)</t>
  </si>
  <si>
    <t>Every ordering of all the items in the active array, each used once (10 20 30, 10 30 20, 20 10 30 ...)</t>
  </si>
  <si>
    <t>Map Distance From Cell (4 ways)</t>
  </si>
  <si>
    <t>How far every cell on a map is from the COPIED start cell(s), moving only up, down, left and right, routing AROUND obstacles</t>
  </si>
  <si>
    <t>MDC4</t>
  </si>
  <si>
    <t>Label Connected Regions (4 ways)</t>
  </si>
  <si>
    <t>Numbers each connected blob on a map, cells joining only up, down, left and right</t>
  </si>
  <si>
    <t>LCR4</t>
  </si>
  <si>
    <t>Map Distance From Cell (8 ways)</t>
  </si>
  <si>
    <t>How far every cell on a map is from the COPIED start cell(s), diagonal moves allowed, routing AROUND obstacles</t>
  </si>
  <si>
    <t>MDC8</t>
  </si>
  <si>
    <t>Label Connected Regions (8 ways)</t>
  </si>
  <si>
    <t>Numbers each connected blob on a map, a diagonal (corner) touch joining cells too</t>
  </si>
  <si>
    <t>LCR8</t>
  </si>
  <si>
    <t>Flip Array Left to Right</t>
  </si>
  <si>
    <t>Mirrors the active array left to right: the last column comes first</t>
  </si>
  <si>
    <t>FLR</t>
  </si>
  <si>
    <t>Flip Array Top to Bottom</t>
  </si>
  <si>
    <t>Mirrors the active array top to bottom: the last row comes first</t>
  </si>
  <si>
    <t>FTB</t>
  </si>
  <si>
    <t>List Pairings Of Two Lists</t>
  </si>
  <si>
    <t>Every pairing of the COPIED list with the active spill (each item of one with each item of the other), written to the right of the spill</t>
  </si>
  <si>
    <t>LP</t>
  </si>
  <si>
    <t>Record Walk Route Here</t>
  </si>
  <si>
    <t>RWH</t>
  </si>
  <si>
    <t>Deletes lambdas from the active workbook that nothing refers to, so the case file you submit does not carry every lambda you own</t>
  </si>
  <si>
    <t>Fetch_byJaqKennedy</t>
  </si>
  <si>
    <t>Returns the value at an address or packed row/column number, read from a named range or block</t>
  </si>
  <si>
    <t>ref: the cell, as an A1 address ("C10") or a packed row*1000000+column number. A list returns a list.
source: the named range or block to read from, e.g. the Sht_ name Name Used Ranges gives a sheet. Given a RANGE, ref is a real sheet address; given an ARRAY, its top-left counts as A1. Required: reading the formula's own sheet by default needs INDIRECT, which is volatile.
[oob]: what to return where ref is outside source. Default "OOB".</t>
  </si>
  <si>
    <t>Returns a code for each character: U upper case, L lower case, S anything else; or V vowel / C consonant; or L letter / D digit</t>
  </si>
  <si>
    <t>text: the text to classify, one code per character.
[Vowels]: 1 = V for vowels and C for consonants, instead of U and L.
[Digits]: 1 = L for any letter and D for digits (S for anything else).</t>
  </si>
  <si>
    <t>Laps a counter round a board numbered 1 to N: past the last space it carries on from 1</t>
  </si>
  <si>
    <t>MoveValue: the position after the move.
EndSpace: how many spaces the board has.</t>
  </si>
  <si>
    <t>Wraps the active array in BoardGameMove_byHadynWiseman: a board numbered 1 to N, so an exact lap lands on N rather than 0</t>
  </si>
  <si>
    <t>Copy Map And Fill From Legend</t>
  </si>
  <si>
    <t>none</t>
  </si>
  <si>
    <t>CFL</t>
  </si>
  <si>
    <t>Copies the selected cells' values over every cell sharing their fill color; turns a color-coded map into data in one run</t>
  </si>
  <si>
    <t>Selects every cell in the selection that shares the active cell's fill color, so a color group can be seen or counted at once</t>
  </si>
  <si>
    <t>Turns a copied range into a list, one row per cell, carrying fill color, font color and border flags</t>
  </si>
  <si>
    <t>Wraps the active formula in UNIQUE() to strip duplicates: distinct values, distinct colors, distinct answers</t>
  </si>
  <si>
    <t>Copy a color-coded map sheet: stand on a colored legend cell; copies the sheet and fills every map cell on the copy with its color's legend value (white is never a key); each named range on the sheet gets a clr_ twin on the copy</t>
  </si>
  <si>
    <t>As Record Walk Route, but the route table goes on this sheet, level with where the walk started and to its right, in the first space clear enough to hold it</t>
  </si>
  <si>
    <t>Limited collection included with CompBot for demonstration. To add lambdas to your workbook, run "Import Lambdas From CompBot" (ILC) or "Import Lambda Library" (ILL)</t>
  </si>
  <si>
    <t>OA ROBOT COMMAND COLLECTION</t>
  </si>
  <si>
    <t>VERSION 2026.10</t>
  </si>
  <si>
    <t>101 COMMANDS   •   75 LAMBDAS   •   CTRL+SHIFT+O OPENS THE PALETTE   •   BY JAQ KENNEDY</t>
  </si>
  <si>
    <t>Regional Settings</t>
  </si>
  <si>
    <t>Updates default settings to those in Regional Settings sheet</t>
  </si>
  <si>
    <t>none set</t>
  </si>
  <si>
    <t>Run Set Lambda Library (SLL) to choose one</t>
  </si>
  <si>
    <t>Solve folder</t>
  </si>
  <si>
    <t>Set with Set Solve Folder (SSF); forgotten with Clear Solve Folder (CSF). Full Setup Case saves the _Solve copy here, or next to the case if none is set or it is missing. Shown here, not changed here.</t>
  </si>
  <si>
    <t>Your lambda library and Solve folder</t>
  </si>
  <si>
    <t>Your Solve folder</t>
  </si>
  <si>
    <t>Re-set it with Set Solve Folder (SSF): this machine's folders will differ.</t>
  </si>
  <si>
    <t>Run Set Solve Folder (SSF) to choose one</t>
  </si>
  <si>
    <t>Your checklist: on a new or shared machine (the arena)</t>
  </si>
  <si>
    <t>For you to tick as you go. Ticking a box does NOT run anything: run each command yourself.</t>
  </si>
  <si>
    <t>Set Solve Folder</t>
  </si>
  <si>
    <t>Choose the folder Full Setup Case saves your _Solve copy into, once (e.g. OneDrive)</t>
  </si>
  <si>
    <t>SSF</t>
  </si>
  <si>
    <t>Level Inputs</t>
  </si>
  <si>
    <t>Type a level, or levels like 4-5 or 3,5-6: their inputs land as an array to work on, with headers and game/level beside them (blank = this sheet's level)</t>
  </si>
  <si>
    <t>Levels: Levels, e.g. 4 or 4-5 or 3,5-6 (blank = this sheet's level)</t>
  </si>
  <si>
    <t>LI, LLI</t>
  </si>
  <si>
    <t>Clear Solve Folder</t>
  </si>
  <si>
    <t>Forgets your Solve folder, so Full Setup Case saves the _Solve copy next to the case again</t>
  </si>
  <si>
    <t>CSF</t>
  </si>
  <si>
    <t>Creates a case inputs sheet: one row per game with its Game and Level, then every input; names each level L01_Inputs, L02_Inputs, ...</t>
  </si>
  <si>
    <t>Loads YOUR own lambda library (set once with SLL) into the active workbook: its lambdas and its stored values (named constants)</t>
  </si>
  <si>
    <t>Select your answer formula on the example row; the working right of the inputs is copied to every question and the answers linked</t>
  </si>
  <si>
    <t>Create Data Table Here</t>
  </si>
  <si>
    <t>Builds the level's data table block at the selected cell, else beside the inputs</t>
  </si>
  <si>
    <t>CDTH, DT</t>
  </si>
  <si>
    <t>ANS, DT</t>
  </si>
  <si>
    <t>Data table: adds a bonus SIDE column pointed at the active cell; RDT fills it</t>
  </si>
  <si>
    <t>LSC, BDT, DT</t>
  </si>
  <si>
    <t>LDT, LG, DT</t>
  </si>
  <si>
    <t>RDT, DT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</si>
</sst>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_(* #,##0.00_);_(* \(#,##0.00\);_(* &quot;-&quot;??_);_(@_)"/>
  </numFmts>
  <fonts count="16" x14ac:knownFonts="1">
    <font>
      <sz val="16"/>
      <color theme="1"/>
      <name val="Verdana"/>
      <family val="2"/>
    </font>
    <font>
      <sz val="14"/>
      <color theme="1"/>
      <name val="Aptos Narrow"/>
      <family val="2"/>
      <scheme val="minor"/>
    </font>
    <font>
      <b/>
      <sz val="15"/>
      <color theme="3"/>
      <name val="Verdana"/>
      <family val="2"/>
    </font>
    <font>
      <b/>
      <sz val="13"/>
      <color theme="3"/>
      <name val="Verdana"/>
      <family val="2"/>
    </font>
    <font>
      <i/>
      <sz val="16"/>
      <color rgb="FF7F7F7F"/>
      <name val="Verdana"/>
      <family val="2"/>
    </font>
    <font>
      <sz val="16"/>
      <color theme="1"/>
      <name val="Verdana"/>
      <family val="2"/>
    </font>
    <font>
      <sz val="16"/>
      <color rgb="FF0000FF"/>
      <name val="Verdana"/>
      <family val="2"/>
    </font>
    <font>
      <sz val="20"/>
      <color theme="1"/>
      <name val="Aptos"/>
      <family val="2"/>
    </font>
    <font>
      <sz val="14"/>
      <color theme="0"/>
      <name val="Aptos Narrow"/>
      <family val="2"/>
      <scheme val="minor"/>
    </font>
    <font>
      <sz val="14"/>
      <color theme="0"/>
      <name val="Verdana Pro"/>
      <family val="2"/>
    </font>
    <font>
      <sz val="14"/>
      <color theme="0"/>
      <name val="Verdana"/>
      <family val="2"/>
    </font>
    <font>
      <sz val="16"/>
      <color theme="1"/>
      <name val="Segoe UI"/>
      <family val="2"/>
    </font>
    <font>
      <b/>
      <sz val="14"/>
      <color rgb="FF1B647E"/>
      <name val="Segoe UI"/>
      <family val="2"/>
    </font>
    <font>
      <b/>
      <sz val="16"/>
      <color rgb="FFFEFFCE"/>
      <name val="Segoe UI"/>
      <family val="2"/>
    </font>
    <font>
      <b/>
      <sz val="13"/>
      <color rgb="FFFEFFCE"/>
      <name val="Segoe UI"/>
      <family val="2"/>
    </font>
    <font>
      <sz val="16"/>
      <color rgb="FFED7D31"/>
      <name val="Verdana"/>
      <family val="2"/>
    </font>
  </fonts>
  <fills count="9">
    <fill>
      <patternFill patternType="none"/>
    </fill>
    <fill>
      <patternFill patternType="gray125"/>
    </fill>
    <fill>
      <patternFill patternType="solid">
        <fgColor rgb="FFFFFFCC"/>
        <bgColor indexed="64"/>
      </patternFill>
    </fill>
    <fill>
      <patternFill patternType="solid">
        <fgColor theme="4"/>
      </patternFill>
    </fill>
    <fill>
      <patternFill patternType="solid">
        <fgColor rgb="FF1E88B8"/>
        <bgColor indexed="64"/>
      </patternFill>
    </fill>
    <fill>
      <patternFill patternType="solid">
        <fgColor rgb="FF156082"/>
        <bgColor indexed="64"/>
      </patternFill>
    </fill>
    <fill>
      <patternFill patternType="solid">
        <fgColor rgb="FFFEFFCE"/>
        <bgColor indexed="64"/>
      </patternFill>
    </fill>
    <fill>
      <patternFill patternType="solid">
        <fgColor rgb="FF1B647E"/>
        <bgColor indexed="64"/>
      </patternFill>
    </fill>
    <fill>
      <patternFill patternType="solid">
        <fgColor rgb="FF0E3442"/>
        <bgColor indexed="64"/>
      </patternFill>
    </fill>
  </fills>
  <borders count="4">
    <border>
      <left/>
      <right/>
      <top/>
      <bottom/>
      <diagonal/>
    </border>
    <border>
      <left/>
      <right/>
      <top/>
      <bottom style="thick">
        <color theme="4"/>
      </bottom>
      <diagonal/>
    </border>
    <border>
      <left/>
      <right/>
      <top/>
      <bottom style="thick">
        <color theme="4" tint="0.499984740745262"/>
      </bottom>
      <diagonal/>
    </border>
    <border>
      <left style="thin">
        <color indexed="64"/>
      </left>
      <right style="thin">
        <color indexed="64"/>
      </right>
      <top style="thin">
        <color indexed="64"/>
      </top>
      <bottom style="thin">
        <color indexed="64"/>
      </bottom>
      <diagonal/>
    </border>
  </borders>
  <cellStyleXfs count="9">
    <xf numFmtId="0" fontId="0" fillId="0" borderId="0"/>
    <xf numFmtId="0" fontId="2" fillId="0" borderId="1" applyNumberFormat="0" applyFill="0" applyAlignment="0" applyProtection="0"/>
    <xf numFmtId="0" fontId="3" fillId="0" borderId="2" applyNumberFormat="0" applyFill="0" applyAlignment="0" applyProtection="0"/>
    <xf numFmtId="0" fontId="4" fillId="0" borderId="0" applyNumberFormat="0" applyFill="0" applyBorder="0" applyAlignment="0" applyProtection="0"/>
    <xf numFmtId="164" fontId="5" fillId="0" borderId="0" applyFont="0" applyFill="0" applyBorder="0" applyAlignment="0" applyProtection="0"/>
    <xf numFmtId="0" fontId="7" fillId="0" borderId="0"/>
    <xf numFmtId="0" fontId="1" fillId="0" borderId="0"/>
    <xf numFmtId="0" fontId="8" fillId="3" borderId="0" applyNumberFormat="0" applyBorder="0" applyAlignment="0" applyProtection="0"/>
    <xf numFmtId="0" fontId="9" fillId="4" borderId="0" applyBorder="0" applyAlignment="0" applyProtection="0"/>
  </cellStyleXfs>
  <cellXfs count="34">
    <xf numFmtId="0" fontId="0" fillId="0" borderId="0" xfId="0"/>
    <xf numFmtId="0" fontId="6" fillId="2" borderId="3" xfId="0" applyFont="1" applyFill="1" applyBorder="1"/>
    <xf numFmtId="164" fontId="0" fillId="0" borderId="0" xfId="4" applyFont="1"/>
    <xf numFmtId="0" fontId="2" fillId="0" borderId="1" xfId="1" applyAlignment="1">
      <alignment horizontal="centerContinuous" vertical="top"/>
    </xf>
    <xf numFmtId="0" fontId="2" fillId="0" borderId="1" xfId="1" applyAlignment="1">
      <alignment horizontal="centerContinuous"/>
    </xf>
    <xf numFmtId="0" fontId="4" fillId="0" borderId="0" xfId="3" applyAlignment="1">
      <alignment horizontal="centerContinuous" vertical="top"/>
    </xf>
    <xf numFmtId="0" fontId="4" fillId="0" borderId="0" xfId="3" applyAlignment="1">
      <alignment horizontal="centerContinuous"/>
    </xf>
    <xf numFmtId="0" fontId="3" fillId="0" borderId="2" xfId="2" applyAlignment="1">
      <alignment horizontal="centerContinuous" vertical="top"/>
    </xf>
    <xf numFmtId="0" fontId="3" fillId="0" borderId="2" xfId="2" applyAlignment="1">
      <alignment horizontal="centerContinuous"/>
    </xf>
    <xf numFmtId="0" fontId="0" fillId="0" borderId="0" xfId="0" applyAlignment="1">
      <alignment vertical="top"/>
    </xf>
    <xf numFmtId="0" fontId="0" fillId="0" borderId="0" xfId="0" applyAlignment="1">
      <alignment vertical="top" wrapText="1"/>
    </xf>
    <xf numFmtId="0" fontId="2" fillId="0" borderId="0" xfId="1" applyBorder="1" applyAlignment="1">
      <alignment horizontal="centerContinuous"/>
    </xf>
    <xf numFmtId="0" fontId="4" fillId="0" borderId="3" xfId="3" applyBorder="1" applyAlignment="1">
      <alignment horizontal="centerContinuous"/>
    </xf>
    <xf numFmtId="0" fontId="4" fillId="0" borderId="3" xfId="3" applyBorder="1" applyAlignment="1">
      <alignment horizontal="centerContinuous" wrapText="1"/>
    </xf>
    <xf numFmtId="0" fontId="4" fillId="0" borderId="3" xfId="3" applyBorder="1"/>
    <xf numFmtId="0" fontId="0" fillId="0" borderId="3" xfId="0" applyBorder="1"/>
    <xf numFmtId="0" fontId="0" fillId="0" borderId="0" xfId="0" applyAlignment="1">
      <alignment horizontal="right"/>
    </xf>
    <xf numFmtId="0" fontId="10" fillId="3" borderId="3" xfId="7" applyFont="1" applyBorder="1"/>
    <xf numFmtId="0" fontId="10" fillId="4" borderId="3" xfId="8" applyFont="1" applyBorder="1"/>
    <xf numFmtId="0" fontId="4" fillId="0" borderId="0" xfId="3"/>
    <xf numFmtId="0" fontId="6" fillId="2" borderId="3" xfId="0" applyFont="1" applyFill="1" applyBorder="1" applyAlignment="1">
      <alignment horizontal="center"/>
    </xf>
    <xf numFmtId="0" fontId="6" fillId="2" borderId="3" xfId="0" applyFont="1" applyFill="1" applyBorder="1" applyAlignment="1">
      <alignment horizontal="center"/>
      <extLst>
        <ext xmlns:xfpb="http://schemas.microsoft.com/office/spreadsheetml/2022/featurepropertybag" uri="{C7286773-470A-42A8-94C5-96B5CB345126}">
          <xfpb:xfComplement i="0"/>
        </ext>
      </extLst>
    </xf>
    <xf numFmtId="0" fontId="0" fillId="0" borderId="0" xfId="0" applyAlignment="1">
      <alignment horizontal="center"/>
      <extLst>
        <ext xmlns:xfpb="http://schemas.microsoft.com/office/spreadsheetml/2022/featurepropertybag" uri="{C7286773-470A-42A8-94C5-96B5CB345126}">
          <xfpb:xfComplement i="0"/>
        </ext>
      </extLst>
    </xf>
    <xf numFmtId="0" fontId="11" fillId="0" borderId="0" xfId="0" applyFont="1"/>
    <xf numFmtId="0" fontId="11" fillId="6" borderId="0" xfId="0" applyFont="1" applyFill="1"/>
    <xf numFmtId="0" fontId="12" fillId="6" borderId="0" xfId="0" applyFont="1" applyFill="1" applyAlignment="1">
      <alignment horizontal="left" vertical="center" indent="1"/>
    </xf>
    <xf numFmtId="0" fontId="11" fillId="7" borderId="0" xfId="0" applyFont="1" applyFill="1"/>
    <xf numFmtId="0" fontId="13" fillId="7" borderId="0" xfId="0" applyFont="1" applyFill="1" applyAlignment="1">
      <alignment horizontal="left" vertical="center" indent="1"/>
    </xf>
    <xf numFmtId="0" fontId="11" fillId="8" borderId="0" xfId="0" applyFont="1" applyFill="1"/>
    <xf numFmtId="0" fontId="14" fillId="8" borderId="0" xfId="0" applyFont="1" applyFill="1" applyAlignment="1">
      <alignment horizontal="left" vertical="center" indent="1"/>
    </xf>
    <xf numFmtId="0" fontId="15" fillId="0" borderId="0" xfId="0" applyFont="1"/>
    <xf numFmtId="0" fontId="10" fillId="5" borderId="3" xfId="7" applyFont="1" applyFill="1" applyBorder="1"/>
    <xf numFmtId="0" fontId="0" fillId="0" borderId="0" xfId="0" applyFont="1" applyAlignment="1">
      <alignment vertical="top" wrapText="1"/>
    </xf>
    <xf numFmtId="0" fontId="0" fillId="0" borderId="0" xfId="0" applyFont="1" applyAlignment="1">
      <alignment vertical="top"/>
    </xf>
  </cellXfs>
  <cellStyles count="9">
    <cellStyle name="Accent1" xfId="7" builtinId="29"/>
    <cellStyle name="Accent1 80%" xfId="8" xr:uid="{EAF46386-6DE2-4305-8C3A-E28770490FF0}"/>
    <cellStyle name="Comma" xfId="4" builtinId="3"/>
    <cellStyle name="Explanatory Text" xfId="3" builtinId="53"/>
    <cellStyle name="Heading 1" xfId="1" builtinId="16"/>
    <cellStyle name="Heading 2" xfId="2" builtinId="17"/>
    <cellStyle name="Normal" xfId="0" builtinId="0" customBuiltin="1"/>
    <cellStyle name="Normal 2" xfId="5" xr:uid="{53B8B56D-3D7E-4F7E-B529-7864F5AB8F8C}"/>
    <cellStyle name="Normal 3" xfId="6" xr:uid="{7783C125-C323-4B99-8562-C686E3DE3AD8}"/>
  </cellStyles>
  <dxfs count="18">
    <dxf>
      <font>
        <strike val="0"/>
        <outline val="0"/>
        <shadow val="0"/>
        <u val="none"/>
        <vertAlign val="baseline"/>
        <name val="Verdana"/>
        <family val="2"/>
      </font>
    </dxf>
    <dxf>
      <font>
        <strike val="0"/>
        <outline val="0"/>
        <shadow val="0"/>
        <u val="none"/>
        <vertAlign val="baseline"/>
        <name val="Verdana"/>
        <family val="2"/>
      </font>
    </dxf>
    <dxf>
      <font>
        <strike val="0"/>
        <outline val="0"/>
        <shadow val="0"/>
        <u val="none"/>
        <vertAlign val="baseline"/>
        <name val="Verdana"/>
        <family val="2"/>
      </font>
    </dxf>
    <dxf>
      <font>
        <strike val="0"/>
        <outline val="0"/>
        <shadow val="0"/>
        <u val="none"/>
        <vertAlign val="baseline"/>
        <name val="Verdana"/>
        <family val="2"/>
      </font>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s>
  <tableStyles count="1" defaultTableStyle="TableStyleMedium2" defaultPivotStyle="PivotStyleLight16">
    <tableStyle name="Invisible" pivot="0" table="0" count="0" xr9:uid="{07CA7B3B-BEF1-4752-9AB6-251FF4D39D26}"/>
  </tableStyles>
  <colors>
    <mruColors>
      <color rgb="FF1E88B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2.xml"/><Relationship Id="rId18" Type="http://schemas.openxmlformats.org/officeDocument/2006/relationships/customXml" Target="../customXml/item7.xml"/><Relationship Id="rId26" Type="http://schemas.openxmlformats.org/officeDocument/2006/relationships/customXml" Target="../customXml/item15.xml"/><Relationship Id="rId39" Type="http://schemas.openxmlformats.org/officeDocument/2006/relationships/customXml" Target="../customXml/item28.xml"/><Relationship Id="rId21" Type="http://schemas.openxmlformats.org/officeDocument/2006/relationships/customXml" Target="../customXml/item10.xml"/><Relationship Id="rId34" Type="http://schemas.openxmlformats.org/officeDocument/2006/relationships/customXml" Target="../customXml/item23.xml"/><Relationship Id="rId42" Type="http://schemas.openxmlformats.org/officeDocument/2006/relationships/customXml" Target="../customXml/item31.xml"/><Relationship Id="rId47" Type="http://schemas.openxmlformats.org/officeDocument/2006/relationships/customXml" Target="../customXml/item36.xml"/><Relationship Id="rId50" Type="http://schemas.openxmlformats.org/officeDocument/2006/relationships/customXml" Target="../customXml/item39.xml"/><Relationship Id="rId55" Type="http://schemas.openxmlformats.org/officeDocument/2006/relationships/customXml" Target="../customXml/item44.xml"/><Relationship Id="rId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ustomXml" Target="../customXml/item5.xml"/><Relationship Id="rId29" Type="http://schemas.openxmlformats.org/officeDocument/2006/relationships/customXml" Target="../customXml/item18.xml"/><Relationship Id="rId11" Type="http://schemas.openxmlformats.org/officeDocument/2006/relationships/calcChain" Target="calcChain.xml"/><Relationship Id="rId24" Type="http://schemas.openxmlformats.org/officeDocument/2006/relationships/customXml" Target="../customXml/item13.xml"/><Relationship Id="rId32" Type="http://schemas.openxmlformats.org/officeDocument/2006/relationships/customXml" Target="../customXml/item21.xml"/><Relationship Id="rId37" Type="http://schemas.openxmlformats.org/officeDocument/2006/relationships/customXml" Target="../customXml/item26.xml"/><Relationship Id="rId40" Type="http://schemas.openxmlformats.org/officeDocument/2006/relationships/customXml" Target="../customXml/item29.xml"/><Relationship Id="rId45" Type="http://schemas.openxmlformats.org/officeDocument/2006/relationships/customXml" Target="../customXml/item34.xml"/><Relationship Id="rId53" Type="http://schemas.openxmlformats.org/officeDocument/2006/relationships/customXml" Target="../customXml/item42.xml"/><Relationship Id="rId58" Type="http://schemas.openxmlformats.org/officeDocument/2006/relationships/customXml" Target="../customXml/item47.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customXml" Target="../customXml/item8.xml"/><Relationship Id="rId14" Type="http://schemas.openxmlformats.org/officeDocument/2006/relationships/customXml" Target="../customXml/item3.xml"/><Relationship Id="rId22" Type="http://schemas.openxmlformats.org/officeDocument/2006/relationships/customXml" Target="../customXml/item11.xml"/><Relationship Id="rId27" Type="http://schemas.openxmlformats.org/officeDocument/2006/relationships/customXml" Target="../customXml/item16.xml"/><Relationship Id="rId30" Type="http://schemas.openxmlformats.org/officeDocument/2006/relationships/customXml" Target="../customXml/item19.xml"/><Relationship Id="rId35" Type="http://schemas.openxmlformats.org/officeDocument/2006/relationships/customXml" Target="../customXml/item24.xml"/><Relationship Id="rId43" Type="http://schemas.openxmlformats.org/officeDocument/2006/relationships/customXml" Target="../customXml/item32.xml"/><Relationship Id="rId48" Type="http://schemas.openxmlformats.org/officeDocument/2006/relationships/customXml" Target="../customXml/item37.xml"/><Relationship Id="rId56" Type="http://schemas.openxmlformats.org/officeDocument/2006/relationships/customXml" Target="../customXml/item45.xml"/><Relationship Id="rId8" Type="http://schemas.openxmlformats.org/officeDocument/2006/relationships/sharedStrings" Target="sharedStrings.xml"/><Relationship Id="rId51" Type="http://schemas.openxmlformats.org/officeDocument/2006/relationships/customXml" Target="../customXml/item40.xml"/><Relationship Id="rId3" Type="http://schemas.openxmlformats.org/officeDocument/2006/relationships/worksheet" Target="worksheets/sheet3.xml"/><Relationship Id="rId12" Type="http://schemas.openxmlformats.org/officeDocument/2006/relationships/customXml" Target="../customXml/item1.xml"/><Relationship Id="rId17" Type="http://schemas.openxmlformats.org/officeDocument/2006/relationships/customXml" Target="../customXml/item6.xml"/><Relationship Id="rId25" Type="http://schemas.openxmlformats.org/officeDocument/2006/relationships/customXml" Target="../customXml/item14.xml"/><Relationship Id="rId33" Type="http://schemas.openxmlformats.org/officeDocument/2006/relationships/customXml" Target="../customXml/item22.xml"/><Relationship Id="rId38" Type="http://schemas.openxmlformats.org/officeDocument/2006/relationships/customXml" Target="../customXml/item27.xml"/><Relationship Id="rId46" Type="http://schemas.openxmlformats.org/officeDocument/2006/relationships/customXml" Target="../customXml/item35.xml"/><Relationship Id="rId59" Type="http://schemas.openxmlformats.org/officeDocument/2006/relationships/customXml" Target="../customXml/item48.xml"/><Relationship Id="rId20" Type="http://schemas.openxmlformats.org/officeDocument/2006/relationships/customXml" Target="../customXml/item9.xml"/><Relationship Id="rId41" Type="http://schemas.openxmlformats.org/officeDocument/2006/relationships/customXml" Target="../customXml/item30.xml"/><Relationship Id="rId54" Type="http://schemas.openxmlformats.org/officeDocument/2006/relationships/customXml" Target="../customXml/item43.xml"/><Relationship Id="rId1" Type="http://schemas.openxmlformats.org/officeDocument/2006/relationships/worksheet" Target="worksheets/sheet1.xml"/><Relationship Id="rId6" Type="http://schemas.openxmlformats.org/officeDocument/2006/relationships/theme" Target="theme/theme1.xml"/><Relationship Id="rId15" Type="http://schemas.openxmlformats.org/officeDocument/2006/relationships/customXml" Target="../customXml/item4.xml"/><Relationship Id="rId23" Type="http://schemas.openxmlformats.org/officeDocument/2006/relationships/customXml" Target="../customXml/item12.xml"/><Relationship Id="rId28" Type="http://schemas.openxmlformats.org/officeDocument/2006/relationships/customXml" Target="../customXml/item17.xml"/><Relationship Id="rId36" Type="http://schemas.openxmlformats.org/officeDocument/2006/relationships/customXml" Target="../customXml/item25.xml"/><Relationship Id="rId49" Type="http://schemas.openxmlformats.org/officeDocument/2006/relationships/customXml" Target="../customXml/item38.xml"/><Relationship Id="rId57" Type="http://schemas.openxmlformats.org/officeDocument/2006/relationships/customXml" Target="../customXml/item46.xml"/><Relationship Id="rId10" Type="http://schemas.microsoft.com/office/2022/11/relationships/FeaturePropertyBag" Target="featurePropertyBag/featurePropertyBag.xml"/><Relationship Id="rId31" Type="http://schemas.openxmlformats.org/officeDocument/2006/relationships/customXml" Target="../customXml/item20.xml"/><Relationship Id="rId44" Type="http://schemas.openxmlformats.org/officeDocument/2006/relationships/customXml" Target="../customXml/item33.xml"/><Relationship Id="rId52" Type="http://schemas.openxmlformats.org/officeDocument/2006/relationships/customXml" Target="../customXml/item41.xml"/><Relationship Id="rId60" Type="http://schemas.openxmlformats.org/officeDocument/2006/relationships/customXml" Target="../customXml/item49.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12</xdr:col>
      <xdr:colOff>202085</xdr:colOff>
      <xdr:row>0</xdr:row>
      <xdr:rowOff>127000</xdr:rowOff>
    </xdr:from>
    <xdr:to>
      <xdr:col>13</xdr:col>
      <xdr:colOff>998064</xdr:colOff>
      <xdr:row>2</xdr:row>
      <xdr:rowOff>203200</xdr:rowOff>
    </xdr:to>
    <xdr:pic>
      <xdr:nvPicPr>
        <xdr:cNvPr id="2" name="Robot Sticker">
          <a:extLst>
            <a:ext uri="{FF2B5EF4-FFF2-40B4-BE49-F238E27FC236}">
              <a16:creationId xmlns:a16="http://schemas.microsoft.com/office/drawing/2014/main" id="{1DD6E838-8537-41AD-88C5-9F3DB76F18B0}"/>
            </a:ext>
          </a:extLst>
        </xdr:cNvPr>
        <xdr:cNvPicPr>
          <a:picLocks noChangeAspect="1"/>
        </xdr:cNvPicPr>
      </xdr:nvPicPr>
      <xdr:blipFill>
        <a:blip xmlns:r="http://schemas.openxmlformats.org/officeDocument/2006/relationships" r:embed="rId1"/>
        <a:stretch>
          <a:fillRect/>
        </a:stretch>
      </xdr:blipFill>
      <xdr:spPr>
        <a:xfrm>
          <a:off x="13737110" y="127000"/>
          <a:ext cx="1996129" cy="990600"/>
        </a:xfrm>
        <a:prstGeom prst="rect">
          <a:avLst/>
        </a:prstGeom>
      </xdr:spPr>
    </xdr:pic>
    <xdr:clientData/>
  </xdr:twoCellAnchor>
  <xdr:twoCellAnchor editAs="absolute">
    <xdr:from>
      <xdr:col>1</xdr:col>
      <xdr:colOff>76200</xdr:colOff>
      <xdr:row>4</xdr:row>
      <xdr:rowOff>50800</xdr:rowOff>
    </xdr:from>
    <xdr:to>
      <xdr:col>5</xdr:col>
      <xdr:colOff>916928</xdr:colOff>
      <xdr:row>6</xdr:row>
      <xdr:rowOff>330200</xdr:rowOff>
    </xdr:to>
    <xdr:pic>
      <xdr:nvPicPr>
        <xdr:cNvPr id="6" name="CompBotTitle" descr="CompBot">
          <a:extLst>
            <a:ext uri="{FF2B5EF4-FFF2-40B4-BE49-F238E27FC236}">
              <a16:creationId xmlns:a16="http://schemas.microsoft.com/office/drawing/2014/main" id="{B6E4C925-72C9-5FC2-0B8E-781181D01A4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09575" y="1574800"/>
          <a:ext cx="5641328" cy="10414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2209801</xdr:colOff>
      <xdr:row>16</xdr:row>
      <xdr:rowOff>38099</xdr:rowOff>
    </xdr:from>
    <xdr:to>
      <xdr:col>4</xdr:col>
      <xdr:colOff>1417321</xdr:colOff>
      <xdr:row>22</xdr:row>
      <xdr:rowOff>142874</xdr:rowOff>
    </xdr:to>
    <xdr:grpSp>
      <xdr:nvGrpSpPr>
        <xdr:cNvPr id="5" name="Group 4">
          <a:extLst>
            <a:ext uri="{FF2B5EF4-FFF2-40B4-BE49-F238E27FC236}">
              <a16:creationId xmlns:a16="http://schemas.microsoft.com/office/drawing/2014/main" id="{B64DA0F6-C556-F73E-C51B-DFFD02DED654}"/>
            </a:ext>
          </a:extLst>
        </xdr:cNvPr>
        <xdr:cNvGrpSpPr/>
      </xdr:nvGrpSpPr>
      <xdr:grpSpPr>
        <a:xfrm>
          <a:off x="4895851" y="4276724"/>
          <a:ext cx="1988820" cy="1590675"/>
          <a:chOff x="5021581" y="4381500"/>
          <a:chExt cx="2110740" cy="1303324"/>
        </a:xfrm>
      </xdr:grpSpPr>
      <xdr:sp macro="" textlink="">
        <xdr:nvSpPr>
          <xdr:cNvPr id="2" name="TextBox 1">
            <a:extLst>
              <a:ext uri="{FF2B5EF4-FFF2-40B4-BE49-F238E27FC236}">
                <a16:creationId xmlns:a16="http://schemas.microsoft.com/office/drawing/2014/main" id="{3DFB2E38-BE3D-C63F-C8A1-46964721D4A3}"/>
              </a:ext>
            </a:extLst>
          </xdr:cNvPr>
          <xdr:cNvSpPr txBox="1"/>
        </xdr:nvSpPr>
        <xdr:spPr>
          <a:xfrm>
            <a:off x="5021581" y="4747260"/>
            <a:ext cx="2110740" cy="937564"/>
          </a:xfrm>
          <a:prstGeom prst="rect">
            <a:avLst/>
          </a:prstGeom>
          <a:solidFill>
            <a:schemeClr val="accent5">
              <a:lumMod val="20000"/>
              <a:lumOff val="80000"/>
            </a:schemeClr>
          </a:solidFill>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spAutoFit/>
          </a:bodyPr>
          <a:lstStyle/>
          <a:p>
            <a:r>
              <a:rPr lang="en-GB" sz="1800"/>
              <a:t>1. Run "Get Current Settings" to find machine settings</a:t>
            </a:r>
          </a:p>
        </xdr:txBody>
      </xdr:sp>
      <xdr:cxnSp macro="">
        <xdr:nvCxnSpPr>
          <xdr:cNvPr id="4" name="Straight Arrow Connector 3">
            <a:extLst>
              <a:ext uri="{FF2B5EF4-FFF2-40B4-BE49-F238E27FC236}">
                <a16:creationId xmlns:a16="http://schemas.microsoft.com/office/drawing/2014/main" id="{42E1EA6F-7AB1-5FD8-7362-5B6519F88FC8}"/>
              </a:ext>
            </a:extLst>
          </xdr:cNvPr>
          <xdr:cNvCxnSpPr/>
        </xdr:nvCxnSpPr>
        <xdr:spPr>
          <a:xfrm flipV="1">
            <a:off x="6713220" y="4381500"/>
            <a:ext cx="0" cy="358140"/>
          </a:xfrm>
          <a:prstGeom prst="straightConnector1">
            <a:avLst/>
          </a:prstGeom>
          <a:ln>
            <a:tailEnd type="triangle"/>
          </a:ln>
        </xdr:spPr>
        <xdr:style>
          <a:lnRef idx="2">
            <a:schemeClr val="accent5"/>
          </a:lnRef>
          <a:fillRef idx="0">
            <a:schemeClr val="accent5"/>
          </a:fillRef>
          <a:effectRef idx="1">
            <a:schemeClr val="accent5"/>
          </a:effectRef>
          <a:fontRef idx="minor">
            <a:schemeClr val="tx1"/>
          </a:fontRef>
        </xdr:style>
      </xdr:cxnSp>
    </xdr:grpSp>
    <xdr:clientData/>
  </xdr:twoCellAnchor>
  <xdr:twoCellAnchor>
    <xdr:from>
      <xdr:col>1</xdr:col>
      <xdr:colOff>2179320</xdr:colOff>
      <xdr:row>14</xdr:row>
      <xdr:rowOff>38098</xdr:rowOff>
    </xdr:from>
    <xdr:to>
      <xdr:col>2</xdr:col>
      <xdr:colOff>1699260</xdr:colOff>
      <xdr:row>28</xdr:row>
      <xdr:rowOff>171449</xdr:rowOff>
    </xdr:to>
    <xdr:grpSp>
      <xdr:nvGrpSpPr>
        <xdr:cNvPr id="6" name="Group 5">
          <a:extLst>
            <a:ext uri="{FF2B5EF4-FFF2-40B4-BE49-F238E27FC236}">
              <a16:creationId xmlns:a16="http://schemas.microsoft.com/office/drawing/2014/main" id="{E7E7825D-44A3-4393-AFB0-C00F362B2927}"/>
            </a:ext>
          </a:extLst>
        </xdr:cNvPr>
        <xdr:cNvGrpSpPr/>
      </xdr:nvGrpSpPr>
      <xdr:grpSpPr>
        <a:xfrm>
          <a:off x="2388870" y="3781423"/>
          <a:ext cx="1996440" cy="3600451"/>
          <a:chOff x="5021581" y="3797659"/>
          <a:chExt cx="2110740" cy="2563718"/>
        </a:xfrm>
      </xdr:grpSpPr>
      <xdr:sp macro="" textlink="">
        <xdr:nvSpPr>
          <xdr:cNvPr id="7" name="TextBox 6">
            <a:extLst>
              <a:ext uri="{FF2B5EF4-FFF2-40B4-BE49-F238E27FC236}">
                <a16:creationId xmlns:a16="http://schemas.microsoft.com/office/drawing/2014/main" id="{D45F5541-D83E-B268-8FD1-7D45792DCE4B}"/>
              </a:ext>
            </a:extLst>
          </xdr:cNvPr>
          <xdr:cNvSpPr txBox="1"/>
        </xdr:nvSpPr>
        <xdr:spPr>
          <a:xfrm>
            <a:off x="5021581" y="4747260"/>
            <a:ext cx="2110740" cy="1614117"/>
          </a:xfrm>
          <a:prstGeom prst="rect">
            <a:avLst/>
          </a:prstGeom>
          <a:solidFill>
            <a:schemeClr val="accent5">
              <a:lumMod val="20000"/>
              <a:lumOff val="80000"/>
            </a:schemeClr>
          </a:solidFill>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spAutoFit/>
          </a:bodyPr>
          <a:lstStyle/>
          <a:p>
            <a:r>
              <a:rPr lang="en-GB" sz="1800"/>
              <a:t>2. Add</a:t>
            </a:r>
            <a:r>
              <a:rPr lang="en-GB" sz="1800" baseline="0"/>
              <a:t> your settings here with "FALSE" for Use System Separators.</a:t>
            </a:r>
            <a:br>
              <a:rPr lang="en-GB" sz="1800" baseline="0"/>
            </a:br>
            <a:r>
              <a:rPr lang="en-GB" sz="1800"/>
              <a:t>Run "Update Settings" to use</a:t>
            </a:r>
            <a:r>
              <a:rPr lang="en-GB" sz="1800" baseline="0"/>
              <a:t> your settings</a:t>
            </a:r>
            <a:endParaRPr lang="en-GB" sz="1800"/>
          </a:p>
        </xdr:txBody>
      </xdr:sp>
      <xdr:cxnSp macro="">
        <xdr:nvCxnSpPr>
          <xdr:cNvPr id="8" name="Straight Arrow Connector 7">
            <a:extLst>
              <a:ext uri="{FF2B5EF4-FFF2-40B4-BE49-F238E27FC236}">
                <a16:creationId xmlns:a16="http://schemas.microsoft.com/office/drawing/2014/main" id="{4E6EF41E-7E9D-DF08-4A92-C39C12A56DD3}"/>
              </a:ext>
            </a:extLst>
          </xdr:cNvPr>
          <xdr:cNvCxnSpPr/>
        </xdr:nvCxnSpPr>
        <xdr:spPr>
          <a:xfrm flipH="1" flipV="1">
            <a:off x="6705601" y="3797659"/>
            <a:ext cx="7619" cy="941981"/>
          </a:xfrm>
          <a:prstGeom prst="straightConnector1">
            <a:avLst/>
          </a:prstGeom>
          <a:ln>
            <a:tailEnd type="triangle"/>
          </a:ln>
        </xdr:spPr>
        <xdr:style>
          <a:lnRef idx="2">
            <a:schemeClr val="accent5"/>
          </a:lnRef>
          <a:fillRef idx="0">
            <a:schemeClr val="accent5"/>
          </a:fillRef>
          <a:effectRef idx="1">
            <a:schemeClr val="accent5"/>
          </a:effectRef>
          <a:fontRef idx="minor">
            <a:schemeClr val="tx1"/>
          </a:fontRef>
        </xdr:style>
      </xdr:cxnSp>
    </xdr:grpSp>
    <xdr:clientData/>
  </xdr:twoCellAnchor>
  <xdr:twoCellAnchor>
    <xdr:from>
      <xdr:col>3</xdr:col>
      <xdr:colOff>137160</xdr:colOff>
      <xdr:row>16</xdr:row>
      <xdr:rowOff>38100</xdr:rowOff>
    </xdr:from>
    <xdr:to>
      <xdr:col>5</xdr:col>
      <xdr:colOff>190500</xdr:colOff>
      <xdr:row>33</xdr:row>
      <xdr:rowOff>104774</xdr:rowOff>
    </xdr:to>
    <xdr:grpSp>
      <xdr:nvGrpSpPr>
        <xdr:cNvPr id="10" name="Group 9">
          <a:extLst>
            <a:ext uri="{FF2B5EF4-FFF2-40B4-BE49-F238E27FC236}">
              <a16:creationId xmlns:a16="http://schemas.microsoft.com/office/drawing/2014/main" id="{F6ED17DA-4896-41B3-A7FC-FB3D78F943CE}"/>
            </a:ext>
          </a:extLst>
        </xdr:cNvPr>
        <xdr:cNvGrpSpPr/>
      </xdr:nvGrpSpPr>
      <xdr:grpSpPr>
        <a:xfrm>
          <a:off x="5223510" y="4276725"/>
          <a:ext cx="2472690" cy="4276724"/>
          <a:chOff x="4809884" y="2156460"/>
          <a:chExt cx="2110740" cy="4341982"/>
        </a:xfrm>
      </xdr:grpSpPr>
      <xdr:sp macro="" textlink="">
        <xdr:nvSpPr>
          <xdr:cNvPr id="11" name="TextBox 10">
            <a:extLst>
              <a:ext uri="{FF2B5EF4-FFF2-40B4-BE49-F238E27FC236}">
                <a16:creationId xmlns:a16="http://schemas.microsoft.com/office/drawing/2014/main" id="{472EAA91-9E7B-305C-7B88-B8C627EFA9A9}"/>
              </a:ext>
            </a:extLst>
          </xdr:cNvPr>
          <xdr:cNvSpPr txBox="1"/>
        </xdr:nvSpPr>
        <xdr:spPr>
          <a:xfrm>
            <a:off x="4809884" y="4739639"/>
            <a:ext cx="2110740" cy="1758803"/>
          </a:xfrm>
          <a:prstGeom prst="rect">
            <a:avLst/>
          </a:prstGeom>
          <a:solidFill>
            <a:schemeClr val="accent5">
              <a:lumMod val="20000"/>
              <a:lumOff val="80000"/>
            </a:schemeClr>
          </a:solidFill>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noAutofit/>
          </a:bodyPr>
          <a:lstStyle/>
          <a:p>
            <a:r>
              <a:rPr lang="en-GB" sz="1800"/>
              <a:t>3. After your session, run "Revert Settings" to revert to previous settings as per Loaded column.</a:t>
            </a:r>
          </a:p>
        </xdr:txBody>
      </xdr:sp>
      <xdr:cxnSp macro="">
        <xdr:nvCxnSpPr>
          <xdr:cNvPr id="12" name="Straight Arrow Connector 11">
            <a:extLst>
              <a:ext uri="{FF2B5EF4-FFF2-40B4-BE49-F238E27FC236}">
                <a16:creationId xmlns:a16="http://schemas.microsoft.com/office/drawing/2014/main" id="{088455D8-5193-4131-EB2C-5E8A74CC54B2}"/>
              </a:ext>
            </a:extLst>
          </xdr:cNvPr>
          <xdr:cNvCxnSpPr/>
        </xdr:nvCxnSpPr>
        <xdr:spPr>
          <a:xfrm flipH="1" flipV="1">
            <a:off x="6515910" y="2156460"/>
            <a:ext cx="18679" cy="2575560"/>
          </a:xfrm>
          <a:prstGeom prst="straightConnector1">
            <a:avLst/>
          </a:prstGeom>
          <a:ln>
            <a:tailEnd type="triangle"/>
          </a:ln>
        </xdr:spPr>
        <xdr:style>
          <a:lnRef idx="2">
            <a:schemeClr val="accent5"/>
          </a:lnRef>
          <a:fillRef idx="0">
            <a:schemeClr val="accent5"/>
          </a:fillRef>
          <a:effectRef idx="1">
            <a:schemeClr val="accent5"/>
          </a:effectRef>
          <a:fontRef idx="minor">
            <a:schemeClr val="tx1"/>
          </a:fontRef>
        </xdr:style>
      </xdr:cxnSp>
    </xdr:grp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802B9B-08EB-4C44-ADCD-CE545C09BA4B}" name="CompBotCommands" displayName="CompBotCommands" ref="B8:F113" totalsRowShown="0" headerRowDxfId="17" dataDxfId="16">
  <autoFilter ref="B8:F113" xr:uid="{0094C780-BB06-4D44-A3B5-11A203AC5962}"/>
  <sortState xmlns:xlrd2="http://schemas.microsoft.com/office/spreadsheetml/2017/richdata2" ref="B9:F113">
    <sortCondition ref="B9:B113"/>
  </sortState>
  <tableColumns count="5">
    <tableColumn id="1" xr3:uid="{E0991380-7C68-4019-8397-222B470C1582}" name="Name" dataDxfId="15"/>
    <tableColumn id="2" xr3:uid="{1D428C75-77DF-45DA-912B-098A1ABAC5AD}" name="Creator" dataDxfId="14"/>
    <tableColumn id="3" xr3:uid="{A6B3CCED-8990-4FBA-ACFB-9A1799381525}" name="Description" dataDxfId="13"/>
    <tableColumn id="4" xr3:uid="{476E0F6A-DE40-44D5-A6AE-77D5D1C4F9C6}" name="Parameters" dataDxfId="12"/>
    <tableColumn id="5" xr3:uid="{1906B3F5-C5BE-47F5-9821-1B5225407536}" name="Launch Code" dataDxfId="11"/>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558CB64-4555-4E76-9388-CC0298969050}" name="Lambdas" displayName="Lambdas" ref="B8:F83" totalsRowShown="0" headerRowDxfId="10" dataDxfId="9">
  <autoFilter ref="B8:F83" xr:uid="{A558CB64-4555-4E76-9388-CC0298969050}"/>
  <sortState xmlns:xlrd2="http://schemas.microsoft.com/office/spreadsheetml/2017/richdata2" ref="B9:F83">
    <sortCondition ref="B9:B83"/>
  </sortState>
  <tableColumns count="5">
    <tableColumn id="1" xr3:uid="{C7B661F8-E847-4A13-A5CD-4111AD54A043}" name="Name" dataDxfId="8"/>
    <tableColumn id="2" xr3:uid="{402102D7-5F04-4A93-A427-CDD8E9743522}" name="Creator" dataDxfId="7"/>
    <tableColumn id="3" xr3:uid="{29C5C72F-191A-47D7-A0A3-65C070A08FBB}" name="Description" dataDxfId="6"/>
    <tableColumn id="4" xr3:uid="{2F739A7B-0273-48EB-80E8-8D0D97BADC77}" name="Parameters" dataDxfId="5"/>
    <tableColumn id="5" xr3:uid="{AA688AE3-B095-461C-B6E9-13454B67819F}" name="Array friendly" dataDxfId="4"/>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B73C353-624B-4DAF-9E0A-1ED2AF16BB31}" name="Languages" displayName="Languages" ref="L10:M216" totalsRowShown="0" headerRowDxfId="3" dataDxfId="2">
  <autoFilter ref="L10:M216" xr:uid="{9B73C353-624B-4DAF-9E0A-1ED2AF16BB31}"/>
  <tableColumns count="2">
    <tableColumn id="1" xr3:uid="{EF4963FA-01A4-4AB4-B8F0-463A4B07267F}" name="ID" dataDxfId="1"/>
    <tableColumn id="2" xr3:uid="{3F72C192-AA7E-4BE5-B907-96303AB07CE8}" name="Language"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1004" row="11">
    <wetp:webextensionref xmlns:r="http://schemas.openxmlformats.org/officeDocument/2006/relationships" r:id="rId1"/>
  </wetp:taskpane>
  <wetp:taskpane dockstate="right" visibility="0" width="525" row="12">
    <wetp:webextensionref xmlns:r="http://schemas.openxmlformats.org/officeDocument/2006/relationships" r:id="rId2"/>
  </wetp:taskpane>
</wetp:taskpanes>
</file>

<file path=xl/webextensions/webextension1.xml><?xml version="1.0" encoding="utf-8"?>
<we:webextension xmlns:we="http://schemas.microsoft.com/office/webextensions/webextension/2010/11" id="{D2C48E40-3AEE-49B9-942C-1F6046BC2B99}">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DB75D044-D14C-46B9-B18F-FB21AE37D1B1}&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3331CFE6-4B1A-46AA-B887-DC7B6265EA7D}">
  <we:reference id="wa200001584" version="2.8.1.5" store="en-US" storeType="OMEX"/>
  <we:alternateReferences>
    <we:reference id="WA200001584" version="2.8.1.5"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EB135-9384-4899-A0FC-650EA7D0C952}">
  <sheetPr codeName="Sheet4">
    <tabColor rgb="FF1B647E"/>
  </sheetPr>
  <dimension ref="A1:R11"/>
  <sheetViews>
    <sheetView showGridLines="0" tabSelected="1" zoomScaleNormal="100" workbookViewId="0"/>
  </sheetViews>
  <sheetFormatPr defaultRowHeight="25.5" x14ac:dyDescent="0.5"/>
  <cols>
    <col min="1" max="1" width="2.69140625" style="23" customWidth="1"/>
    <col min="2" max="18" width="9.69140625" style="23" customWidth="1"/>
    <col min="19" max="16384" width="9.23046875" style="23"/>
  </cols>
  <sheetData>
    <row r="1" spans="1:18" ht="36" customHeight="1" x14ac:dyDescent="0.5"/>
    <row r="2" spans="1:18" ht="36" customHeight="1" x14ac:dyDescent="0.5"/>
    <row r="3" spans="1:18" ht="30" customHeight="1" x14ac:dyDescent="0.5">
      <c r="B3" s="25" t="s">
        <v>809</v>
      </c>
      <c r="C3" s="24"/>
      <c r="D3" s="24"/>
      <c r="E3" s="24"/>
      <c r="F3" s="24"/>
    </row>
    <row r="4" spans="1:18" ht="18" customHeight="1" x14ac:dyDescent="0.5">
      <c r="A4" s="26"/>
      <c r="B4" s="26"/>
      <c r="C4" s="26"/>
      <c r="D4" s="26"/>
      <c r="E4" s="26"/>
      <c r="F4" s="26"/>
      <c r="G4" s="26"/>
      <c r="H4" s="26"/>
      <c r="I4" s="26"/>
      <c r="J4" s="26"/>
      <c r="K4" s="26"/>
      <c r="L4" s="26"/>
      <c r="M4" s="26"/>
      <c r="N4" s="26"/>
      <c r="O4" s="26"/>
      <c r="P4" s="26"/>
      <c r="Q4" s="26"/>
      <c r="R4" s="26"/>
    </row>
    <row r="5" spans="1:18" ht="30" customHeight="1" x14ac:dyDescent="0.5">
      <c r="A5" s="26"/>
      <c r="B5" s="26"/>
      <c r="C5" s="26"/>
      <c r="D5" s="26"/>
      <c r="E5" s="26"/>
      <c r="F5" s="26"/>
      <c r="G5" s="26"/>
      <c r="H5" s="26"/>
      <c r="I5" s="26"/>
      <c r="J5" s="26"/>
      <c r="K5" s="26"/>
      <c r="L5" s="26"/>
      <c r="M5" s="26"/>
      <c r="N5" s="26"/>
      <c r="O5" s="26"/>
      <c r="P5" s="26"/>
      <c r="Q5" s="26"/>
      <c r="R5" s="26"/>
    </row>
    <row r="6" spans="1:18" ht="30" customHeight="1" x14ac:dyDescent="0.5">
      <c r="A6" s="26"/>
      <c r="B6" s="26"/>
      <c r="C6" s="26"/>
      <c r="D6" s="26"/>
      <c r="E6" s="26"/>
      <c r="F6" s="26"/>
      <c r="G6" s="26"/>
      <c r="H6" s="26"/>
      <c r="I6" s="26"/>
      <c r="J6" s="26"/>
      <c r="K6" s="26"/>
      <c r="L6" s="26"/>
      <c r="M6" s="26"/>
      <c r="N6" s="26"/>
      <c r="O6" s="26"/>
      <c r="P6" s="26"/>
      <c r="Q6" s="26"/>
      <c r="R6" s="26"/>
    </row>
    <row r="7" spans="1:18" ht="30" customHeight="1" x14ac:dyDescent="0.5">
      <c r="A7" s="26"/>
      <c r="B7" s="26"/>
      <c r="C7" s="26"/>
      <c r="D7" s="26"/>
      <c r="E7" s="26"/>
      <c r="F7" s="26"/>
      <c r="G7" s="26"/>
      <c r="H7" s="26"/>
      <c r="I7" s="26"/>
      <c r="J7" s="26"/>
      <c r="K7" s="26"/>
      <c r="L7" s="26"/>
      <c r="M7" s="26"/>
      <c r="N7" s="26"/>
      <c r="O7" s="26"/>
      <c r="P7" s="26"/>
      <c r="Q7" s="26"/>
      <c r="R7" s="26"/>
    </row>
    <row r="8" spans="1:18" ht="30" customHeight="1" x14ac:dyDescent="0.5">
      <c r="A8" s="26"/>
      <c r="B8" s="27" t="s">
        <v>810</v>
      </c>
      <c r="C8" s="26"/>
      <c r="D8" s="26"/>
      <c r="E8" s="26"/>
      <c r="F8" s="26"/>
      <c r="G8" s="26"/>
      <c r="H8" s="26"/>
      <c r="I8" s="26"/>
      <c r="J8" s="26"/>
      <c r="K8" s="26"/>
      <c r="L8" s="26"/>
      <c r="M8" s="26"/>
      <c r="N8" s="26"/>
      <c r="O8" s="26"/>
      <c r="P8" s="26"/>
      <c r="Q8" s="26"/>
      <c r="R8" s="26"/>
    </row>
    <row r="9" spans="1:18" ht="18" customHeight="1" x14ac:dyDescent="0.5">
      <c r="A9" s="26"/>
      <c r="B9" s="26"/>
      <c r="C9" s="26"/>
      <c r="D9" s="26"/>
      <c r="E9" s="26"/>
      <c r="F9" s="26"/>
      <c r="G9" s="26"/>
      <c r="H9" s="26"/>
      <c r="I9" s="26"/>
      <c r="J9" s="26"/>
      <c r="K9" s="26"/>
      <c r="L9" s="26"/>
      <c r="M9" s="26"/>
      <c r="N9" s="26"/>
      <c r="O9" s="26"/>
      <c r="P9" s="26"/>
      <c r="Q9" s="26"/>
      <c r="R9" s="26"/>
    </row>
    <row r="10" spans="1:18" ht="12" customHeight="1" x14ac:dyDescent="0.5"/>
    <row r="11" spans="1:18" ht="30" customHeight="1" x14ac:dyDescent="0.5">
      <c r="A11" s="28"/>
      <c r="B11" s="29" t="s">
        <v>811</v>
      </c>
      <c r="C11" s="28"/>
      <c r="D11" s="28"/>
      <c r="E11" s="28"/>
      <c r="F11" s="28"/>
      <c r="G11" s="28"/>
      <c r="H11" s="28"/>
      <c r="I11" s="28"/>
      <c r="J11" s="28"/>
      <c r="K11" s="28"/>
      <c r="L11" s="28"/>
      <c r="M11" s="28"/>
      <c r="N11" s="28"/>
      <c r="O11" s="28"/>
      <c r="P11" s="28"/>
      <c r="Q11" s="28"/>
      <c r="R11" s="28"/>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34E3B-00EF-47A9-90C0-A9D4FFD6B695}">
  <sheetPr codeName="Sheet2"/>
  <dimension ref="B2:J113"/>
  <sheetViews>
    <sheetView showGridLines="0" zoomScale="70" zoomScaleNormal="70" workbookViewId="0">
      <pane xSplit="3" ySplit="8" topLeftCell="D9" activePane="bottomRight" state="frozen"/>
      <selection pane="topRight" activeCell="D1" sqref="D1"/>
      <selection pane="bottomLeft" activeCell="A19" sqref="A19"/>
      <selection pane="bottomRight" activeCell="D9" sqref="D9"/>
    </sheetView>
  </sheetViews>
  <sheetFormatPr defaultRowHeight="19.5" x14ac:dyDescent="0.25"/>
  <cols>
    <col min="1" max="1" width="2.15234375" customWidth="1"/>
    <col min="2" max="2" width="30.53515625" style="9" bestFit="1" customWidth="1"/>
    <col min="3" max="3" width="17.765625" style="9" customWidth="1"/>
    <col min="4" max="4" width="55.3828125" style="9" bestFit="1" customWidth="1"/>
    <col min="5" max="5" width="30.921875" style="9" customWidth="1"/>
    <col min="6" max="6" width="15" style="9" bestFit="1" customWidth="1"/>
    <col min="7" max="10" width="1.765625" customWidth="1"/>
  </cols>
  <sheetData>
    <row r="2" spans="2:10" ht="21" thickBot="1" x14ac:dyDescent="0.35">
      <c r="B2" s="3" t="s">
        <v>0</v>
      </c>
      <c r="C2" s="3"/>
      <c r="D2" s="3"/>
      <c r="E2" s="3"/>
      <c r="F2" s="3"/>
      <c r="G2" s="4"/>
      <c r="H2" s="4"/>
      <c r="I2" s="4"/>
      <c r="J2" s="4"/>
    </row>
    <row r="3" spans="2:10" ht="20.25" thickTop="1" x14ac:dyDescent="0.25">
      <c r="B3" s="5" t="s">
        <v>1</v>
      </c>
      <c r="C3" s="5"/>
      <c r="D3" s="5"/>
      <c r="E3" s="5"/>
      <c r="F3" s="5"/>
      <c r="G3" s="6"/>
      <c r="H3" s="6"/>
      <c r="I3" s="6"/>
      <c r="J3" s="6"/>
    </row>
    <row r="5" spans="2:10" ht="20.25" thickBot="1" x14ac:dyDescent="0.3">
      <c r="B5" s="7" t="s">
        <v>2</v>
      </c>
      <c r="C5" s="7"/>
      <c r="D5" s="7"/>
      <c r="E5" s="7"/>
      <c r="F5" s="7"/>
      <c r="G5" s="8"/>
      <c r="H5" s="8"/>
      <c r="I5" s="8"/>
      <c r="J5" s="8"/>
    </row>
    <row r="6" spans="2:10" ht="20.25" thickTop="1" x14ac:dyDescent="0.25">
      <c r="B6" s="5" t="s">
        <v>32</v>
      </c>
      <c r="C6" s="5"/>
      <c r="D6" s="5"/>
      <c r="E6" s="5"/>
      <c r="F6" s="5"/>
      <c r="G6" s="6"/>
      <c r="H6" s="6"/>
      <c r="I6" s="6"/>
      <c r="J6" s="6"/>
    </row>
    <row r="7" spans="2:10" x14ac:dyDescent="0.25">
      <c r="B7" s="9">
        <f>ROWS(CompBotCommands[])</f>
        <v>105</v>
      </c>
    </row>
    <row r="8" spans="2:10" x14ac:dyDescent="0.25">
      <c r="B8" s="9" t="s">
        <v>4</v>
      </c>
      <c r="C8" s="9" t="s">
        <v>6</v>
      </c>
      <c r="D8" s="9" t="s">
        <v>5</v>
      </c>
      <c r="E8" s="9" t="s">
        <v>8</v>
      </c>
      <c r="F8" s="9" t="s">
        <v>15</v>
      </c>
    </row>
    <row r="9" spans="2:10" x14ac:dyDescent="0.25">
      <c r="B9" s="10" t="s">
        <v>57</v>
      </c>
      <c r="C9" s="9" t="s">
        <v>12</v>
      </c>
      <c r="D9" s="10" t="s">
        <v>62</v>
      </c>
      <c r="E9" s="10"/>
      <c r="F9" s="9" t="s">
        <v>443</v>
      </c>
    </row>
    <row r="10" spans="2:10" ht="58.5" x14ac:dyDescent="0.25">
      <c r="B10" s="10" t="s">
        <v>306</v>
      </c>
      <c r="C10" s="9" t="s">
        <v>12</v>
      </c>
      <c r="D10" s="10" t="s">
        <v>444</v>
      </c>
      <c r="E10" s="10"/>
      <c r="F10" s="9" t="s">
        <v>298</v>
      </c>
    </row>
    <row r="11" spans="2:10" x14ac:dyDescent="0.25">
      <c r="B11" s="10" t="s">
        <v>17</v>
      </c>
      <c r="C11" s="9" t="s">
        <v>12</v>
      </c>
      <c r="D11" s="10" t="s">
        <v>445</v>
      </c>
      <c r="E11" s="10"/>
      <c r="F11" s="9" t="s">
        <v>42</v>
      </c>
    </row>
    <row r="12" spans="2:10" ht="39" x14ac:dyDescent="0.25">
      <c r="B12" s="10" t="s">
        <v>446</v>
      </c>
      <c r="C12" s="9" t="s">
        <v>12</v>
      </c>
      <c r="D12" s="10" t="s">
        <v>447</v>
      </c>
      <c r="E12" s="10" t="s">
        <v>571</v>
      </c>
      <c r="F12" s="9" t="s">
        <v>448</v>
      </c>
    </row>
    <row r="13" spans="2:10" ht="39" x14ac:dyDescent="0.25">
      <c r="B13" s="10" t="s">
        <v>663</v>
      </c>
      <c r="C13" s="9" t="s">
        <v>12</v>
      </c>
      <c r="D13" s="10" t="s">
        <v>664</v>
      </c>
      <c r="E13" s="10"/>
      <c r="F13" s="9" t="s">
        <v>665</v>
      </c>
    </row>
    <row r="14" spans="2:10" ht="78" x14ac:dyDescent="0.25">
      <c r="B14" s="10" t="s">
        <v>45</v>
      </c>
      <c r="C14" s="9" t="s">
        <v>12</v>
      </c>
      <c r="D14" s="10" t="s">
        <v>652</v>
      </c>
      <c r="E14" s="10"/>
    </row>
    <row r="15" spans="2:10" ht="39" x14ac:dyDescent="0.25">
      <c r="B15" s="10" t="s">
        <v>831</v>
      </c>
      <c r="C15" s="9" t="s">
        <v>12</v>
      </c>
      <c r="D15" s="10" t="s">
        <v>832</v>
      </c>
      <c r="E15" s="10"/>
      <c r="F15" s="9" t="s">
        <v>833</v>
      </c>
    </row>
    <row r="16" spans="2:10" x14ac:dyDescent="0.25">
      <c r="B16" s="10" t="s">
        <v>657</v>
      </c>
      <c r="C16" s="9" t="s">
        <v>12</v>
      </c>
      <c r="D16" s="10" t="s">
        <v>706</v>
      </c>
      <c r="E16" s="10"/>
      <c r="F16" s="9" t="s">
        <v>707</v>
      </c>
    </row>
    <row r="17" spans="2:6" ht="39" x14ac:dyDescent="0.25">
      <c r="B17" s="10" t="s">
        <v>449</v>
      </c>
      <c r="C17" s="9" t="s">
        <v>12</v>
      </c>
      <c r="D17" s="10" t="s">
        <v>790</v>
      </c>
      <c r="E17" s="10"/>
    </row>
    <row r="18" spans="2:6" ht="52.5" customHeight="1" x14ac:dyDescent="0.25">
      <c r="B18" s="10" t="s">
        <v>450</v>
      </c>
      <c r="C18" s="9" t="s">
        <v>12</v>
      </c>
      <c r="D18" s="10" t="s">
        <v>553</v>
      </c>
      <c r="E18" s="10"/>
    </row>
    <row r="19" spans="2:6" ht="52.5" customHeight="1" x14ac:dyDescent="0.25">
      <c r="B19" s="10" t="s">
        <v>799</v>
      </c>
      <c r="C19" s="9" t="s">
        <v>12</v>
      </c>
      <c r="D19" s="10" t="s">
        <v>806</v>
      </c>
      <c r="E19" s="10" t="s">
        <v>800</v>
      </c>
      <c r="F19" s="9" t="s">
        <v>801</v>
      </c>
    </row>
    <row r="20" spans="2:6" x14ac:dyDescent="0.25">
      <c r="B20" s="10" t="s">
        <v>11</v>
      </c>
      <c r="C20" s="9" t="s">
        <v>12</v>
      </c>
      <c r="D20" s="10" t="s">
        <v>13</v>
      </c>
      <c r="E20" s="10"/>
      <c r="F20" s="9" t="s">
        <v>451</v>
      </c>
    </row>
    <row r="21" spans="2:6" x14ac:dyDescent="0.25">
      <c r="B21" s="10" t="s">
        <v>41</v>
      </c>
      <c r="C21" s="9" t="s">
        <v>12</v>
      </c>
      <c r="D21" s="10" t="s">
        <v>452</v>
      </c>
      <c r="E21" s="10"/>
      <c r="F21" s="9" t="s">
        <v>453</v>
      </c>
    </row>
    <row r="22" spans="2:6" ht="58.5" x14ac:dyDescent="0.25">
      <c r="B22" s="10" t="s">
        <v>63</v>
      </c>
      <c r="C22" s="9" t="s">
        <v>12</v>
      </c>
      <c r="D22" s="10" t="s">
        <v>834</v>
      </c>
      <c r="E22" s="10"/>
      <c r="F22" s="9" t="s">
        <v>454</v>
      </c>
    </row>
    <row r="23" spans="2:6" ht="58.5" x14ac:dyDescent="0.25">
      <c r="B23" s="10" t="s">
        <v>33</v>
      </c>
      <c r="C23" s="9" t="s">
        <v>12</v>
      </c>
      <c r="D23" s="10" t="s">
        <v>666</v>
      </c>
      <c r="E23" s="10"/>
      <c r="F23" s="9" t="s">
        <v>455</v>
      </c>
    </row>
    <row r="24" spans="2:6" ht="39" x14ac:dyDescent="0.25">
      <c r="B24" s="32" t="s">
        <v>837</v>
      </c>
      <c r="C24" s="33" t="s">
        <v>12</v>
      </c>
      <c r="D24" s="32" t="s">
        <v>838</v>
      </c>
      <c r="E24" s="32"/>
      <c r="F24" s="33" t="s">
        <v>839</v>
      </c>
    </row>
    <row r="25" spans="2:6" x14ac:dyDescent="0.25">
      <c r="B25" s="10" t="s">
        <v>18</v>
      </c>
      <c r="C25" s="9" t="s">
        <v>12</v>
      </c>
      <c r="D25" s="10" t="s">
        <v>456</v>
      </c>
      <c r="E25" s="10"/>
      <c r="F25" s="9" t="s">
        <v>457</v>
      </c>
    </row>
    <row r="26" spans="2:6" x14ac:dyDescent="0.25">
      <c r="B26" s="10" t="s">
        <v>58</v>
      </c>
      <c r="C26" s="9" t="s">
        <v>12</v>
      </c>
      <c r="D26" s="10" t="s">
        <v>570</v>
      </c>
      <c r="E26" s="10"/>
      <c r="F26" s="9" t="s">
        <v>458</v>
      </c>
    </row>
    <row r="27" spans="2:6" x14ac:dyDescent="0.25">
      <c r="B27" s="10" t="s">
        <v>459</v>
      </c>
      <c r="C27" s="9" t="s">
        <v>12</v>
      </c>
      <c r="D27" s="10" t="s">
        <v>460</v>
      </c>
      <c r="E27" s="10"/>
    </row>
    <row r="28" spans="2:6" ht="39" x14ac:dyDescent="0.25">
      <c r="B28" s="10" t="s">
        <v>461</v>
      </c>
      <c r="C28" s="9" t="s">
        <v>12</v>
      </c>
      <c r="D28" s="10" t="s">
        <v>462</v>
      </c>
      <c r="E28" s="10"/>
      <c r="F28" s="9" t="s">
        <v>56</v>
      </c>
    </row>
    <row r="29" spans="2:6" ht="39" x14ac:dyDescent="0.25">
      <c r="B29" s="10" t="s">
        <v>463</v>
      </c>
      <c r="C29" s="9" t="s">
        <v>12</v>
      </c>
      <c r="D29" s="10" t="s">
        <v>464</v>
      </c>
      <c r="E29" s="10"/>
      <c r="F29" s="9" t="s">
        <v>465</v>
      </c>
    </row>
    <row r="30" spans="2:6" ht="39" x14ac:dyDescent="0.25">
      <c r="B30" s="10" t="s">
        <v>466</v>
      </c>
      <c r="C30" s="9" t="s">
        <v>12</v>
      </c>
      <c r="D30" s="10" t="s">
        <v>467</v>
      </c>
      <c r="E30" s="10"/>
    </row>
    <row r="31" spans="2:6" ht="39" x14ac:dyDescent="0.25">
      <c r="B31" s="10" t="s">
        <v>468</v>
      </c>
      <c r="C31" s="9" t="s">
        <v>12</v>
      </c>
      <c r="D31" s="10" t="s">
        <v>802</v>
      </c>
      <c r="E31" s="10"/>
      <c r="F31" s="9" t="s">
        <v>469</v>
      </c>
    </row>
    <row r="32" spans="2:6" ht="39" x14ac:dyDescent="0.25">
      <c r="B32" s="10" t="s">
        <v>49</v>
      </c>
      <c r="C32" s="9" t="s">
        <v>12</v>
      </c>
      <c r="D32" s="10" t="s">
        <v>758</v>
      </c>
      <c r="E32" s="10"/>
      <c r="F32" s="9" t="s">
        <v>470</v>
      </c>
    </row>
    <row r="33" spans="2:6" ht="39" x14ac:dyDescent="0.25">
      <c r="B33" s="10" t="s">
        <v>471</v>
      </c>
      <c r="C33" s="9" t="s">
        <v>12</v>
      </c>
      <c r="D33" s="10" t="s">
        <v>554</v>
      </c>
      <c r="E33" s="10" t="s">
        <v>762</v>
      </c>
      <c r="F33" s="9" t="s">
        <v>472</v>
      </c>
    </row>
    <row r="34" spans="2:6" ht="58.5" x14ac:dyDescent="0.25">
      <c r="B34" s="10" t="s">
        <v>473</v>
      </c>
      <c r="C34" s="9" t="s">
        <v>12</v>
      </c>
      <c r="D34" s="10" t="s">
        <v>763</v>
      </c>
      <c r="E34" s="10"/>
      <c r="F34" s="9" t="s">
        <v>474</v>
      </c>
    </row>
    <row r="35" spans="2:6" ht="58.5" x14ac:dyDescent="0.25">
      <c r="B35" s="10" t="s">
        <v>475</v>
      </c>
      <c r="C35" s="9" t="s">
        <v>12</v>
      </c>
      <c r="D35" s="10" t="s">
        <v>759</v>
      </c>
      <c r="E35" s="10" t="s">
        <v>760</v>
      </c>
      <c r="F35" s="9" t="s">
        <v>476</v>
      </c>
    </row>
    <row r="36" spans="2:6" ht="39" x14ac:dyDescent="0.25">
      <c r="B36" s="10" t="s">
        <v>477</v>
      </c>
      <c r="C36" s="9" t="s">
        <v>12</v>
      </c>
      <c r="D36" s="10" t="s">
        <v>765</v>
      </c>
      <c r="E36" s="10"/>
      <c r="F36" s="9" t="s">
        <v>478</v>
      </c>
    </row>
    <row r="37" spans="2:6" x14ac:dyDescent="0.25">
      <c r="B37" s="10" t="s">
        <v>779</v>
      </c>
      <c r="C37" s="9" t="s">
        <v>12</v>
      </c>
      <c r="D37" s="10" t="s">
        <v>780</v>
      </c>
      <c r="E37" s="10"/>
      <c r="F37" s="9" t="s">
        <v>781</v>
      </c>
    </row>
    <row r="38" spans="2:6" x14ac:dyDescent="0.25">
      <c r="B38" s="10" t="s">
        <v>782</v>
      </c>
      <c r="C38" s="9" t="s">
        <v>12</v>
      </c>
      <c r="D38" s="10" t="s">
        <v>783</v>
      </c>
      <c r="E38" s="10"/>
      <c r="F38" s="9" t="s">
        <v>784</v>
      </c>
    </row>
    <row r="39" spans="2:6" ht="58.5" x14ac:dyDescent="0.25">
      <c r="B39" s="10" t="s">
        <v>54</v>
      </c>
      <c r="C39" s="9" t="s">
        <v>12</v>
      </c>
      <c r="D39" s="10" t="s">
        <v>692</v>
      </c>
      <c r="E39" s="10"/>
      <c r="F39" s="9" t="s">
        <v>693</v>
      </c>
    </row>
    <row r="40" spans="2:6" x14ac:dyDescent="0.25">
      <c r="B40" s="10" t="s">
        <v>301</v>
      </c>
      <c r="C40" s="9" t="s">
        <v>12</v>
      </c>
      <c r="D40" s="10" t="s">
        <v>479</v>
      </c>
      <c r="E40" s="10"/>
      <c r="F40" s="9" t="s">
        <v>303</v>
      </c>
    </row>
    <row r="41" spans="2:6" ht="39" x14ac:dyDescent="0.25">
      <c r="B41" s="10" t="s">
        <v>703</v>
      </c>
      <c r="C41" s="9" t="s">
        <v>12</v>
      </c>
      <c r="D41" s="10" t="s">
        <v>704</v>
      </c>
      <c r="E41" s="10"/>
      <c r="F41" s="9" t="s">
        <v>705</v>
      </c>
    </row>
    <row r="42" spans="2:6" ht="39" x14ac:dyDescent="0.25">
      <c r="B42" s="10" t="s">
        <v>64</v>
      </c>
      <c r="C42" s="9" t="s">
        <v>12</v>
      </c>
      <c r="D42" s="10" t="s">
        <v>803</v>
      </c>
      <c r="E42" s="10"/>
      <c r="F42" s="9" t="s">
        <v>37</v>
      </c>
    </row>
    <row r="43" spans="2:6" ht="39" x14ac:dyDescent="0.25">
      <c r="B43" s="10" t="s">
        <v>661</v>
      </c>
      <c r="C43" s="9" t="s">
        <v>12</v>
      </c>
      <c r="D43" s="10" t="s">
        <v>662</v>
      </c>
      <c r="E43" s="10"/>
    </row>
    <row r="44" spans="2:6" ht="58.5" x14ac:dyDescent="0.25">
      <c r="B44" s="10" t="s">
        <v>61</v>
      </c>
      <c r="C44" s="9" t="s">
        <v>12</v>
      </c>
      <c r="D44" s="10" t="s">
        <v>835</v>
      </c>
      <c r="E44" s="10"/>
      <c r="F44" s="9" t="s">
        <v>656</v>
      </c>
    </row>
    <row r="45" spans="2:6" ht="39" x14ac:dyDescent="0.25">
      <c r="B45" s="10" t="s">
        <v>654</v>
      </c>
      <c r="C45" s="9" t="s">
        <v>12</v>
      </c>
      <c r="D45" s="10" t="s">
        <v>696</v>
      </c>
      <c r="E45" s="10"/>
      <c r="F45" s="9" t="s">
        <v>655</v>
      </c>
    </row>
    <row r="46" spans="2:6" ht="39" x14ac:dyDescent="0.25">
      <c r="B46" s="10" t="s">
        <v>80</v>
      </c>
      <c r="C46" s="9" t="s">
        <v>12</v>
      </c>
      <c r="D46" s="10" t="s">
        <v>480</v>
      </c>
      <c r="E46" s="10"/>
      <c r="F46" s="9" t="s">
        <v>81</v>
      </c>
    </row>
    <row r="47" spans="2:6" ht="39" x14ac:dyDescent="0.25">
      <c r="B47" s="10" t="s">
        <v>770</v>
      </c>
      <c r="C47" s="9" t="s">
        <v>12</v>
      </c>
      <c r="D47" s="10" t="s">
        <v>771</v>
      </c>
      <c r="E47" s="10"/>
      <c r="F47" s="9" t="s">
        <v>772</v>
      </c>
    </row>
    <row r="48" spans="2:6" ht="39" x14ac:dyDescent="0.25">
      <c r="B48" s="10" t="s">
        <v>776</v>
      </c>
      <c r="C48" s="9" t="s">
        <v>12</v>
      </c>
      <c r="D48" s="10" t="s">
        <v>777</v>
      </c>
      <c r="E48" s="10"/>
      <c r="F48" s="9" t="s">
        <v>778</v>
      </c>
    </row>
    <row r="49" spans="2:6" ht="58.5" x14ac:dyDescent="0.25">
      <c r="B49" s="10" t="s">
        <v>827</v>
      </c>
      <c r="C49" s="9" t="s">
        <v>12</v>
      </c>
      <c r="D49" s="10" t="s">
        <v>828</v>
      </c>
      <c r="E49" s="10" t="s">
        <v>829</v>
      </c>
      <c r="F49" s="9" t="s">
        <v>830</v>
      </c>
    </row>
    <row r="50" spans="2:6" ht="39" x14ac:dyDescent="0.25">
      <c r="B50" s="10" t="s">
        <v>708</v>
      </c>
      <c r="C50" s="9" t="s">
        <v>12</v>
      </c>
      <c r="D50" s="10" t="s">
        <v>709</v>
      </c>
      <c r="E50" s="10"/>
      <c r="F50" s="9" t="s">
        <v>840</v>
      </c>
    </row>
    <row r="51" spans="2:6" ht="39" x14ac:dyDescent="0.25">
      <c r="B51" s="10" t="s">
        <v>717</v>
      </c>
      <c r="C51" s="9" t="s">
        <v>12</v>
      </c>
      <c r="D51" s="10" t="s">
        <v>841</v>
      </c>
      <c r="E51" s="10"/>
      <c r="F51" s="9" t="s">
        <v>842</v>
      </c>
    </row>
    <row r="52" spans="2:6" ht="39" x14ac:dyDescent="0.25">
      <c r="B52" s="10" t="s">
        <v>481</v>
      </c>
      <c r="C52" s="9" t="s">
        <v>12</v>
      </c>
      <c r="D52" s="10" t="s">
        <v>766</v>
      </c>
      <c r="E52" s="10"/>
      <c r="F52" s="9" t="s">
        <v>482</v>
      </c>
    </row>
    <row r="53" spans="2:6" ht="39" x14ac:dyDescent="0.25">
      <c r="B53" s="10" t="s">
        <v>483</v>
      </c>
      <c r="C53" s="9" t="s">
        <v>12</v>
      </c>
      <c r="D53" s="10" t="s">
        <v>555</v>
      </c>
      <c r="E53" s="10"/>
    </row>
    <row r="54" spans="2:6" ht="58.5" x14ac:dyDescent="0.25">
      <c r="B54" s="10" t="s">
        <v>785</v>
      </c>
      <c r="C54" s="9" t="s">
        <v>12</v>
      </c>
      <c r="D54" s="10" t="s">
        <v>786</v>
      </c>
      <c r="E54" s="10"/>
      <c r="F54" s="9" t="s">
        <v>787</v>
      </c>
    </row>
    <row r="55" spans="2:6" ht="39" x14ac:dyDescent="0.25">
      <c r="B55" s="10" t="s">
        <v>484</v>
      </c>
      <c r="C55" s="9" t="s">
        <v>12</v>
      </c>
      <c r="D55" s="10" t="s">
        <v>485</v>
      </c>
      <c r="E55" s="10"/>
      <c r="F55" s="9" t="s">
        <v>843</v>
      </c>
    </row>
    <row r="56" spans="2:6" ht="58.5" x14ac:dyDescent="0.25">
      <c r="B56" s="10" t="s">
        <v>486</v>
      </c>
      <c r="C56" s="9" t="s">
        <v>12</v>
      </c>
      <c r="D56" s="10" t="s">
        <v>487</v>
      </c>
      <c r="E56" s="10" t="s">
        <v>572</v>
      </c>
      <c r="F56" s="9" t="s">
        <v>488</v>
      </c>
    </row>
    <row r="57" spans="2:6" x14ac:dyDescent="0.25">
      <c r="B57" s="10" t="s">
        <v>65</v>
      </c>
      <c r="C57" s="9" t="s">
        <v>12</v>
      </c>
      <c r="D57" s="10" t="s">
        <v>66</v>
      </c>
      <c r="E57" s="10"/>
      <c r="F57" s="9" t="s">
        <v>489</v>
      </c>
    </row>
    <row r="58" spans="2:6" ht="39" x14ac:dyDescent="0.25">
      <c r="B58" s="10" t="s">
        <v>767</v>
      </c>
      <c r="C58" s="9" t="s">
        <v>12</v>
      </c>
      <c r="D58" s="10" t="s">
        <v>768</v>
      </c>
      <c r="E58" s="10"/>
      <c r="F58" s="9" t="s">
        <v>769</v>
      </c>
    </row>
    <row r="59" spans="2:6" ht="39" x14ac:dyDescent="0.25">
      <c r="B59" s="10" t="s">
        <v>773</v>
      </c>
      <c r="C59" s="9" t="s">
        <v>12</v>
      </c>
      <c r="D59" s="10" t="s">
        <v>774</v>
      </c>
      <c r="E59" s="10"/>
      <c r="F59" s="9" t="s">
        <v>775</v>
      </c>
    </row>
    <row r="60" spans="2:6" x14ac:dyDescent="0.25">
      <c r="B60" s="10" t="s">
        <v>699</v>
      </c>
      <c r="C60" s="9" t="s">
        <v>12</v>
      </c>
      <c r="D60" s="10" t="s">
        <v>700</v>
      </c>
      <c r="E60" s="10"/>
      <c r="F60" s="9" t="s">
        <v>701</v>
      </c>
    </row>
    <row r="61" spans="2:6" ht="39" x14ac:dyDescent="0.25">
      <c r="B61" s="10" t="s">
        <v>490</v>
      </c>
      <c r="C61" s="9" t="s">
        <v>12</v>
      </c>
      <c r="D61" s="10" t="s">
        <v>491</v>
      </c>
      <c r="E61" s="10"/>
      <c r="F61" s="9" t="s">
        <v>490</v>
      </c>
    </row>
    <row r="62" spans="2:6" ht="39" x14ac:dyDescent="0.25">
      <c r="B62" s="10" t="s">
        <v>492</v>
      </c>
      <c r="C62" s="9" t="s">
        <v>12</v>
      </c>
      <c r="D62" s="10" t="s">
        <v>556</v>
      </c>
      <c r="E62" s="10" t="s">
        <v>573</v>
      </c>
      <c r="F62" s="9" t="s">
        <v>493</v>
      </c>
    </row>
    <row r="63" spans="2:6" ht="39" x14ac:dyDescent="0.25">
      <c r="B63" s="10" t="s">
        <v>494</v>
      </c>
      <c r="C63" s="9" t="s">
        <v>12</v>
      </c>
      <c r="D63" s="10" t="s">
        <v>798</v>
      </c>
      <c r="E63" s="10" t="s">
        <v>573</v>
      </c>
      <c r="F63" s="9" t="s">
        <v>495</v>
      </c>
    </row>
    <row r="64" spans="2:6" x14ac:dyDescent="0.25">
      <c r="B64" s="10" t="s">
        <v>34</v>
      </c>
      <c r="C64" s="9" t="s">
        <v>12</v>
      </c>
      <c r="D64" s="10" t="s">
        <v>496</v>
      </c>
      <c r="E64" s="10"/>
      <c r="F64" s="9" t="s">
        <v>497</v>
      </c>
    </row>
    <row r="65" spans="2:6" ht="39" x14ac:dyDescent="0.25">
      <c r="B65" s="10" t="s">
        <v>67</v>
      </c>
      <c r="C65" s="9" t="s">
        <v>12</v>
      </c>
      <c r="D65" s="10" t="s">
        <v>498</v>
      </c>
      <c r="E65" s="10"/>
      <c r="F65" s="9" t="s">
        <v>35</v>
      </c>
    </row>
    <row r="66" spans="2:6" x14ac:dyDescent="0.25">
      <c r="B66" s="10" t="s">
        <v>59</v>
      </c>
      <c r="C66" s="9" t="s">
        <v>12</v>
      </c>
      <c r="D66" s="10" t="s">
        <v>68</v>
      </c>
      <c r="E66" s="10"/>
      <c r="F66" s="9" t="s">
        <v>499</v>
      </c>
    </row>
    <row r="67" spans="2:6" ht="39" x14ac:dyDescent="0.25">
      <c r="B67" s="10" t="s">
        <v>500</v>
      </c>
      <c r="C67" s="9" t="s">
        <v>12</v>
      </c>
      <c r="D67" s="10" t="s">
        <v>501</v>
      </c>
      <c r="E67" s="10"/>
      <c r="F67" s="9" t="s">
        <v>502</v>
      </c>
    </row>
    <row r="68" spans="2:6" ht="39" x14ac:dyDescent="0.25">
      <c r="B68" s="10" t="s">
        <v>503</v>
      </c>
      <c r="C68" s="9" t="s">
        <v>12</v>
      </c>
      <c r="D68" s="10" t="s">
        <v>804</v>
      </c>
      <c r="E68" s="10"/>
      <c r="F68" s="9" t="s">
        <v>504</v>
      </c>
    </row>
    <row r="69" spans="2:6" x14ac:dyDescent="0.25">
      <c r="B69" s="10" t="s">
        <v>505</v>
      </c>
      <c r="C69" s="9" t="s">
        <v>12</v>
      </c>
      <c r="D69" s="10" t="s">
        <v>506</v>
      </c>
      <c r="E69" s="10"/>
      <c r="F69" s="9" t="s">
        <v>507</v>
      </c>
    </row>
    <row r="70" spans="2:6" ht="39" x14ac:dyDescent="0.25">
      <c r="B70" s="10" t="s">
        <v>508</v>
      </c>
      <c r="C70" s="9" t="s">
        <v>12</v>
      </c>
      <c r="D70" s="10" t="s">
        <v>509</v>
      </c>
      <c r="E70" s="10"/>
      <c r="F70" s="9" t="s">
        <v>510</v>
      </c>
    </row>
    <row r="71" spans="2:6" ht="58.5" x14ac:dyDescent="0.25">
      <c r="B71" s="10" t="s">
        <v>788</v>
      </c>
      <c r="C71" s="9" t="s">
        <v>12</v>
      </c>
      <c r="D71" s="10" t="s">
        <v>807</v>
      </c>
      <c r="E71" s="10"/>
      <c r="F71" s="9" t="s">
        <v>789</v>
      </c>
    </row>
    <row r="72" spans="2:6" ht="39" x14ac:dyDescent="0.25">
      <c r="B72" s="10" t="s">
        <v>69</v>
      </c>
      <c r="C72" s="9" t="s">
        <v>12</v>
      </c>
      <c r="D72" s="10" t="s">
        <v>695</v>
      </c>
      <c r="E72" s="10"/>
      <c r="F72" s="9" t="s">
        <v>511</v>
      </c>
    </row>
    <row r="73" spans="2:6" x14ac:dyDescent="0.25">
      <c r="B73" s="10" t="s">
        <v>512</v>
      </c>
      <c r="C73" s="9" t="s">
        <v>12</v>
      </c>
      <c r="D73" s="10" t="s">
        <v>513</v>
      </c>
      <c r="E73" s="10"/>
      <c r="F73" s="9" t="s">
        <v>514</v>
      </c>
    </row>
    <row r="74" spans="2:6" x14ac:dyDescent="0.25">
      <c r="B74" s="10" t="s">
        <v>302</v>
      </c>
      <c r="C74" s="9" t="s">
        <v>12</v>
      </c>
      <c r="D74" s="10" t="s">
        <v>515</v>
      </c>
      <c r="E74" s="10"/>
      <c r="F74" s="9" t="s">
        <v>516</v>
      </c>
    </row>
    <row r="75" spans="2:6" ht="39" x14ac:dyDescent="0.25">
      <c r="B75" s="10" t="s">
        <v>517</v>
      </c>
      <c r="C75" s="9" t="s">
        <v>12</v>
      </c>
      <c r="D75" s="10" t="s">
        <v>764</v>
      </c>
      <c r="E75" s="10"/>
      <c r="F75" s="9" t="s">
        <v>518</v>
      </c>
    </row>
    <row r="76" spans="2:6" ht="58.5" x14ac:dyDescent="0.25">
      <c r="B76" s="10" t="s">
        <v>297</v>
      </c>
      <c r="C76" s="9" t="s">
        <v>12</v>
      </c>
      <c r="D76" s="10" t="s">
        <v>557</v>
      </c>
      <c r="E76" s="10"/>
      <c r="F76" s="9" t="s">
        <v>519</v>
      </c>
    </row>
    <row r="77" spans="2:6" ht="39" x14ac:dyDescent="0.25">
      <c r="B77" s="10" t="s">
        <v>520</v>
      </c>
      <c r="C77" s="9" t="s">
        <v>12</v>
      </c>
      <c r="D77" s="10" t="s">
        <v>521</v>
      </c>
      <c r="E77" s="10"/>
      <c r="F77" s="9" t="s">
        <v>844</v>
      </c>
    </row>
    <row r="78" spans="2:6" ht="39" x14ac:dyDescent="0.25">
      <c r="B78" s="10" t="s">
        <v>748</v>
      </c>
      <c r="C78" s="9" t="s">
        <v>12</v>
      </c>
      <c r="D78" s="10" t="s">
        <v>749</v>
      </c>
      <c r="E78" s="10"/>
      <c r="F78" s="9" t="s">
        <v>750</v>
      </c>
    </row>
    <row r="79" spans="2:6" ht="58.5" x14ac:dyDescent="0.25">
      <c r="B79" s="10" t="s">
        <v>755</v>
      </c>
      <c r="C79" s="9" t="s">
        <v>12</v>
      </c>
      <c r="D79" s="10" t="s">
        <v>756</v>
      </c>
      <c r="E79" s="10"/>
      <c r="F79" s="9" t="s">
        <v>757</v>
      </c>
    </row>
    <row r="80" spans="2:6" ht="58.5" x14ac:dyDescent="0.25">
      <c r="B80" s="10" t="s">
        <v>751</v>
      </c>
      <c r="C80" s="9" t="s">
        <v>12</v>
      </c>
      <c r="D80" s="10" t="s">
        <v>752</v>
      </c>
      <c r="E80" s="10" t="s">
        <v>753</v>
      </c>
      <c r="F80" s="9" t="s">
        <v>754</v>
      </c>
    </row>
    <row r="81" spans="2:6" ht="39" x14ac:dyDescent="0.25">
      <c r="B81" s="10" t="s">
        <v>718</v>
      </c>
      <c r="C81" s="9" t="s">
        <v>12</v>
      </c>
      <c r="D81" s="10" t="s">
        <v>719</v>
      </c>
      <c r="E81" s="10"/>
      <c r="F81" s="9" t="s">
        <v>720</v>
      </c>
    </row>
    <row r="82" spans="2:6" ht="39" x14ac:dyDescent="0.25">
      <c r="B82" s="10" t="s">
        <v>721</v>
      </c>
      <c r="C82" s="9" t="s">
        <v>12</v>
      </c>
      <c r="D82" s="10" t="s">
        <v>722</v>
      </c>
      <c r="E82" s="10"/>
      <c r="F82" s="9" t="s">
        <v>723</v>
      </c>
    </row>
    <row r="83" spans="2:6" ht="39" x14ac:dyDescent="0.25">
      <c r="B83" s="10" t="s">
        <v>724</v>
      </c>
      <c r="C83" s="9" t="s">
        <v>12</v>
      </c>
      <c r="D83" s="10" t="s">
        <v>725</v>
      </c>
      <c r="E83" s="10"/>
      <c r="F83" s="9" t="s">
        <v>726</v>
      </c>
    </row>
    <row r="84" spans="2:6" ht="39" x14ac:dyDescent="0.25">
      <c r="B84" s="10" t="s">
        <v>727</v>
      </c>
      <c r="C84" s="9" t="s">
        <v>12</v>
      </c>
      <c r="D84" s="10" t="s">
        <v>728</v>
      </c>
      <c r="E84" s="10"/>
      <c r="F84" s="9" t="s">
        <v>729</v>
      </c>
    </row>
    <row r="85" spans="2:6" ht="39" x14ac:dyDescent="0.25">
      <c r="B85" s="10" t="s">
        <v>730</v>
      </c>
      <c r="C85" s="9" t="s">
        <v>12</v>
      </c>
      <c r="D85" s="10" t="s">
        <v>731</v>
      </c>
      <c r="E85" s="10"/>
      <c r="F85" s="9" t="s">
        <v>732</v>
      </c>
    </row>
    <row r="86" spans="2:6" ht="39" x14ac:dyDescent="0.25">
      <c r="B86" s="10" t="s">
        <v>522</v>
      </c>
      <c r="C86" s="9" t="s">
        <v>12</v>
      </c>
      <c r="D86" s="10" t="s">
        <v>523</v>
      </c>
      <c r="E86" s="10"/>
      <c r="F86" s="9" t="s">
        <v>38</v>
      </c>
    </row>
    <row r="87" spans="2:6" ht="39" x14ac:dyDescent="0.25">
      <c r="B87" s="10" t="s">
        <v>43</v>
      </c>
      <c r="C87" s="9" t="s">
        <v>12</v>
      </c>
      <c r="D87" s="10" t="s">
        <v>524</v>
      </c>
      <c r="E87" s="10"/>
      <c r="F87" s="9" t="s">
        <v>44</v>
      </c>
    </row>
    <row r="88" spans="2:6" ht="58.5" x14ac:dyDescent="0.25">
      <c r="B88" s="10" t="s">
        <v>525</v>
      </c>
      <c r="C88" s="9" t="s">
        <v>12</v>
      </c>
      <c r="D88" s="10" t="s">
        <v>836</v>
      </c>
      <c r="E88" s="10"/>
      <c r="F88" s="9" t="s">
        <v>526</v>
      </c>
    </row>
    <row r="89" spans="2:6" x14ac:dyDescent="0.25">
      <c r="B89" s="10" t="s">
        <v>48</v>
      </c>
      <c r="C89" s="9" t="s">
        <v>12</v>
      </c>
      <c r="D89" s="10" t="s">
        <v>70</v>
      </c>
      <c r="E89" s="10"/>
      <c r="F89" s="9" t="s">
        <v>527</v>
      </c>
    </row>
    <row r="90" spans="2:6" ht="39" x14ac:dyDescent="0.25">
      <c r="B90" s="10" t="s">
        <v>658</v>
      </c>
      <c r="C90" s="9" t="s">
        <v>12</v>
      </c>
      <c r="D90" s="10" t="s">
        <v>659</v>
      </c>
      <c r="E90" s="10"/>
      <c r="F90" s="9" t="s">
        <v>660</v>
      </c>
    </row>
    <row r="91" spans="2:6" ht="39" x14ac:dyDescent="0.25">
      <c r="B91" s="10" t="s">
        <v>824</v>
      </c>
      <c r="C91" s="9" t="s">
        <v>12</v>
      </c>
      <c r="D91" s="10" t="s">
        <v>825</v>
      </c>
      <c r="E91" s="10"/>
      <c r="F91" s="9" t="s">
        <v>826</v>
      </c>
    </row>
    <row r="92" spans="2:6" ht="39" x14ac:dyDescent="0.25">
      <c r="B92" s="10" t="s">
        <v>667</v>
      </c>
      <c r="C92" s="9" t="s">
        <v>12</v>
      </c>
      <c r="D92" s="10" t="s">
        <v>697</v>
      </c>
      <c r="E92" s="10"/>
      <c r="F92" s="9" t="s">
        <v>698</v>
      </c>
    </row>
    <row r="93" spans="2:6" ht="39" x14ac:dyDescent="0.25">
      <c r="B93" s="10" t="s">
        <v>528</v>
      </c>
      <c r="C93" s="9" t="s">
        <v>12</v>
      </c>
      <c r="D93" s="10" t="s">
        <v>529</v>
      </c>
      <c r="E93" s="10"/>
      <c r="F93" s="9" t="s">
        <v>530</v>
      </c>
    </row>
    <row r="94" spans="2:6" ht="58.5" x14ac:dyDescent="0.25">
      <c r="B94" s="10" t="s">
        <v>82</v>
      </c>
      <c r="C94" s="9" t="s">
        <v>12</v>
      </c>
      <c r="D94" s="10" t="s">
        <v>761</v>
      </c>
      <c r="E94" s="10"/>
      <c r="F94" s="9" t="s">
        <v>83</v>
      </c>
    </row>
    <row r="95" spans="2:6" ht="39" x14ac:dyDescent="0.25">
      <c r="B95" s="10" t="s">
        <v>531</v>
      </c>
      <c r="C95" s="9" t="s">
        <v>12</v>
      </c>
      <c r="D95" s="10" t="s">
        <v>532</v>
      </c>
      <c r="E95" s="10"/>
      <c r="F95" s="9" t="s">
        <v>533</v>
      </c>
    </row>
    <row r="96" spans="2:6" ht="39" x14ac:dyDescent="0.25">
      <c r="B96" s="10" t="s">
        <v>534</v>
      </c>
      <c r="C96" s="9" t="s">
        <v>12</v>
      </c>
      <c r="D96" s="10" t="s">
        <v>535</v>
      </c>
      <c r="E96" s="10"/>
      <c r="F96" s="9" t="s">
        <v>536</v>
      </c>
    </row>
    <row r="97" spans="2:6" ht="39" x14ac:dyDescent="0.25">
      <c r="B97" s="10" t="s">
        <v>537</v>
      </c>
      <c r="C97" s="9" t="s">
        <v>12</v>
      </c>
      <c r="D97" s="10" t="s">
        <v>558</v>
      </c>
      <c r="E97" s="10"/>
      <c r="F97" s="9" t="s">
        <v>538</v>
      </c>
    </row>
    <row r="98" spans="2:6" ht="39" x14ac:dyDescent="0.25">
      <c r="B98" s="10" t="s">
        <v>539</v>
      </c>
      <c r="C98" s="9" t="s">
        <v>12</v>
      </c>
      <c r="D98" s="10" t="s">
        <v>540</v>
      </c>
      <c r="E98" s="10"/>
      <c r="F98" s="9" t="s">
        <v>541</v>
      </c>
    </row>
    <row r="99" spans="2:6" ht="39" x14ac:dyDescent="0.25">
      <c r="B99" s="10" t="s">
        <v>742</v>
      </c>
      <c r="C99" s="9" t="s">
        <v>12</v>
      </c>
      <c r="D99" s="10" t="s">
        <v>743</v>
      </c>
      <c r="E99" s="10"/>
      <c r="F99" s="9" t="s">
        <v>744</v>
      </c>
    </row>
    <row r="100" spans="2:6" ht="39" x14ac:dyDescent="0.25">
      <c r="B100" s="10" t="s">
        <v>542</v>
      </c>
      <c r="C100" s="9" t="s">
        <v>12</v>
      </c>
      <c r="D100" s="10" t="s">
        <v>740</v>
      </c>
      <c r="E100" s="10"/>
      <c r="F100" s="9" t="s">
        <v>741</v>
      </c>
    </row>
    <row r="101" spans="2:6" ht="39" x14ac:dyDescent="0.25">
      <c r="B101" s="10" t="s">
        <v>71</v>
      </c>
      <c r="C101" s="9" t="s">
        <v>12</v>
      </c>
      <c r="D101" s="10" t="s">
        <v>543</v>
      </c>
      <c r="E101" s="10"/>
      <c r="F101" s="9" t="s">
        <v>39</v>
      </c>
    </row>
    <row r="102" spans="2:6" x14ac:dyDescent="0.25">
      <c r="B102" s="10" t="s">
        <v>72</v>
      </c>
      <c r="C102" s="9" t="s">
        <v>12</v>
      </c>
      <c r="D102" s="10" t="s">
        <v>544</v>
      </c>
      <c r="E102" s="10"/>
      <c r="F102" s="9" t="s">
        <v>40</v>
      </c>
    </row>
    <row r="103" spans="2:6" ht="58.5" x14ac:dyDescent="0.25">
      <c r="B103" s="10" t="s">
        <v>545</v>
      </c>
      <c r="C103" s="9" t="s">
        <v>12</v>
      </c>
      <c r="D103" s="10" t="s">
        <v>694</v>
      </c>
      <c r="E103" s="10"/>
    </row>
    <row r="104" spans="2:6" x14ac:dyDescent="0.25">
      <c r="B104" s="10" t="s">
        <v>299</v>
      </c>
      <c r="C104" s="9" t="s">
        <v>12</v>
      </c>
      <c r="D104" s="10" t="s">
        <v>813</v>
      </c>
      <c r="E104" s="10"/>
      <c r="F104" s="9" t="s">
        <v>300</v>
      </c>
    </row>
    <row r="105" spans="2:6" ht="39" x14ac:dyDescent="0.25">
      <c r="B105" s="10" t="s">
        <v>546</v>
      </c>
      <c r="C105" s="9" t="s">
        <v>12</v>
      </c>
      <c r="D105" s="10" t="s">
        <v>559</v>
      </c>
      <c r="E105" s="10" t="s">
        <v>574</v>
      </c>
      <c r="F105" s="9" t="s">
        <v>547</v>
      </c>
    </row>
    <row r="106" spans="2:6" ht="39" x14ac:dyDescent="0.25">
      <c r="B106" s="10" t="s">
        <v>73</v>
      </c>
      <c r="C106" s="9" t="s">
        <v>12</v>
      </c>
      <c r="D106" s="10" t="s">
        <v>560</v>
      </c>
      <c r="E106" s="10"/>
      <c r="F106" s="9" t="s">
        <v>74</v>
      </c>
    </row>
    <row r="107" spans="2:6" ht="39" x14ac:dyDescent="0.25">
      <c r="B107" s="10" t="s">
        <v>52</v>
      </c>
      <c r="C107" s="9" t="s">
        <v>12</v>
      </c>
      <c r="D107" s="10" t="s">
        <v>561</v>
      </c>
      <c r="E107" s="10"/>
      <c r="F107" s="9" t="s">
        <v>548</v>
      </c>
    </row>
    <row r="108" spans="2:6" ht="39" x14ac:dyDescent="0.25">
      <c r="B108" s="10" t="s">
        <v>51</v>
      </c>
      <c r="C108" s="9" t="s">
        <v>12</v>
      </c>
      <c r="D108" s="10" t="s">
        <v>549</v>
      </c>
      <c r="E108" s="10"/>
      <c r="F108" s="9" t="s">
        <v>50</v>
      </c>
    </row>
    <row r="109" spans="2:6" ht="39" x14ac:dyDescent="0.25">
      <c r="B109" s="10" t="s">
        <v>75</v>
      </c>
      <c r="C109" s="9" t="s">
        <v>12</v>
      </c>
      <c r="D109" s="10" t="s">
        <v>76</v>
      </c>
      <c r="E109" s="10"/>
      <c r="F109" s="9" t="s">
        <v>77</v>
      </c>
    </row>
    <row r="110" spans="2:6" ht="39" x14ac:dyDescent="0.25">
      <c r="B110" s="10" t="s">
        <v>78</v>
      </c>
      <c r="C110" s="9" t="s">
        <v>12</v>
      </c>
      <c r="D110" s="10" t="s">
        <v>562</v>
      </c>
      <c r="E110" s="10"/>
      <c r="F110" s="9" t="s">
        <v>550</v>
      </c>
    </row>
    <row r="111" spans="2:6" ht="58.5" x14ac:dyDescent="0.25">
      <c r="B111" s="10" t="s">
        <v>55</v>
      </c>
      <c r="C111" s="9" t="s">
        <v>12</v>
      </c>
      <c r="D111" s="10" t="s">
        <v>563</v>
      </c>
      <c r="E111" s="10"/>
      <c r="F111" s="9" t="s">
        <v>551</v>
      </c>
    </row>
    <row r="112" spans="2:6" ht="39" x14ac:dyDescent="0.25">
      <c r="B112" s="10" t="s">
        <v>304</v>
      </c>
      <c r="C112" s="9" t="s">
        <v>12</v>
      </c>
      <c r="D112" s="10" t="s">
        <v>805</v>
      </c>
      <c r="E112" s="10"/>
      <c r="F112" s="9" t="s">
        <v>305</v>
      </c>
    </row>
    <row r="113" spans="2:6" ht="39" x14ac:dyDescent="0.25">
      <c r="B113" s="10" t="s">
        <v>53</v>
      </c>
      <c r="C113" s="9" t="s">
        <v>12</v>
      </c>
      <c r="D113" s="10" t="s">
        <v>79</v>
      </c>
      <c r="E113" s="10"/>
      <c r="F113" s="9" t="s">
        <v>552</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F2C283-8BFF-48F4-994B-00D1D8B34BBC}">
  <sheetPr codeName="Sheet1"/>
  <dimension ref="B2:J83"/>
  <sheetViews>
    <sheetView showGridLines="0" zoomScale="70" zoomScaleNormal="70" workbookViewId="0">
      <pane xSplit="3" ySplit="8" topLeftCell="D9" activePane="bottomRight" state="frozen"/>
      <selection pane="topRight" activeCell="D1" sqref="D1"/>
      <selection pane="bottomLeft" activeCell="A9" sqref="A9"/>
      <selection pane="bottomRight" activeCell="D9" sqref="D9"/>
    </sheetView>
  </sheetViews>
  <sheetFormatPr defaultRowHeight="19.5" x14ac:dyDescent="0.25"/>
  <cols>
    <col min="1" max="1" width="2.15234375" customWidth="1"/>
    <col min="2" max="2" width="33.921875" style="9" bestFit="1" customWidth="1"/>
    <col min="3" max="3" width="17.765625" style="9" customWidth="1"/>
    <col min="4" max="4" width="55.3828125" style="9" bestFit="1" customWidth="1"/>
    <col min="5" max="5" width="55.53515625" style="9" customWidth="1"/>
    <col min="6" max="6" width="43.3828125" style="9" customWidth="1"/>
    <col min="7" max="10" width="1.765625" customWidth="1"/>
  </cols>
  <sheetData>
    <row r="2" spans="2:10" ht="21" thickBot="1" x14ac:dyDescent="0.35">
      <c r="B2" s="3" t="s">
        <v>0</v>
      </c>
      <c r="C2" s="3"/>
      <c r="D2" s="3"/>
      <c r="E2" s="3"/>
      <c r="F2" s="3"/>
      <c r="G2" s="4"/>
      <c r="H2" s="4"/>
      <c r="I2" s="4"/>
      <c r="J2" s="4"/>
    </row>
    <row r="3" spans="2:10" ht="20.25" thickTop="1" x14ac:dyDescent="0.25">
      <c r="B3" s="5" t="s">
        <v>1</v>
      </c>
      <c r="C3" s="5"/>
      <c r="D3" s="5"/>
      <c r="E3" s="5"/>
      <c r="F3" s="5"/>
      <c r="G3" s="6"/>
      <c r="H3" s="6"/>
      <c r="I3" s="6"/>
      <c r="J3" s="6"/>
    </row>
    <row r="5" spans="2:10" ht="20.25" thickBot="1" x14ac:dyDescent="0.3">
      <c r="B5" s="7" t="s">
        <v>3</v>
      </c>
      <c r="C5" s="7"/>
      <c r="D5" s="7"/>
      <c r="E5" s="7"/>
      <c r="F5" s="7"/>
      <c r="G5" s="8"/>
      <c r="H5" s="8"/>
      <c r="I5" s="8"/>
      <c r="J5" s="8"/>
    </row>
    <row r="6" spans="2:10" ht="20.25" thickTop="1" x14ac:dyDescent="0.25">
      <c r="B6" s="5" t="s">
        <v>808</v>
      </c>
      <c r="C6" s="5"/>
      <c r="D6" s="5"/>
      <c r="E6" s="5"/>
      <c r="F6" s="5"/>
      <c r="G6" s="6"/>
      <c r="H6" s="6"/>
      <c r="I6" s="6"/>
      <c r="J6" s="6"/>
    </row>
    <row r="7" spans="2:10" x14ac:dyDescent="0.25">
      <c r="B7" s="9">
        <f>ROWS(Lambdas[])</f>
        <v>75</v>
      </c>
    </row>
    <row r="8" spans="2:10" x14ac:dyDescent="0.25">
      <c r="B8" s="9" t="s">
        <v>4</v>
      </c>
      <c r="C8" s="9" t="s">
        <v>6</v>
      </c>
      <c r="D8" s="9" t="s">
        <v>5</v>
      </c>
      <c r="E8" s="9" t="s">
        <v>8</v>
      </c>
      <c r="F8" s="9" t="s">
        <v>9</v>
      </c>
    </row>
    <row r="9" spans="2:10" x14ac:dyDescent="0.25">
      <c r="B9" s="9" t="s">
        <v>402</v>
      </c>
      <c r="C9" s="9" t="s">
        <v>19</v>
      </c>
      <c r="D9" s="9" t="s">
        <v>403</v>
      </c>
      <c r="E9" s="9" t="s">
        <v>644</v>
      </c>
      <c r="F9" s="10" t="s">
        <v>615</v>
      </c>
    </row>
    <row r="10" spans="2:10" x14ac:dyDescent="0.25">
      <c r="B10" s="9" t="s">
        <v>307</v>
      </c>
      <c r="C10" s="9" t="s">
        <v>341</v>
      </c>
      <c r="D10" s="9" t="s">
        <v>404</v>
      </c>
      <c r="E10" s="9" t="s">
        <v>14</v>
      </c>
      <c r="F10" s="10" t="s">
        <v>21</v>
      </c>
    </row>
    <row r="11" spans="2:10" ht="156" x14ac:dyDescent="0.25">
      <c r="B11" s="9" t="s">
        <v>308</v>
      </c>
      <c r="C11" s="9" t="s">
        <v>341</v>
      </c>
      <c r="D11" s="9" t="s">
        <v>342</v>
      </c>
      <c r="E11" s="10" t="s">
        <v>576</v>
      </c>
      <c r="F11" s="10" t="s">
        <v>21</v>
      </c>
    </row>
    <row r="12" spans="2:10" x14ac:dyDescent="0.25">
      <c r="B12" s="9" t="s">
        <v>309</v>
      </c>
      <c r="C12" s="9" t="s">
        <v>341</v>
      </c>
      <c r="D12" s="9" t="s">
        <v>405</v>
      </c>
      <c r="E12" s="9" t="s">
        <v>597</v>
      </c>
      <c r="F12" s="10" t="s">
        <v>21</v>
      </c>
    </row>
    <row r="13" spans="2:10" ht="58.5" x14ac:dyDescent="0.25">
      <c r="B13" s="9" t="s">
        <v>310</v>
      </c>
      <c r="C13" s="9" t="s">
        <v>341</v>
      </c>
      <c r="D13" s="9" t="s">
        <v>568</v>
      </c>
      <c r="E13" s="10" t="s">
        <v>594</v>
      </c>
      <c r="F13" s="10" t="s">
        <v>21</v>
      </c>
    </row>
    <row r="14" spans="2:10" ht="117" x14ac:dyDescent="0.25">
      <c r="B14" s="9" t="s">
        <v>311</v>
      </c>
      <c r="C14" s="9" t="s">
        <v>341</v>
      </c>
      <c r="D14" s="9" t="s">
        <v>399</v>
      </c>
      <c r="E14" s="10" t="s">
        <v>642</v>
      </c>
      <c r="F14" s="10" t="s">
        <v>21</v>
      </c>
    </row>
    <row r="15" spans="2:10" ht="58.5" x14ac:dyDescent="0.25">
      <c r="B15" s="9" t="s">
        <v>312</v>
      </c>
      <c r="C15" s="9" t="s">
        <v>341</v>
      </c>
      <c r="D15" s="9" t="s">
        <v>569</v>
      </c>
      <c r="E15" s="10" t="s">
        <v>595</v>
      </c>
      <c r="F15" s="10" t="s">
        <v>21</v>
      </c>
    </row>
    <row r="16" spans="2:10" ht="39" x14ac:dyDescent="0.25">
      <c r="B16" s="9" t="s">
        <v>313</v>
      </c>
      <c r="C16" s="9" t="s">
        <v>341</v>
      </c>
      <c r="D16" s="9" t="s">
        <v>796</v>
      </c>
      <c r="E16" s="10" t="s">
        <v>797</v>
      </c>
      <c r="F16" s="10" t="s">
        <v>21</v>
      </c>
    </row>
    <row r="17" spans="2:6" ht="195" x14ac:dyDescent="0.25">
      <c r="B17" s="9" t="s">
        <v>395</v>
      </c>
      <c r="C17" s="9" t="s">
        <v>366</v>
      </c>
      <c r="D17" s="9" t="s">
        <v>396</v>
      </c>
      <c r="E17" s="10" t="s">
        <v>653</v>
      </c>
      <c r="F17" s="10" t="s">
        <v>620</v>
      </c>
    </row>
    <row r="18" spans="2:6" ht="136.5" x14ac:dyDescent="0.25">
      <c r="B18" s="9" t="s">
        <v>365</v>
      </c>
      <c r="C18" s="9" t="s">
        <v>366</v>
      </c>
      <c r="D18" s="9" t="s">
        <v>367</v>
      </c>
      <c r="E18" s="10" t="s">
        <v>628</v>
      </c>
      <c r="F18" s="10" t="s">
        <v>615</v>
      </c>
    </row>
    <row r="19" spans="2:6" ht="195" x14ac:dyDescent="0.25">
      <c r="B19" t="s">
        <v>314</v>
      </c>
      <c r="C19" s="9" t="s">
        <v>341</v>
      </c>
      <c r="D19" s="9" t="s">
        <v>363</v>
      </c>
      <c r="E19" s="10" t="s">
        <v>586</v>
      </c>
      <c r="F19" s="10" t="s">
        <v>21</v>
      </c>
    </row>
    <row r="20" spans="2:6" ht="78" x14ac:dyDescent="0.25">
      <c r="B20" s="9" t="s">
        <v>397</v>
      </c>
      <c r="C20" s="9" t="s">
        <v>366</v>
      </c>
      <c r="D20" s="9" t="s">
        <v>398</v>
      </c>
      <c r="E20" s="10" t="s">
        <v>641</v>
      </c>
      <c r="F20" s="10" t="s">
        <v>21</v>
      </c>
    </row>
    <row r="21" spans="2:6" ht="331.5" x14ac:dyDescent="0.25">
      <c r="B21" s="9" t="s">
        <v>315</v>
      </c>
      <c r="C21" s="9" t="s">
        <v>341</v>
      </c>
      <c r="D21" s="9" t="s">
        <v>368</v>
      </c>
      <c r="E21" s="10" t="s">
        <v>629</v>
      </c>
      <c r="F21" s="10" t="s">
        <v>615</v>
      </c>
    </row>
    <row r="22" spans="2:6" ht="58.5" x14ac:dyDescent="0.25">
      <c r="B22" s="9" t="s">
        <v>316</v>
      </c>
      <c r="C22" s="9" t="s">
        <v>341</v>
      </c>
      <c r="D22" s="9" t="s">
        <v>411</v>
      </c>
      <c r="E22" s="10" t="s">
        <v>645</v>
      </c>
      <c r="F22" s="10" t="s">
        <v>21</v>
      </c>
    </row>
    <row r="23" spans="2:6" x14ac:dyDescent="0.25">
      <c r="B23" s="9" t="s">
        <v>317</v>
      </c>
      <c r="C23" s="9" t="s">
        <v>341</v>
      </c>
      <c r="D23" s="9" t="s">
        <v>406</v>
      </c>
      <c r="E23" s="9" t="s">
        <v>598</v>
      </c>
      <c r="F23" s="10" t="s">
        <v>21</v>
      </c>
    </row>
    <row r="24" spans="2:6" ht="136.5" x14ac:dyDescent="0.25">
      <c r="B24" s="9" t="s">
        <v>318</v>
      </c>
      <c r="C24" s="9" t="s">
        <v>341</v>
      </c>
      <c r="D24" s="9" t="s">
        <v>412</v>
      </c>
      <c r="E24" s="10" t="s">
        <v>646</v>
      </c>
      <c r="F24" s="10" t="s">
        <v>21</v>
      </c>
    </row>
    <row r="25" spans="2:6" ht="117" x14ac:dyDescent="0.25">
      <c r="B25" s="9" t="s">
        <v>319</v>
      </c>
      <c r="C25" s="9" t="s">
        <v>341</v>
      </c>
      <c r="D25" s="9" t="s">
        <v>426</v>
      </c>
      <c r="E25" s="10" t="s">
        <v>647</v>
      </c>
      <c r="F25" s="10" t="s">
        <v>21</v>
      </c>
    </row>
    <row r="26" spans="2:6" ht="136.5" x14ac:dyDescent="0.25">
      <c r="B26" s="9" t="s">
        <v>320</v>
      </c>
      <c r="C26" s="9" t="s">
        <v>341</v>
      </c>
      <c r="D26" s="9" t="s">
        <v>427</v>
      </c>
      <c r="E26" s="10" t="s">
        <v>648</v>
      </c>
      <c r="F26" s="10" t="s">
        <v>21</v>
      </c>
    </row>
    <row r="27" spans="2:6" ht="58.5" x14ac:dyDescent="0.25">
      <c r="B27" s="9" t="s">
        <v>321</v>
      </c>
      <c r="C27" s="9" t="s">
        <v>341</v>
      </c>
      <c r="D27" s="9" t="s">
        <v>364</v>
      </c>
      <c r="E27" s="10" t="s">
        <v>587</v>
      </c>
      <c r="F27" s="10" t="s">
        <v>21</v>
      </c>
    </row>
    <row r="28" spans="2:6" ht="175.5" x14ac:dyDescent="0.25">
      <c r="B28" s="9" t="s">
        <v>322</v>
      </c>
      <c r="C28" s="9" t="s">
        <v>341</v>
      </c>
      <c r="D28" s="9" t="s">
        <v>566</v>
      </c>
      <c r="E28" s="10" t="s">
        <v>588</v>
      </c>
      <c r="F28" s="10" t="s">
        <v>21</v>
      </c>
    </row>
    <row r="29" spans="2:6" ht="97.5" x14ac:dyDescent="0.25">
      <c r="B29" s="9" t="s">
        <v>369</v>
      </c>
      <c r="C29" s="9" t="s">
        <v>19</v>
      </c>
      <c r="D29" s="9" t="s">
        <v>370</v>
      </c>
      <c r="E29" s="10" t="s">
        <v>630</v>
      </c>
      <c r="F29" s="10" t="s">
        <v>21</v>
      </c>
    </row>
    <row r="30" spans="2:6" x14ac:dyDescent="0.25">
      <c r="B30" s="9" t="s">
        <v>323</v>
      </c>
      <c r="C30" s="9" t="s">
        <v>341</v>
      </c>
      <c r="D30" s="9" t="s">
        <v>423</v>
      </c>
      <c r="E30" s="9" t="s">
        <v>607</v>
      </c>
      <c r="F30" s="10" t="s">
        <v>21</v>
      </c>
    </row>
    <row r="31" spans="2:6" ht="97.5" x14ac:dyDescent="0.25">
      <c r="B31" s="9" t="s">
        <v>343</v>
      </c>
      <c r="C31" s="9" t="s">
        <v>341</v>
      </c>
      <c r="D31" s="9" t="s">
        <v>344</v>
      </c>
      <c r="E31" s="10" t="s">
        <v>577</v>
      </c>
      <c r="F31" s="10" t="s">
        <v>21</v>
      </c>
    </row>
    <row r="32" spans="2:6" ht="58.5" x14ac:dyDescent="0.25">
      <c r="B32" s="9" t="s">
        <v>345</v>
      </c>
      <c r="C32" s="9" t="s">
        <v>341</v>
      </c>
      <c r="D32" s="9" t="s">
        <v>564</v>
      </c>
      <c r="E32" s="10" t="s">
        <v>578</v>
      </c>
      <c r="F32" s="10" t="s">
        <v>21</v>
      </c>
    </row>
    <row r="33" spans="2:6" ht="78" x14ac:dyDescent="0.25">
      <c r="B33" s="9" t="s">
        <v>324</v>
      </c>
      <c r="C33" s="9" t="s">
        <v>341</v>
      </c>
      <c r="D33" s="9" t="s">
        <v>407</v>
      </c>
      <c r="E33" s="10" t="s">
        <v>599</v>
      </c>
      <c r="F33" s="10" t="s">
        <v>21</v>
      </c>
    </row>
    <row r="34" spans="2:6" ht="58.5" x14ac:dyDescent="0.25">
      <c r="B34" s="9" t="s">
        <v>428</v>
      </c>
      <c r="C34" s="9" t="s">
        <v>12</v>
      </c>
      <c r="D34" s="9" t="s">
        <v>429</v>
      </c>
      <c r="E34" s="10" t="s">
        <v>609</v>
      </c>
      <c r="F34" s="10" t="s">
        <v>21</v>
      </c>
    </row>
    <row r="35" spans="2:6" ht="39" x14ac:dyDescent="0.25">
      <c r="B35" s="9" t="s">
        <v>430</v>
      </c>
      <c r="C35" s="9" t="s">
        <v>12</v>
      </c>
      <c r="D35" s="9" t="s">
        <v>431</v>
      </c>
      <c r="E35" s="10" t="s">
        <v>610</v>
      </c>
      <c r="F35" s="10" t="s">
        <v>622</v>
      </c>
    </row>
    <row r="36" spans="2:6" ht="58.5" x14ac:dyDescent="0.25">
      <c r="B36" s="9" t="s">
        <v>325</v>
      </c>
      <c r="C36" s="9" t="s">
        <v>341</v>
      </c>
      <c r="D36" s="9" t="s">
        <v>432</v>
      </c>
      <c r="E36" s="10" t="s">
        <v>611</v>
      </c>
      <c r="F36" s="10" t="s">
        <v>21</v>
      </c>
    </row>
    <row r="37" spans="2:6" ht="39" x14ac:dyDescent="0.25">
      <c r="B37" s="9" t="s">
        <v>433</v>
      </c>
      <c r="C37" s="9" t="s">
        <v>12</v>
      </c>
      <c r="D37" s="9" t="s">
        <v>434</v>
      </c>
      <c r="E37" s="10" t="s">
        <v>612</v>
      </c>
      <c r="F37" s="10" t="s">
        <v>622</v>
      </c>
    </row>
    <row r="38" spans="2:6" ht="156" x14ac:dyDescent="0.25">
      <c r="B38" s="9" t="s">
        <v>791</v>
      </c>
      <c r="C38" s="9" t="s">
        <v>12</v>
      </c>
      <c r="D38" s="9" t="s">
        <v>792</v>
      </c>
      <c r="E38" s="10" t="s">
        <v>793</v>
      </c>
      <c r="F38" s="10" t="s">
        <v>616</v>
      </c>
    </row>
    <row r="39" spans="2:6" ht="117" x14ac:dyDescent="0.25">
      <c r="B39" s="9" t="s">
        <v>371</v>
      </c>
      <c r="C39" s="9" t="s">
        <v>341</v>
      </c>
      <c r="D39" s="9" t="s">
        <v>372</v>
      </c>
      <c r="E39" s="10" t="s">
        <v>631</v>
      </c>
      <c r="F39" s="10" t="s">
        <v>616</v>
      </c>
    </row>
    <row r="40" spans="2:6" ht="156" x14ac:dyDescent="0.25">
      <c r="B40" s="9" t="s">
        <v>326</v>
      </c>
      <c r="C40" s="9" t="s">
        <v>341</v>
      </c>
      <c r="D40" s="9" t="s">
        <v>346</v>
      </c>
      <c r="E40" s="10" t="s">
        <v>579</v>
      </c>
      <c r="F40" s="10" t="s">
        <v>615</v>
      </c>
    </row>
    <row r="41" spans="2:6" ht="136.5" x14ac:dyDescent="0.25">
      <c r="B41" s="9" t="s">
        <v>327</v>
      </c>
      <c r="C41" s="9" t="s">
        <v>341</v>
      </c>
      <c r="D41" s="10" t="s">
        <v>347</v>
      </c>
      <c r="E41" s="10" t="s">
        <v>624</v>
      </c>
      <c r="F41" s="10" t="s">
        <v>615</v>
      </c>
    </row>
    <row r="42" spans="2:6" ht="234" x14ac:dyDescent="0.25">
      <c r="B42" s="9" t="s">
        <v>373</v>
      </c>
      <c r="C42" s="9" t="s">
        <v>12</v>
      </c>
      <c r="D42" s="9" t="s">
        <v>374</v>
      </c>
      <c r="E42" s="10" t="s">
        <v>632</v>
      </c>
      <c r="F42" s="10" t="s">
        <v>616</v>
      </c>
    </row>
    <row r="43" spans="2:6" ht="390" x14ac:dyDescent="0.25">
      <c r="B43" s="9" t="s">
        <v>353</v>
      </c>
      <c r="C43" s="10" t="s">
        <v>20</v>
      </c>
      <c r="D43" s="10" t="s">
        <v>354</v>
      </c>
      <c r="E43" s="10" t="s">
        <v>627</v>
      </c>
      <c r="F43" s="10" t="s">
        <v>21</v>
      </c>
    </row>
    <row r="44" spans="2:6" ht="234" x14ac:dyDescent="0.25">
      <c r="B44" s="9" t="s">
        <v>375</v>
      </c>
      <c r="C44" s="9" t="s">
        <v>341</v>
      </c>
      <c r="D44" s="9" t="s">
        <v>376</v>
      </c>
      <c r="E44" s="10" t="s">
        <v>589</v>
      </c>
      <c r="F44" s="10" t="s">
        <v>615</v>
      </c>
    </row>
    <row r="45" spans="2:6" ht="39" x14ac:dyDescent="0.25">
      <c r="B45" s="9" t="s">
        <v>60</v>
      </c>
      <c r="C45" s="9" t="s">
        <v>36</v>
      </c>
      <c r="D45" s="9" t="s">
        <v>46</v>
      </c>
      <c r="E45" s="10" t="s">
        <v>592</v>
      </c>
      <c r="F45" s="10" t="s">
        <v>21</v>
      </c>
    </row>
    <row r="46" spans="2:6" ht="97.5" x14ac:dyDescent="0.25">
      <c r="B46" s="9" t="s">
        <v>413</v>
      </c>
      <c r="C46" s="9" t="s">
        <v>341</v>
      </c>
      <c r="D46" s="9" t="s">
        <v>414</v>
      </c>
      <c r="E46" s="10" t="s">
        <v>602</v>
      </c>
      <c r="F46" s="10" t="s">
        <v>21</v>
      </c>
    </row>
    <row r="47" spans="2:6" ht="78" x14ac:dyDescent="0.25">
      <c r="B47" s="9" t="s">
        <v>328</v>
      </c>
      <c r="C47" s="9" t="s">
        <v>341</v>
      </c>
      <c r="D47" s="9" t="s">
        <v>794</v>
      </c>
      <c r="E47" s="10" t="s">
        <v>795</v>
      </c>
      <c r="F47" s="10" t="s">
        <v>21</v>
      </c>
    </row>
    <row r="48" spans="2:6" ht="195" x14ac:dyDescent="0.25">
      <c r="B48" s="9" t="s">
        <v>377</v>
      </c>
      <c r="C48" s="9" t="s">
        <v>341</v>
      </c>
      <c r="D48" s="9" t="s">
        <v>378</v>
      </c>
      <c r="E48" s="10" t="s">
        <v>633</v>
      </c>
      <c r="F48" s="10" t="s">
        <v>615</v>
      </c>
    </row>
    <row r="49" spans="2:6" ht="156" x14ac:dyDescent="0.25">
      <c r="B49" s="9" t="s">
        <v>379</v>
      </c>
      <c r="C49" s="9" t="s">
        <v>341</v>
      </c>
      <c r="D49" s="9" t="s">
        <v>380</v>
      </c>
      <c r="E49" s="10" t="s">
        <v>590</v>
      </c>
      <c r="F49" s="10" t="s">
        <v>615</v>
      </c>
    </row>
    <row r="50" spans="2:6" ht="175.5" x14ac:dyDescent="0.25">
      <c r="B50" s="9" t="s">
        <v>435</v>
      </c>
      <c r="C50" s="9" t="s">
        <v>341</v>
      </c>
      <c r="D50" s="9" t="s">
        <v>436</v>
      </c>
      <c r="E50" s="10" t="s">
        <v>649</v>
      </c>
      <c r="F50" s="10" t="s">
        <v>21</v>
      </c>
    </row>
    <row r="51" spans="2:6" ht="156" x14ac:dyDescent="0.25">
      <c r="B51" s="9" t="s">
        <v>329</v>
      </c>
      <c r="C51" s="9" t="s">
        <v>341</v>
      </c>
      <c r="D51" s="9" t="s">
        <v>381</v>
      </c>
      <c r="E51" s="10" t="s">
        <v>591</v>
      </c>
      <c r="F51" s="10" t="s">
        <v>617</v>
      </c>
    </row>
    <row r="52" spans="2:6" ht="409.5" x14ac:dyDescent="0.25">
      <c r="B52" s="9" t="s">
        <v>330</v>
      </c>
      <c r="C52" s="9" t="s">
        <v>341</v>
      </c>
      <c r="D52" s="9" t="s">
        <v>567</v>
      </c>
      <c r="E52" s="10" t="s">
        <v>634</v>
      </c>
      <c r="F52" s="10" t="s">
        <v>617</v>
      </c>
    </row>
    <row r="53" spans="2:6" ht="117" x14ac:dyDescent="0.25">
      <c r="B53" s="9" t="s">
        <v>437</v>
      </c>
      <c r="C53" s="9" t="s">
        <v>12</v>
      </c>
      <c r="D53" s="9" t="s">
        <v>438</v>
      </c>
      <c r="E53" s="10" t="s">
        <v>650</v>
      </c>
      <c r="F53" s="10" t="s">
        <v>623</v>
      </c>
    </row>
    <row r="54" spans="2:6" x14ac:dyDescent="0.25">
      <c r="B54" s="9" t="s">
        <v>400</v>
      </c>
      <c r="C54" s="9" t="s">
        <v>20</v>
      </c>
      <c r="D54" s="9" t="s">
        <v>401</v>
      </c>
      <c r="E54" s="9" t="s">
        <v>643</v>
      </c>
      <c r="F54" s="10" t="s">
        <v>615</v>
      </c>
    </row>
    <row r="55" spans="2:6" ht="234" x14ac:dyDescent="0.25">
      <c r="B55" s="9" t="s">
        <v>331</v>
      </c>
      <c r="C55" s="9" t="s">
        <v>341</v>
      </c>
      <c r="D55" s="9" t="s">
        <v>382</v>
      </c>
      <c r="E55" s="10" t="s">
        <v>635</v>
      </c>
      <c r="F55" s="10" t="s">
        <v>615</v>
      </c>
    </row>
    <row r="56" spans="2:6" ht="253.5" x14ac:dyDescent="0.25">
      <c r="B56" s="9" t="s">
        <v>332</v>
      </c>
      <c r="C56" s="9" t="s">
        <v>341</v>
      </c>
      <c r="D56" s="9" t="s">
        <v>383</v>
      </c>
      <c r="E56" s="10" t="s">
        <v>636</v>
      </c>
      <c r="F56" s="10" t="s">
        <v>21</v>
      </c>
    </row>
    <row r="57" spans="2:6" ht="58.5" x14ac:dyDescent="0.25">
      <c r="B57" s="9" t="s">
        <v>385</v>
      </c>
      <c r="C57" s="9" t="s">
        <v>12</v>
      </c>
      <c r="D57" s="9" t="s">
        <v>386</v>
      </c>
      <c r="E57" s="10" t="s">
        <v>638</v>
      </c>
      <c r="F57" s="10" t="s">
        <v>618</v>
      </c>
    </row>
    <row r="58" spans="2:6" ht="78" x14ac:dyDescent="0.25">
      <c r="B58" s="9" t="s">
        <v>710</v>
      </c>
      <c r="C58" s="9" t="s">
        <v>12</v>
      </c>
      <c r="D58" s="9" t="s">
        <v>711</v>
      </c>
      <c r="E58" s="10" t="s">
        <v>712</v>
      </c>
      <c r="F58" s="10" t="s">
        <v>713</v>
      </c>
    </row>
    <row r="59" spans="2:6" ht="175.5" x14ac:dyDescent="0.25">
      <c r="B59" s="9" t="s">
        <v>348</v>
      </c>
      <c r="C59" s="10" t="s">
        <v>349</v>
      </c>
      <c r="D59" s="10" t="s">
        <v>565</v>
      </c>
      <c r="E59" s="10" t="s">
        <v>625</v>
      </c>
      <c r="F59" s="10" t="s">
        <v>21</v>
      </c>
    </row>
    <row r="60" spans="2:6" ht="39" x14ac:dyDescent="0.25">
      <c r="B60" s="9" t="s">
        <v>415</v>
      </c>
      <c r="C60" s="9" t="s">
        <v>341</v>
      </c>
      <c r="D60" s="9" t="s">
        <v>416</v>
      </c>
      <c r="E60" s="10" t="s">
        <v>603</v>
      </c>
      <c r="F60" s="10" t="s">
        <v>21</v>
      </c>
    </row>
    <row r="61" spans="2:6" ht="156" x14ac:dyDescent="0.25">
      <c r="B61" s="9" t="s">
        <v>417</v>
      </c>
      <c r="C61" s="9" t="s">
        <v>366</v>
      </c>
      <c r="D61" s="9" t="s">
        <v>418</v>
      </c>
      <c r="E61" s="10" t="s">
        <v>604</v>
      </c>
      <c r="F61" s="10" t="s">
        <v>620</v>
      </c>
    </row>
    <row r="62" spans="2:6" ht="78" x14ac:dyDescent="0.25">
      <c r="B62" s="9" t="s">
        <v>424</v>
      </c>
      <c r="C62" s="9" t="s">
        <v>575</v>
      </c>
      <c r="D62" s="9" t="s">
        <v>425</v>
      </c>
      <c r="E62" s="10" t="s">
        <v>608</v>
      </c>
      <c r="F62" s="10" t="s">
        <v>21</v>
      </c>
    </row>
    <row r="63" spans="2:6" ht="39" x14ac:dyDescent="0.25">
      <c r="B63" s="9" t="s">
        <v>408</v>
      </c>
      <c r="C63" s="9" t="s">
        <v>341</v>
      </c>
      <c r="D63" s="9" t="s">
        <v>409</v>
      </c>
      <c r="E63" s="9" t="s">
        <v>600</v>
      </c>
      <c r="F63" s="10" t="s">
        <v>621</v>
      </c>
    </row>
    <row r="64" spans="2:6" ht="195" x14ac:dyDescent="0.25">
      <c r="B64" s="9" t="s">
        <v>333</v>
      </c>
      <c r="C64" s="9" t="s">
        <v>341</v>
      </c>
      <c r="D64" s="9" t="s">
        <v>384</v>
      </c>
      <c r="E64" s="10" t="s">
        <v>637</v>
      </c>
      <c r="F64" s="10" t="s">
        <v>617</v>
      </c>
    </row>
    <row r="65" spans="2:6" ht="97.5" x14ac:dyDescent="0.25">
      <c r="B65" s="9" t="s">
        <v>439</v>
      </c>
      <c r="C65" s="9" t="s">
        <v>341</v>
      </c>
      <c r="D65" s="9" t="s">
        <v>440</v>
      </c>
      <c r="E65" s="10" t="s">
        <v>613</v>
      </c>
      <c r="F65" s="10" t="s">
        <v>21</v>
      </c>
    </row>
    <row r="66" spans="2:6" ht="97.5" x14ac:dyDescent="0.25">
      <c r="B66" s="9" t="s">
        <v>334</v>
      </c>
      <c r="C66" s="10" t="s">
        <v>341</v>
      </c>
      <c r="D66" s="10" t="s">
        <v>350</v>
      </c>
      <c r="E66" s="10" t="s">
        <v>580</v>
      </c>
      <c r="F66" s="10" t="s">
        <v>615</v>
      </c>
    </row>
    <row r="67" spans="2:6" x14ac:dyDescent="0.25">
      <c r="B67" s="9" t="s">
        <v>335</v>
      </c>
      <c r="C67" s="9" t="s">
        <v>341</v>
      </c>
      <c r="D67" s="9" t="s">
        <v>410</v>
      </c>
      <c r="E67" s="9" t="s">
        <v>601</v>
      </c>
      <c r="F67" s="10" t="s">
        <v>21</v>
      </c>
    </row>
    <row r="68" spans="2:6" ht="39" x14ac:dyDescent="0.25">
      <c r="B68" s="9" t="s">
        <v>351</v>
      </c>
      <c r="C68" s="10" t="s">
        <v>341</v>
      </c>
      <c r="D68" s="10" t="s">
        <v>352</v>
      </c>
      <c r="E68" s="10" t="s">
        <v>626</v>
      </c>
      <c r="F68" s="10" t="s">
        <v>21</v>
      </c>
    </row>
    <row r="69" spans="2:6" ht="156" x14ac:dyDescent="0.25">
      <c r="B69" s="9" t="s">
        <v>745</v>
      </c>
      <c r="C69" s="9" t="s">
        <v>12</v>
      </c>
      <c r="D69" s="9" t="s">
        <v>746</v>
      </c>
      <c r="E69" s="10" t="s">
        <v>747</v>
      </c>
      <c r="F69" s="10" t="s">
        <v>21</v>
      </c>
    </row>
    <row r="70" spans="2:6" ht="156" x14ac:dyDescent="0.25">
      <c r="B70" s="9" t="s">
        <v>336</v>
      </c>
      <c r="C70" s="9" t="s">
        <v>341</v>
      </c>
      <c r="D70" s="9" t="s">
        <v>441</v>
      </c>
      <c r="E70" s="10" t="s">
        <v>651</v>
      </c>
      <c r="F70" s="10" t="s">
        <v>21</v>
      </c>
    </row>
    <row r="71" spans="2:6" ht="136.5" x14ac:dyDescent="0.25">
      <c r="B71" s="9" t="s">
        <v>337</v>
      </c>
      <c r="C71" s="10" t="s">
        <v>341</v>
      </c>
      <c r="D71" s="10" t="s">
        <v>355</v>
      </c>
      <c r="E71" s="10" t="s">
        <v>581</v>
      </c>
      <c r="F71" s="10" t="s">
        <v>615</v>
      </c>
    </row>
    <row r="72" spans="2:6" ht="117" x14ac:dyDescent="0.25">
      <c r="B72" s="9" t="s">
        <v>338</v>
      </c>
      <c r="C72" s="9" t="s">
        <v>341</v>
      </c>
      <c r="D72" s="9" t="s">
        <v>442</v>
      </c>
      <c r="E72" s="10" t="s">
        <v>614</v>
      </c>
      <c r="F72" s="10" t="s">
        <v>21</v>
      </c>
    </row>
    <row r="73" spans="2:6" ht="214.5" x14ac:dyDescent="0.25">
      <c r="B73" s="9" t="s">
        <v>387</v>
      </c>
      <c r="C73" s="9" t="s">
        <v>12</v>
      </c>
      <c r="D73" s="10" t="s">
        <v>388</v>
      </c>
      <c r="E73" s="10" t="s">
        <v>593</v>
      </c>
      <c r="F73" s="10" t="s">
        <v>619</v>
      </c>
    </row>
    <row r="74" spans="2:6" ht="78" x14ac:dyDescent="0.25">
      <c r="B74" s="9" t="s">
        <v>419</v>
      </c>
      <c r="C74" s="9" t="s">
        <v>341</v>
      </c>
      <c r="D74" s="9" t="s">
        <v>420</v>
      </c>
      <c r="E74" s="10" t="s">
        <v>605</v>
      </c>
      <c r="F74" s="10" t="s">
        <v>21</v>
      </c>
    </row>
    <row r="75" spans="2:6" ht="97.5" x14ac:dyDescent="0.25">
      <c r="B75" s="9" t="s">
        <v>421</v>
      </c>
      <c r="C75" s="9" t="s">
        <v>341</v>
      </c>
      <c r="D75" s="9" t="s">
        <v>422</v>
      </c>
      <c r="E75" s="10" t="s">
        <v>606</v>
      </c>
      <c r="F75" s="10" t="s">
        <v>21</v>
      </c>
    </row>
    <row r="76" spans="2:6" ht="97.5" x14ac:dyDescent="0.25">
      <c r="B76" s="9" t="s">
        <v>339</v>
      </c>
      <c r="C76" s="9" t="s">
        <v>341</v>
      </c>
      <c r="D76" s="9" t="s">
        <v>356</v>
      </c>
      <c r="E76" s="10" t="s">
        <v>582</v>
      </c>
      <c r="F76" s="10" t="s">
        <v>21</v>
      </c>
    </row>
    <row r="77" spans="2:6" ht="58.5" x14ac:dyDescent="0.25">
      <c r="B77" s="9" t="s">
        <v>357</v>
      </c>
      <c r="C77" s="9" t="s">
        <v>358</v>
      </c>
      <c r="D77" s="9" t="s">
        <v>359</v>
      </c>
      <c r="E77" s="10" t="s">
        <v>583</v>
      </c>
      <c r="F77" s="10" t="s">
        <v>21</v>
      </c>
    </row>
    <row r="78" spans="2:6" ht="78" x14ac:dyDescent="0.25">
      <c r="B78" s="9" t="s">
        <v>714</v>
      </c>
      <c r="C78" s="9" t="s">
        <v>12</v>
      </c>
      <c r="D78" s="9" t="s">
        <v>715</v>
      </c>
      <c r="E78" s="10" t="s">
        <v>716</v>
      </c>
      <c r="F78" s="10" t="s">
        <v>713</v>
      </c>
    </row>
    <row r="79" spans="2:6" ht="78" x14ac:dyDescent="0.25">
      <c r="B79" s="9" t="s">
        <v>340</v>
      </c>
      <c r="C79" s="9" t="s">
        <v>341</v>
      </c>
      <c r="D79" s="10" t="s">
        <v>360</v>
      </c>
      <c r="E79" s="10" t="s">
        <v>584</v>
      </c>
      <c r="F79" s="10" t="s">
        <v>21</v>
      </c>
    </row>
    <row r="80" spans="2:6" ht="97.5" x14ac:dyDescent="0.25">
      <c r="B80" s="9" t="s">
        <v>391</v>
      </c>
      <c r="C80" s="9" t="s">
        <v>7</v>
      </c>
      <c r="D80" s="9" t="s">
        <v>392</v>
      </c>
      <c r="E80" s="10" t="s">
        <v>640</v>
      </c>
      <c r="F80" s="10" t="s">
        <v>21</v>
      </c>
    </row>
    <row r="81" spans="2:6" ht="78" x14ac:dyDescent="0.25">
      <c r="B81" s="9" t="s">
        <v>393</v>
      </c>
      <c r="C81" s="9" t="s">
        <v>7</v>
      </c>
      <c r="D81" s="9" t="s">
        <v>394</v>
      </c>
      <c r="E81" s="10" t="s">
        <v>596</v>
      </c>
      <c r="F81" s="10" t="s">
        <v>21</v>
      </c>
    </row>
    <row r="82" spans="2:6" ht="195" x14ac:dyDescent="0.25">
      <c r="B82" s="9" t="s">
        <v>47</v>
      </c>
      <c r="C82" s="9" t="s">
        <v>389</v>
      </c>
      <c r="D82" s="9" t="s">
        <v>390</v>
      </c>
      <c r="E82" s="10" t="s">
        <v>639</v>
      </c>
      <c r="F82" s="10" t="s">
        <v>21</v>
      </c>
    </row>
    <row r="83" spans="2:6" ht="58.5" x14ac:dyDescent="0.25">
      <c r="B83" s="9" t="s">
        <v>361</v>
      </c>
      <c r="C83" s="9" t="s">
        <v>20</v>
      </c>
      <c r="D83" s="9" t="s">
        <v>362</v>
      </c>
      <c r="E83" s="10" t="s">
        <v>585</v>
      </c>
      <c r="F83" s="10" t="s">
        <v>10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DA231-954B-43F5-B79A-6C76887D1694}">
  <sheetPr codeName="shtSetupSettings"/>
  <dimension ref="B1:AA31"/>
  <sheetViews>
    <sheetView showGridLines="0" workbookViewId="0"/>
  </sheetViews>
  <sheetFormatPr defaultRowHeight="19.5" x14ac:dyDescent="0.25"/>
  <cols>
    <col min="1" max="1" width="1.69140625" customWidth="1"/>
    <col min="2" max="2" width="24.69140625" customWidth="1"/>
    <col min="3" max="3" width="22.4609375" bestFit="1" customWidth="1"/>
    <col min="4" max="4" width="3.07421875" customWidth="1"/>
    <col min="5" max="5" width="10.3828125" customWidth="1"/>
    <col min="6" max="6" width="13.69140625" customWidth="1"/>
    <col min="7" max="7" width="8.15234375" customWidth="1"/>
    <col min="8" max="8" width="1.921875" customWidth="1"/>
    <col min="9" max="9" width="10.3828125" customWidth="1"/>
    <col min="10" max="10" width="18.4609375" customWidth="1"/>
    <col min="12" max="15" width="0" hidden="1" customWidth="1"/>
    <col min="26" max="27" width="0" hidden="1" customWidth="1"/>
  </cols>
  <sheetData>
    <row r="1" spans="2:27" ht="19.5" customHeight="1" x14ac:dyDescent="0.25">
      <c r="AA1" t="s">
        <v>0</v>
      </c>
    </row>
    <row r="2" spans="2:27" ht="19.5" customHeight="1" x14ac:dyDescent="0.25">
      <c r="AA2" t="s">
        <v>691</v>
      </c>
    </row>
    <row r="3" spans="2:27" ht="19.5" customHeight="1" x14ac:dyDescent="0.25"/>
    <row r="4" spans="2:27" ht="19.5" customHeight="1" x14ac:dyDescent="0.25"/>
    <row r="5" spans="2:27" ht="21" customHeight="1" thickBot="1" x14ac:dyDescent="0.35">
      <c r="B5" s="11" t="s">
        <v>667</v>
      </c>
      <c r="C5" s="11"/>
      <c r="D5" s="11"/>
      <c r="E5" s="11"/>
      <c r="F5" s="11"/>
      <c r="G5" s="11"/>
      <c r="H5" s="11"/>
      <c r="I5" s="11"/>
      <c r="J5" s="11"/>
      <c r="K5" s="11"/>
      <c r="L5" s="4"/>
      <c r="M5" s="4"/>
    </row>
    <row r="6" spans="2:27" ht="20.25" customHeight="1" thickTop="1" x14ac:dyDescent="0.25">
      <c r="B6" s="12" t="s">
        <v>733</v>
      </c>
      <c r="C6" s="12"/>
      <c r="D6" s="12"/>
      <c r="E6" s="12"/>
      <c r="F6" s="12"/>
      <c r="G6" s="12"/>
      <c r="H6" s="12"/>
      <c r="I6" s="12"/>
      <c r="J6" s="12"/>
      <c r="K6" s="12"/>
      <c r="L6" s="6"/>
      <c r="M6" s="6"/>
    </row>
    <row r="7" spans="2:27" ht="39" customHeight="1" x14ac:dyDescent="0.25">
      <c r="B7" s="13" t="s">
        <v>734</v>
      </c>
      <c r="C7" s="12"/>
      <c r="D7" s="12"/>
      <c r="E7" s="12"/>
      <c r="F7" s="12"/>
      <c r="G7" s="12"/>
      <c r="H7" s="12"/>
      <c r="I7" s="12"/>
      <c r="J7" s="12"/>
      <c r="K7" s="12"/>
      <c r="L7" s="6"/>
      <c r="M7" s="6"/>
    </row>
    <row r="8" spans="2:27" ht="19.5" customHeight="1" x14ac:dyDescent="0.25"/>
    <row r="9" spans="2:27" ht="19.5" customHeight="1" x14ac:dyDescent="0.25"/>
    <row r="10" spans="2:27" ht="19.5" customHeight="1" x14ac:dyDescent="0.25">
      <c r="C10" t="s">
        <v>668</v>
      </c>
      <c r="E10" t="s">
        <v>669</v>
      </c>
    </row>
    <row r="11" spans="2:27" ht="19.5" customHeight="1" x14ac:dyDescent="0.25">
      <c r="B11" s="16" t="s">
        <v>670</v>
      </c>
      <c r="C11" s="21" t="b">
        <v>1</v>
      </c>
      <c r="E11" s="19" t="s">
        <v>671</v>
      </c>
    </row>
    <row r="12" spans="2:27" ht="19.5" customHeight="1" x14ac:dyDescent="0.25">
      <c r="B12" s="16" t="s">
        <v>672</v>
      </c>
      <c r="C12" s="21" t="b">
        <v>1</v>
      </c>
      <c r="E12" s="19" t="s">
        <v>673</v>
      </c>
    </row>
    <row r="13" spans="2:27" ht="19.5" customHeight="1" x14ac:dyDescent="0.25">
      <c r="B13" s="16" t="s">
        <v>674</v>
      </c>
      <c r="C13" s="21" t="b">
        <v>1</v>
      </c>
      <c r="E13" s="19" t="s">
        <v>675</v>
      </c>
    </row>
    <row r="14" spans="2:27" ht="19.5" customHeight="1" x14ac:dyDescent="0.25">
      <c r="B14" s="16" t="s">
        <v>676</v>
      </c>
      <c r="C14" s="21" t="b">
        <v>1</v>
      </c>
      <c r="E14" s="19" t="s">
        <v>702</v>
      </c>
    </row>
    <row r="15" spans="2:27" ht="19.5" customHeight="1" x14ac:dyDescent="0.25">
      <c r="B15" s="16" t="s">
        <v>677</v>
      </c>
      <c r="C15" s="21" t="b">
        <v>1</v>
      </c>
      <c r="E15" s="19" t="s">
        <v>678</v>
      </c>
    </row>
    <row r="16" spans="2:27" ht="19.5" customHeight="1" x14ac:dyDescent="0.25">
      <c r="B16" s="16" t="s">
        <v>679</v>
      </c>
      <c r="C16" s="21" t="b">
        <v>1</v>
      </c>
      <c r="E16" s="19" t="s">
        <v>680</v>
      </c>
    </row>
    <row r="17" spans="2:9" ht="19.5" customHeight="1" x14ac:dyDescent="0.25">
      <c r="B17" s="16" t="s">
        <v>681</v>
      </c>
      <c r="C17" s="21" t="b">
        <v>1</v>
      </c>
      <c r="E17" s="19" t="s">
        <v>682</v>
      </c>
    </row>
    <row r="18" spans="2:9" ht="19.5" customHeight="1" x14ac:dyDescent="0.25">
      <c r="B18" s="16" t="s">
        <v>683</v>
      </c>
      <c r="C18" s="21" t="b">
        <v>1</v>
      </c>
      <c r="E18" s="19" t="s">
        <v>684</v>
      </c>
    </row>
    <row r="19" spans="2:9" ht="19.5" customHeight="1" x14ac:dyDescent="0.25">
      <c r="B19" s="16" t="s">
        <v>685</v>
      </c>
      <c r="C19" s="20" t="s">
        <v>0</v>
      </c>
      <c r="E19" s="19" t="s">
        <v>686</v>
      </c>
    </row>
    <row r="20" spans="2:9" ht="19.5" customHeight="1" x14ac:dyDescent="0.25"/>
    <row r="21" spans="2:9" ht="19.5" customHeight="1" x14ac:dyDescent="0.25">
      <c r="B21" t="s">
        <v>818</v>
      </c>
    </row>
    <row r="22" spans="2:9" ht="19.5" customHeight="1" x14ac:dyDescent="0.25">
      <c r="B22" s="16" t="s">
        <v>688</v>
      </c>
      <c r="C22" s="17" t="s">
        <v>814</v>
      </c>
      <c r="E22" s="19" t="s">
        <v>689</v>
      </c>
    </row>
    <row r="23" spans="2:9" ht="19.5" customHeight="1" x14ac:dyDescent="0.25">
      <c r="B23" s="16" t="s">
        <v>690</v>
      </c>
      <c r="C23" s="31" t="s">
        <v>815</v>
      </c>
      <c r="D23" s="31"/>
      <c r="E23" s="31"/>
      <c r="F23" s="31"/>
      <c r="G23" s="31"/>
      <c r="H23" s="31"/>
      <c r="I23" s="31"/>
    </row>
    <row r="24" spans="2:9" ht="19.5" customHeight="1" x14ac:dyDescent="0.25">
      <c r="B24" s="16" t="s">
        <v>816</v>
      </c>
      <c r="C24" s="17" t="s">
        <v>814</v>
      </c>
      <c r="E24" s="19" t="s">
        <v>817</v>
      </c>
    </row>
    <row r="25" spans="2:9" ht="19.5" customHeight="1" x14ac:dyDescent="0.25">
      <c r="B25" s="16" t="s">
        <v>690</v>
      </c>
      <c r="C25" s="31" t="s">
        <v>821</v>
      </c>
      <c r="D25" s="31"/>
      <c r="E25" s="31"/>
      <c r="F25" s="31"/>
      <c r="G25" s="31"/>
      <c r="H25" s="31"/>
      <c r="I25" s="31"/>
    </row>
    <row r="26" spans="2:9" ht="19.5" customHeight="1" x14ac:dyDescent="0.25"/>
    <row r="27" spans="2:9" x14ac:dyDescent="0.25">
      <c r="B27" t="s">
        <v>822</v>
      </c>
      <c r="E27" s="30" t="s">
        <v>823</v>
      </c>
    </row>
    <row r="28" spans="2:9" ht="19.5" customHeight="1" x14ac:dyDescent="0.25">
      <c r="B28" s="16" t="s">
        <v>735</v>
      </c>
      <c r="C28" s="22" t="b">
        <v>0</v>
      </c>
      <c r="E28" s="19" t="s">
        <v>736</v>
      </c>
    </row>
    <row r="29" spans="2:9" ht="19.5" customHeight="1" x14ac:dyDescent="0.25">
      <c r="B29" s="16" t="s">
        <v>687</v>
      </c>
      <c r="C29" s="22" t="b">
        <v>0</v>
      </c>
      <c r="E29" s="19" t="s">
        <v>737</v>
      </c>
    </row>
    <row r="30" spans="2:9" ht="19.5" customHeight="1" x14ac:dyDescent="0.25">
      <c r="B30" s="16" t="s">
        <v>738</v>
      </c>
      <c r="C30" s="22" t="b">
        <v>0</v>
      </c>
      <c r="E30" s="19" t="s">
        <v>739</v>
      </c>
    </row>
    <row r="31" spans="2:9" ht="19.5" customHeight="1" x14ac:dyDescent="0.25">
      <c r="B31" s="16" t="s">
        <v>819</v>
      </c>
      <c r="C31" s="22" t="b">
        <v>0</v>
      </c>
      <c r="E31" s="19" t="s">
        <v>820</v>
      </c>
    </row>
  </sheetData>
  <mergeCells count="2">
    <mergeCell ref="C23:I23"/>
    <mergeCell ref="C25:I25"/>
  </mergeCells>
  <dataValidations count="1">
    <dataValidation type="list" showInputMessage="1" sqref="C19" xr:uid="{9BAB0F58-0680-45D7-ABE4-EAD4585E63A9}">
      <formula1>$AA$1:$AA$2</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CD3A34-71C7-4DC2-9014-0F23075467A6}">
  <sheetPr codeName="Sheet3"/>
  <dimension ref="B5:O216"/>
  <sheetViews>
    <sheetView showGridLines="0" workbookViewId="0">
      <pane ySplit="5" topLeftCell="A6" activePane="bottomLeft" state="frozenSplit"/>
      <selection pane="bottomLeft" activeCell="A6" sqref="A6"/>
    </sheetView>
  </sheetViews>
  <sheetFormatPr defaultRowHeight="19.5" x14ac:dyDescent="0.25"/>
  <cols>
    <col min="1" max="1" width="1.69140625" customWidth="1"/>
    <col min="2" max="2" width="20" bestFit="1" customWidth="1"/>
    <col min="3" max="3" width="19.3828125" bestFit="1" customWidth="1"/>
    <col min="4" max="4" width="3.07421875" customWidth="1"/>
    <col min="5" max="5" width="16.4609375" bestFit="1" customWidth="1"/>
    <col min="6" max="6" width="13.69140625" bestFit="1" customWidth="1"/>
    <col min="7" max="7" width="8.15234375" bestFit="1" customWidth="1"/>
    <col min="8" max="8" width="1.921875" customWidth="1"/>
    <col min="9" max="9" width="10.3828125" bestFit="1" customWidth="1"/>
    <col min="10" max="10" width="18.4609375" bestFit="1" customWidth="1"/>
    <col min="12" max="12" width="5.765625" hidden="1" customWidth="1"/>
    <col min="13" max="13" width="26.15234375" hidden="1" customWidth="1"/>
    <col min="14" max="14" width="0" hidden="1" customWidth="1"/>
    <col min="15" max="15" width="8.921875" hidden="1" customWidth="1"/>
  </cols>
  <sheetData>
    <row r="5" spans="2:15" ht="21" thickBot="1" x14ac:dyDescent="0.35">
      <c r="B5" s="11" t="s">
        <v>812</v>
      </c>
      <c r="C5" s="11"/>
      <c r="D5" s="11"/>
      <c r="E5" s="11"/>
      <c r="F5" s="11"/>
      <c r="G5" s="11"/>
      <c r="H5" s="11"/>
      <c r="I5" s="11"/>
      <c r="J5" s="11"/>
      <c r="K5" s="11"/>
      <c r="L5" s="4"/>
      <c r="M5" s="4"/>
    </row>
    <row r="6" spans="2:15" ht="20.25" thickTop="1" x14ac:dyDescent="0.25">
      <c r="B6" s="12" t="s">
        <v>292</v>
      </c>
      <c r="C6" s="12"/>
      <c r="D6" s="12"/>
      <c r="E6" s="12"/>
      <c r="F6" s="12"/>
      <c r="G6" s="12"/>
      <c r="H6" s="12"/>
      <c r="I6" s="12"/>
      <c r="J6" s="12"/>
      <c r="K6" s="12"/>
      <c r="L6" s="6"/>
      <c r="M6" s="6"/>
    </row>
    <row r="7" spans="2:15" ht="39" x14ac:dyDescent="0.25">
      <c r="B7" s="13" t="s">
        <v>294</v>
      </c>
      <c r="C7" s="12"/>
      <c r="D7" s="12"/>
      <c r="E7" s="12"/>
      <c r="F7" s="12"/>
      <c r="G7" s="12"/>
      <c r="H7" s="12"/>
      <c r="I7" s="12"/>
      <c r="J7" s="12"/>
      <c r="K7" s="12"/>
      <c r="L7" s="6"/>
      <c r="M7" s="6"/>
    </row>
    <row r="9" spans="2:15" x14ac:dyDescent="0.25">
      <c r="F9" s="14" t="s">
        <v>296</v>
      </c>
      <c r="G9" s="15"/>
    </row>
    <row r="10" spans="2:15" x14ac:dyDescent="0.25">
      <c r="C10" t="s">
        <v>295</v>
      </c>
      <c r="E10" t="s">
        <v>84</v>
      </c>
      <c r="F10" t="s">
        <v>31</v>
      </c>
      <c r="G10" t="s">
        <v>29</v>
      </c>
      <c r="I10" t="s">
        <v>30</v>
      </c>
      <c r="L10" t="s">
        <v>291</v>
      </c>
      <c r="M10" t="s">
        <v>28</v>
      </c>
      <c r="O10" t="str" cm="1">
        <f t="array" ref="O10:O215">_xlfn.UNIQUE(Languages[Language])</f>
        <v>Amharic</v>
      </c>
    </row>
    <row r="11" spans="2:15" x14ac:dyDescent="0.25">
      <c r="B11" s="16" t="s">
        <v>24</v>
      </c>
      <c r="C11" s="1" t="b">
        <v>0</v>
      </c>
      <c r="E11" s="17" t="b">
        <v>1</v>
      </c>
      <c r="F11" s="15" t="b">
        <v>1</v>
      </c>
      <c r="G11" s="15" t="b">
        <v>0</v>
      </c>
      <c r="L11">
        <v>1118</v>
      </c>
      <c r="M11" t="s">
        <v>88</v>
      </c>
      <c r="O11" t="str">
        <v>Afrikaans</v>
      </c>
    </row>
    <row r="12" spans="2:15" x14ac:dyDescent="0.25">
      <c r="B12" s="16" t="s">
        <v>22</v>
      </c>
      <c r="C12" s="1" t="s">
        <v>26</v>
      </c>
      <c r="E12" s="17" t="s">
        <v>26</v>
      </c>
      <c r="F12" s="15" t="s">
        <v>26</v>
      </c>
      <c r="G12" s="15" t="s">
        <v>27</v>
      </c>
      <c r="I12" s="2">
        <f>SUM(1000,0.23)</f>
        <v>1000.23</v>
      </c>
      <c r="J12" t="str">
        <f ca="1">_xlfn.FORMULATEXT(I12)</f>
        <v>=SUM(1000,0.23)</v>
      </c>
      <c r="L12">
        <v>54</v>
      </c>
      <c r="M12" t="s">
        <v>29</v>
      </c>
      <c r="O12" t="str">
        <v>Albanian</v>
      </c>
    </row>
    <row r="13" spans="2:15" x14ac:dyDescent="0.25">
      <c r="B13" s="16" t="s">
        <v>23</v>
      </c>
      <c r="C13" s="1" t="s">
        <v>27</v>
      </c>
      <c r="E13" s="17" t="s">
        <v>27</v>
      </c>
      <c r="F13" s="15" t="s">
        <v>27</v>
      </c>
      <c r="G13" s="15" t="s">
        <v>16</v>
      </c>
      <c r="I13" s="2">
        <v>1000.23</v>
      </c>
      <c r="L13">
        <v>1052</v>
      </c>
      <c r="M13" t="s">
        <v>86</v>
      </c>
      <c r="O13" t="str">
        <v>Alsatian</v>
      </c>
    </row>
    <row r="14" spans="2:15" x14ac:dyDescent="0.25">
      <c r="B14" s="16" t="s">
        <v>25</v>
      </c>
      <c r="C14" s="18" t="str">
        <f>IF(Decimal_Separator=",",";",",")</f>
        <v>,</v>
      </c>
      <c r="E14" s="18" t="str">
        <f>IF(Loaded_Decimal_Separator=",",";",",")</f>
        <v>,</v>
      </c>
      <c r="F14" s="18" t="str">
        <f>IF(F12=",",";",",")</f>
        <v>,</v>
      </c>
      <c r="G14" s="18" t="str">
        <f>IF(G12=",",";",",")</f>
        <v>;</v>
      </c>
      <c r="I14" t="str">
        <f>_xlfn.CONCAT(E12,E13,E14,E11)</f>
        <v>.,,TRUE</v>
      </c>
      <c r="J14" t="str">
        <f ca="1">_xlfn.FORMULATEXT(I14)</f>
        <v>=CONCAT(E12,E13,E14,E11)</v>
      </c>
      <c r="L14">
        <v>1156</v>
      </c>
      <c r="M14" t="s">
        <v>87</v>
      </c>
      <c r="O14" t="str">
        <v>Arabic (Algeria)</v>
      </c>
    </row>
    <row r="15" spans="2:15" x14ac:dyDescent="0.25">
      <c r="B15" s="16" t="s">
        <v>28</v>
      </c>
      <c r="E15" s="18" t="str">
        <f>_xlfn.XLOOKUP(Loaded_Language_ID,Languages[ID],Languages[Language],"Unknown",0)</f>
        <v>English (United States)</v>
      </c>
      <c r="I15" s="19" t="s">
        <v>293</v>
      </c>
      <c r="L15">
        <v>5121</v>
      </c>
      <c r="M15" t="s">
        <v>89</v>
      </c>
      <c r="O15" t="str">
        <v>Arabic (Bahrain)</v>
      </c>
    </row>
    <row r="16" spans="2:15" x14ac:dyDescent="0.25">
      <c r="B16" s="16" t="s">
        <v>85</v>
      </c>
      <c r="E16" s="17">
        <v>1033</v>
      </c>
      <c r="I16" s="19" t="s">
        <v>293</v>
      </c>
      <c r="L16">
        <v>15361</v>
      </c>
      <c r="M16" t="s">
        <v>90</v>
      </c>
      <c r="O16" t="str">
        <v>Arabic (Egypt)</v>
      </c>
    </row>
    <row r="17" spans="12:15" x14ac:dyDescent="0.25">
      <c r="L17">
        <v>3073</v>
      </c>
      <c r="M17" t="s">
        <v>91</v>
      </c>
      <c r="O17" t="str">
        <v>Arabic (Iraq)</v>
      </c>
    </row>
    <row r="18" spans="12:15" x14ac:dyDescent="0.25">
      <c r="L18">
        <v>2049</v>
      </c>
      <c r="M18" t="s">
        <v>92</v>
      </c>
      <c r="O18" t="str">
        <v>Arabic (Jordan)</v>
      </c>
    </row>
    <row r="19" spans="12:15" x14ac:dyDescent="0.25">
      <c r="L19">
        <v>11265</v>
      </c>
      <c r="M19" t="s">
        <v>93</v>
      </c>
      <c r="O19" t="str">
        <v>Arabic (Kuwait)</v>
      </c>
    </row>
    <row r="20" spans="12:15" x14ac:dyDescent="0.25">
      <c r="L20">
        <v>13313</v>
      </c>
      <c r="M20" t="s">
        <v>94</v>
      </c>
      <c r="O20" t="str">
        <v>Arabic (Lebanon)</v>
      </c>
    </row>
    <row r="21" spans="12:15" x14ac:dyDescent="0.25">
      <c r="L21">
        <v>12289</v>
      </c>
      <c r="M21" t="s">
        <v>95</v>
      </c>
      <c r="O21" t="str">
        <v>Arabic (Libya)</v>
      </c>
    </row>
    <row r="22" spans="12:15" x14ac:dyDescent="0.25">
      <c r="L22">
        <v>4097</v>
      </c>
      <c r="M22" t="s">
        <v>96</v>
      </c>
      <c r="O22" t="str">
        <v>Arabic (Morocco)</v>
      </c>
    </row>
    <row r="23" spans="12:15" x14ac:dyDescent="0.25">
      <c r="L23">
        <v>6145</v>
      </c>
      <c r="M23" t="s">
        <v>97</v>
      </c>
      <c r="O23" t="str">
        <v>Arabic (Oman)</v>
      </c>
    </row>
    <row r="24" spans="12:15" x14ac:dyDescent="0.25">
      <c r="L24">
        <v>8193</v>
      </c>
      <c r="M24" t="s">
        <v>98</v>
      </c>
      <c r="O24" t="str">
        <v>Arabic (Qatar)</v>
      </c>
    </row>
    <row r="25" spans="12:15" x14ac:dyDescent="0.25">
      <c r="L25">
        <v>16385</v>
      </c>
      <c r="M25" t="s">
        <v>99</v>
      </c>
      <c r="O25" t="str">
        <v>Arabic (Saudi Arabia)</v>
      </c>
    </row>
    <row r="26" spans="12:15" x14ac:dyDescent="0.25">
      <c r="L26">
        <v>1025</v>
      </c>
      <c r="M26" t="s">
        <v>100</v>
      </c>
      <c r="O26" t="str">
        <v>Arabic (Syria)</v>
      </c>
    </row>
    <row r="27" spans="12:15" x14ac:dyDescent="0.25">
      <c r="L27">
        <v>10241</v>
      </c>
      <c r="M27" t="s">
        <v>101</v>
      </c>
      <c r="O27" t="str">
        <v>Arabic (Tunisia)</v>
      </c>
    </row>
    <row r="28" spans="12:15" x14ac:dyDescent="0.25">
      <c r="L28">
        <v>7169</v>
      </c>
      <c r="M28" t="s">
        <v>102</v>
      </c>
      <c r="O28" t="str">
        <v>Arabic (U.A.E.)</v>
      </c>
    </row>
    <row r="29" spans="12:15" x14ac:dyDescent="0.25">
      <c r="L29">
        <v>14337</v>
      </c>
      <c r="M29" t="s">
        <v>103</v>
      </c>
      <c r="O29" t="str">
        <v>Arabic (Yemen)</v>
      </c>
    </row>
    <row r="30" spans="12:15" x14ac:dyDescent="0.25">
      <c r="L30">
        <v>9217</v>
      </c>
      <c r="M30" t="s">
        <v>104</v>
      </c>
      <c r="O30" t="str">
        <v>Armenian</v>
      </c>
    </row>
    <row r="31" spans="12:15" x14ac:dyDescent="0.25">
      <c r="L31">
        <v>1067</v>
      </c>
      <c r="M31" t="s">
        <v>105</v>
      </c>
      <c r="O31" t="str">
        <v>Assamese</v>
      </c>
    </row>
    <row r="32" spans="12:15" x14ac:dyDescent="0.25">
      <c r="L32">
        <v>1101</v>
      </c>
      <c r="M32" t="s">
        <v>106</v>
      </c>
      <c r="O32" t="str">
        <v>Azerbaijani (Cyrillic)</v>
      </c>
    </row>
    <row r="33" spans="12:15" x14ac:dyDescent="0.25">
      <c r="L33">
        <v>2092</v>
      </c>
      <c r="M33" t="s">
        <v>107</v>
      </c>
      <c r="O33" t="str">
        <v>Azerbaijani (Latin)</v>
      </c>
    </row>
    <row r="34" spans="12:15" x14ac:dyDescent="0.25">
      <c r="L34">
        <v>1068</v>
      </c>
      <c r="M34" t="s">
        <v>108</v>
      </c>
      <c r="O34" t="str">
        <v>Bashkir</v>
      </c>
    </row>
    <row r="35" spans="12:15" x14ac:dyDescent="0.25">
      <c r="L35">
        <v>1133</v>
      </c>
      <c r="M35" t="s">
        <v>109</v>
      </c>
      <c r="O35" t="str">
        <v>Basque</v>
      </c>
    </row>
    <row r="36" spans="12:15" x14ac:dyDescent="0.25">
      <c r="L36">
        <v>1069</v>
      </c>
      <c r="M36" t="s">
        <v>110</v>
      </c>
      <c r="O36" t="str">
        <v>Belarusian</v>
      </c>
    </row>
    <row r="37" spans="12:15" x14ac:dyDescent="0.25">
      <c r="L37">
        <v>1059</v>
      </c>
      <c r="M37" t="s">
        <v>111</v>
      </c>
      <c r="O37" t="str">
        <v>Bengali (Bangladesh)</v>
      </c>
    </row>
    <row r="38" spans="12:15" x14ac:dyDescent="0.25">
      <c r="L38">
        <v>2117</v>
      </c>
      <c r="M38" t="s">
        <v>112</v>
      </c>
      <c r="O38" t="str">
        <v>Bengali (India)</v>
      </c>
    </row>
    <row r="39" spans="12:15" x14ac:dyDescent="0.25">
      <c r="L39">
        <v>1093</v>
      </c>
      <c r="M39" t="s">
        <v>113</v>
      </c>
      <c r="O39" t="str">
        <v>Bosnian (Cyrillic)</v>
      </c>
    </row>
    <row r="40" spans="12:15" x14ac:dyDescent="0.25">
      <c r="L40">
        <v>8218</v>
      </c>
      <c r="M40" t="s">
        <v>114</v>
      </c>
      <c r="O40" t="str">
        <v>Bosnian (Latin)</v>
      </c>
    </row>
    <row r="41" spans="12:15" x14ac:dyDescent="0.25">
      <c r="L41">
        <v>5146</v>
      </c>
      <c r="M41" t="s">
        <v>115</v>
      </c>
      <c r="O41" t="str">
        <v>Breton</v>
      </c>
    </row>
    <row r="42" spans="12:15" x14ac:dyDescent="0.25">
      <c r="L42">
        <v>1150</v>
      </c>
      <c r="M42" t="s">
        <v>116</v>
      </c>
      <c r="O42" t="str">
        <v>Bulgarian</v>
      </c>
    </row>
    <row r="43" spans="12:15" x14ac:dyDescent="0.25">
      <c r="L43">
        <v>1026</v>
      </c>
      <c r="M43" t="s">
        <v>117</v>
      </c>
      <c r="O43" t="str">
        <v>Catalan</v>
      </c>
    </row>
    <row r="44" spans="12:15" x14ac:dyDescent="0.25">
      <c r="L44">
        <v>1027</v>
      </c>
      <c r="M44" t="s">
        <v>118</v>
      </c>
      <c r="O44" t="str">
        <v>Chinese (Hong Kong SAR)</v>
      </c>
    </row>
    <row r="45" spans="12:15" x14ac:dyDescent="0.25">
      <c r="L45">
        <v>3076</v>
      </c>
      <c r="M45" t="s">
        <v>119</v>
      </c>
      <c r="O45" t="str">
        <v>Chinese (Macao SAR)</v>
      </c>
    </row>
    <row r="46" spans="12:15" x14ac:dyDescent="0.25">
      <c r="L46">
        <v>5124</v>
      </c>
      <c r="M46" t="s">
        <v>120</v>
      </c>
      <c r="O46" t="str">
        <v>Chinese (Simplified, PRC)</v>
      </c>
    </row>
    <row r="47" spans="12:15" x14ac:dyDescent="0.25">
      <c r="L47">
        <v>2052</v>
      </c>
      <c r="M47" t="s">
        <v>121</v>
      </c>
      <c r="O47" t="str">
        <v>Chinese (Simplified, Singapore)</v>
      </c>
    </row>
    <row r="48" spans="12:15" x14ac:dyDescent="0.25">
      <c r="L48">
        <v>4100</v>
      </c>
      <c r="M48" t="s">
        <v>122</v>
      </c>
      <c r="O48" t="str">
        <v>Chinese (Traditional, Taiwan)</v>
      </c>
    </row>
    <row r="49" spans="12:15" x14ac:dyDescent="0.25">
      <c r="L49">
        <v>1028</v>
      </c>
      <c r="M49" t="s">
        <v>123</v>
      </c>
      <c r="O49" t="str">
        <v>Corsican</v>
      </c>
    </row>
    <row r="50" spans="12:15" x14ac:dyDescent="0.25">
      <c r="L50">
        <v>1155</v>
      </c>
      <c r="M50" t="s">
        <v>124</v>
      </c>
      <c r="O50" t="str">
        <v>Croatian</v>
      </c>
    </row>
    <row r="51" spans="12:15" x14ac:dyDescent="0.25">
      <c r="L51">
        <v>1050</v>
      </c>
      <c r="M51" t="s">
        <v>125</v>
      </c>
      <c r="O51" t="str">
        <v>Croatian (Latin, Bosnia)</v>
      </c>
    </row>
    <row r="52" spans="12:15" x14ac:dyDescent="0.25">
      <c r="L52">
        <v>4122</v>
      </c>
      <c r="M52" t="s">
        <v>126</v>
      </c>
      <c r="O52" t="str">
        <v>Czech</v>
      </c>
    </row>
    <row r="53" spans="12:15" x14ac:dyDescent="0.25">
      <c r="L53">
        <v>1029</v>
      </c>
      <c r="M53" t="s">
        <v>127</v>
      </c>
      <c r="O53" t="str">
        <v>Danish</v>
      </c>
    </row>
    <row r="54" spans="12:15" x14ac:dyDescent="0.25">
      <c r="L54">
        <v>1030</v>
      </c>
      <c r="M54" t="s">
        <v>128</v>
      </c>
      <c r="O54" t="str">
        <v>Dari</v>
      </c>
    </row>
    <row r="55" spans="12:15" x14ac:dyDescent="0.25">
      <c r="L55">
        <v>1164</v>
      </c>
      <c r="M55" t="s">
        <v>129</v>
      </c>
      <c r="O55" t="str">
        <v>Divehi</v>
      </c>
    </row>
    <row r="56" spans="12:15" x14ac:dyDescent="0.25">
      <c r="L56">
        <v>1125</v>
      </c>
      <c r="M56" t="s">
        <v>130</v>
      </c>
      <c r="O56" t="str">
        <v>Dutch (Belgium)</v>
      </c>
    </row>
    <row r="57" spans="12:15" x14ac:dyDescent="0.25">
      <c r="L57">
        <v>2067</v>
      </c>
      <c r="M57" t="s">
        <v>131</v>
      </c>
      <c r="O57" t="str">
        <v>Dutch (Netherlands)</v>
      </c>
    </row>
    <row r="58" spans="12:15" x14ac:dyDescent="0.25">
      <c r="L58">
        <v>1043</v>
      </c>
      <c r="M58" t="s">
        <v>132</v>
      </c>
      <c r="O58" t="str">
        <v>English (Australia)</v>
      </c>
    </row>
    <row r="59" spans="12:15" x14ac:dyDescent="0.25">
      <c r="L59">
        <v>3081</v>
      </c>
      <c r="M59" t="s">
        <v>133</v>
      </c>
      <c r="O59" t="str">
        <v>English (Belize)</v>
      </c>
    </row>
    <row r="60" spans="12:15" x14ac:dyDescent="0.25">
      <c r="L60">
        <v>10249</v>
      </c>
      <c r="M60" t="s">
        <v>134</v>
      </c>
      <c r="O60" t="str">
        <v>English (Canada)</v>
      </c>
    </row>
    <row r="61" spans="12:15" x14ac:dyDescent="0.25">
      <c r="L61">
        <v>4105</v>
      </c>
      <c r="M61" t="s">
        <v>135</v>
      </c>
      <c r="O61" t="str">
        <v>English (Caribbean)</v>
      </c>
    </row>
    <row r="62" spans="12:15" x14ac:dyDescent="0.25">
      <c r="L62">
        <v>9225</v>
      </c>
      <c r="M62" t="s">
        <v>136</v>
      </c>
      <c r="O62" t="str">
        <v>English (India)</v>
      </c>
    </row>
    <row r="63" spans="12:15" x14ac:dyDescent="0.25">
      <c r="L63">
        <v>16393</v>
      </c>
      <c r="M63" t="s">
        <v>137</v>
      </c>
      <c r="O63" t="str">
        <v>English (Ireland)</v>
      </c>
    </row>
    <row r="64" spans="12:15" x14ac:dyDescent="0.25">
      <c r="L64">
        <v>6153</v>
      </c>
      <c r="M64" t="s">
        <v>138</v>
      </c>
      <c r="O64" t="str">
        <v>English (Jamaica)</v>
      </c>
    </row>
    <row r="65" spans="12:15" x14ac:dyDescent="0.25">
      <c r="L65">
        <v>8201</v>
      </c>
      <c r="M65" t="s">
        <v>139</v>
      </c>
      <c r="O65" t="str">
        <v>English (Malaysia)</v>
      </c>
    </row>
    <row r="66" spans="12:15" x14ac:dyDescent="0.25">
      <c r="L66">
        <v>17417</v>
      </c>
      <c r="M66" t="s">
        <v>140</v>
      </c>
      <c r="O66" t="str">
        <v>English (New Zealand)</v>
      </c>
    </row>
    <row r="67" spans="12:15" x14ac:dyDescent="0.25">
      <c r="L67">
        <v>5129</v>
      </c>
      <c r="M67" t="s">
        <v>141</v>
      </c>
      <c r="O67" t="str">
        <v>English (Philippines)</v>
      </c>
    </row>
    <row r="68" spans="12:15" x14ac:dyDescent="0.25">
      <c r="L68">
        <v>13321</v>
      </c>
      <c r="M68" t="s">
        <v>142</v>
      </c>
      <c r="O68" t="str">
        <v>English (Singapore)</v>
      </c>
    </row>
    <row r="69" spans="12:15" x14ac:dyDescent="0.25">
      <c r="L69">
        <v>18441</v>
      </c>
      <c r="M69" t="s">
        <v>143</v>
      </c>
      <c r="O69" t="str">
        <v>English (South Africa)</v>
      </c>
    </row>
    <row r="70" spans="12:15" x14ac:dyDescent="0.25">
      <c r="L70">
        <v>7177</v>
      </c>
      <c r="M70" t="s">
        <v>144</v>
      </c>
      <c r="O70" t="str">
        <v>English (Trinidad)</v>
      </c>
    </row>
    <row r="71" spans="12:15" x14ac:dyDescent="0.25">
      <c r="L71">
        <v>11273</v>
      </c>
      <c r="M71" t="s">
        <v>145</v>
      </c>
      <c r="O71" t="str">
        <v>English (United Kingdom)</v>
      </c>
    </row>
    <row r="72" spans="12:15" x14ac:dyDescent="0.25">
      <c r="L72">
        <v>2057</v>
      </c>
      <c r="M72" t="s">
        <v>146</v>
      </c>
      <c r="O72" t="str">
        <v>English (United States)</v>
      </c>
    </row>
    <row r="73" spans="12:15" x14ac:dyDescent="0.25">
      <c r="L73">
        <v>1033</v>
      </c>
      <c r="M73" t="s">
        <v>147</v>
      </c>
      <c r="O73" t="str">
        <v>English (Zimbabwe)</v>
      </c>
    </row>
    <row r="74" spans="12:15" x14ac:dyDescent="0.25">
      <c r="L74">
        <v>12297</v>
      </c>
      <c r="M74" t="s">
        <v>148</v>
      </c>
      <c r="O74" t="str">
        <v>Estonian</v>
      </c>
    </row>
    <row r="75" spans="12:15" x14ac:dyDescent="0.25">
      <c r="L75">
        <v>1061</v>
      </c>
      <c r="M75" t="s">
        <v>149</v>
      </c>
      <c r="O75" t="str">
        <v>Faroese</v>
      </c>
    </row>
    <row r="76" spans="12:15" x14ac:dyDescent="0.25">
      <c r="L76">
        <v>1080</v>
      </c>
      <c r="M76" t="s">
        <v>150</v>
      </c>
      <c r="O76" t="str">
        <v>Filipino</v>
      </c>
    </row>
    <row r="77" spans="12:15" x14ac:dyDescent="0.25">
      <c r="L77">
        <v>1124</v>
      </c>
      <c r="M77" t="s">
        <v>151</v>
      </c>
      <c r="O77" t="str">
        <v>Finnish</v>
      </c>
    </row>
    <row r="78" spans="12:15" x14ac:dyDescent="0.25">
      <c r="L78">
        <v>1035</v>
      </c>
      <c r="M78" t="s">
        <v>152</v>
      </c>
      <c r="O78" t="str">
        <v>French (Belgium)</v>
      </c>
    </row>
    <row r="79" spans="12:15" x14ac:dyDescent="0.25">
      <c r="L79">
        <v>2060</v>
      </c>
      <c r="M79" t="s">
        <v>153</v>
      </c>
      <c r="O79" t="str">
        <v>French (Canada)</v>
      </c>
    </row>
    <row r="80" spans="12:15" x14ac:dyDescent="0.25">
      <c r="L80">
        <v>3084</v>
      </c>
      <c r="M80" t="s">
        <v>154</v>
      </c>
      <c r="O80" t="str">
        <v>French (France)</v>
      </c>
    </row>
    <row r="81" spans="12:15" x14ac:dyDescent="0.25">
      <c r="L81">
        <v>1036</v>
      </c>
      <c r="M81" t="s">
        <v>155</v>
      </c>
      <c r="O81" t="str">
        <v>French (Luxembourg)</v>
      </c>
    </row>
    <row r="82" spans="12:15" x14ac:dyDescent="0.25">
      <c r="L82">
        <v>5132</v>
      </c>
      <c r="M82" t="s">
        <v>156</v>
      </c>
      <c r="O82" t="str">
        <v>French (Monaco)</v>
      </c>
    </row>
    <row r="83" spans="12:15" x14ac:dyDescent="0.25">
      <c r="L83">
        <v>6156</v>
      </c>
      <c r="M83" t="s">
        <v>157</v>
      </c>
      <c r="O83" t="str">
        <v>French (Switzerland)</v>
      </c>
    </row>
    <row r="84" spans="12:15" x14ac:dyDescent="0.25">
      <c r="L84">
        <v>4108</v>
      </c>
      <c r="M84" t="s">
        <v>158</v>
      </c>
      <c r="O84" t="str">
        <v>Frisian</v>
      </c>
    </row>
    <row r="85" spans="12:15" x14ac:dyDescent="0.25">
      <c r="L85">
        <v>1122</v>
      </c>
      <c r="M85" t="s">
        <v>159</v>
      </c>
      <c r="O85" t="str">
        <v>Galician</v>
      </c>
    </row>
    <row r="86" spans="12:15" x14ac:dyDescent="0.25">
      <c r="L86">
        <v>1110</v>
      </c>
      <c r="M86" t="s">
        <v>160</v>
      </c>
      <c r="O86" t="str">
        <v>Georgian</v>
      </c>
    </row>
    <row r="87" spans="12:15" x14ac:dyDescent="0.25">
      <c r="L87">
        <v>1079</v>
      </c>
      <c r="M87" t="s">
        <v>161</v>
      </c>
      <c r="O87" t="str">
        <v>German (Austria)</v>
      </c>
    </row>
    <row r="88" spans="12:15" x14ac:dyDescent="0.25">
      <c r="L88">
        <v>3079</v>
      </c>
      <c r="M88" t="s">
        <v>162</v>
      </c>
      <c r="O88" t="str">
        <v>German (Germany)</v>
      </c>
    </row>
    <row r="89" spans="12:15" x14ac:dyDescent="0.25">
      <c r="L89">
        <v>1031</v>
      </c>
      <c r="M89" t="s">
        <v>163</v>
      </c>
      <c r="O89" t="str">
        <v>German (Liechtenstein)</v>
      </c>
    </row>
    <row r="90" spans="12:15" x14ac:dyDescent="0.25">
      <c r="L90">
        <v>5127</v>
      </c>
      <c r="M90" t="s">
        <v>164</v>
      </c>
      <c r="O90" t="str">
        <v>German (Luxembourg)</v>
      </c>
    </row>
    <row r="91" spans="12:15" x14ac:dyDescent="0.25">
      <c r="L91">
        <v>4103</v>
      </c>
      <c r="M91" t="s">
        <v>165</v>
      </c>
      <c r="O91" t="str">
        <v>German (Switzerland)</v>
      </c>
    </row>
    <row r="92" spans="12:15" x14ac:dyDescent="0.25">
      <c r="L92">
        <v>2055</v>
      </c>
      <c r="M92" t="s">
        <v>166</v>
      </c>
      <c r="O92" t="str">
        <v>Greek</v>
      </c>
    </row>
    <row r="93" spans="12:15" x14ac:dyDescent="0.25">
      <c r="L93">
        <v>1032</v>
      </c>
      <c r="M93" t="s">
        <v>167</v>
      </c>
      <c r="O93" t="str">
        <v>Greenlandic</v>
      </c>
    </row>
    <row r="94" spans="12:15" x14ac:dyDescent="0.25">
      <c r="L94">
        <v>1135</v>
      </c>
      <c r="M94" t="s">
        <v>168</v>
      </c>
      <c r="O94" t="str">
        <v>Gujarati</v>
      </c>
    </row>
    <row r="95" spans="12:15" x14ac:dyDescent="0.25">
      <c r="L95">
        <v>1095</v>
      </c>
      <c r="M95" t="s">
        <v>169</v>
      </c>
      <c r="O95" t="str">
        <v>Hausa (Latin)</v>
      </c>
    </row>
    <row r="96" spans="12:15" x14ac:dyDescent="0.25">
      <c r="L96">
        <v>1128</v>
      </c>
      <c r="M96" t="s">
        <v>170</v>
      </c>
      <c r="O96" t="str">
        <v>Hebrew</v>
      </c>
    </row>
    <row r="97" spans="12:15" x14ac:dyDescent="0.25">
      <c r="L97">
        <v>1037</v>
      </c>
      <c r="M97" t="s">
        <v>171</v>
      </c>
      <c r="O97" t="str">
        <v>Hindi</v>
      </c>
    </row>
    <row r="98" spans="12:15" x14ac:dyDescent="0.25">
      <c r="L98">
        <v>1081</v>
      </c>
      <c r="M98" t="s">
        <v>172</v>
      </c>
      <c r="O98" t="str">
        <v>Hungarian</v>
      </c>
    </row>
    <row r="99" spans="12:15" x14ac:dyDescent="0.25">
      <c r="L99">
        <v>1038</v>
      </c>
      <c r="M99" t="s">
        <v>173</v>
      </c>
      <c r="O99" t="str">
        <v>Icelandic</v>
      </c>
    </row>
    <row r="100" spans="12:15" x14ac:dyDescent="0.25">
      <c r="L100">
        <v>1039</v>
      </c>
      <c r="M100" t="s">
        <v>174</v>
      </c>
      <c r="O100" t="str">
        <v>Igbo</v>
      </c>
    </row>
    <row r="101" spans="12:15" x14ac:dyDescent="0.25">
      <c r="L101">
        <v>1136</v>
      </c>
      <c r="M101" t="s">
        <v>175</v>
      </c>
      <c r="O101" t="str">
        <v>Indonesian</v>
      </c>
    </row>
    <row r="102" spans="12:15" x14ac:dyDescent="0.25">
      <c r="L102">
        <v>1057</v>
      </c>
      <c r="M102" t="s">
        <v>176</v>
      </c>
      <c r="O102" t="str">
        <v>Inuktitut (Syllabics)</v>
      </c>
    </row>
    <row r="103" spans="12:15" x14ac:dyDescent="0.25">
      <c r="L103">
        <v>1117</v>
      </c>
      <c r="M103" t="s">
        <v>177</v>
      </c>
      <c r="O103" t="str">
        <v>Inuktitut (Latin)</v>
      </c>
    </row>
    <row r="104" spans="12:15" x14ac:dyDescent="0.25">
      <c r="L104">
        <v>2141</v>
      </c>
      <c r="M104" t="s">
        <v>178</v>
      </c>
      <c r="O104" t="str">
        <v>Irish</v>
      </c>
    </row>
    <row r="105" spans="12:15" x14ac:dyDescent="0.25">
      <c r="L105">
        <v>2108</v>
      </c>
      <c r="M105" t="s">
        <v>179</v>
      </c>
      <c r="O105" t="str">
        <v>isiXhosa</v>
      </c>
    </row>
    <row r="106" spans="12:15" x14ac:dyDescent="0.25">
      <c r="L106">
        <v>1076</v>
      </c>
      <c r="M106" t="s">
        <v>180</v>
      </c>
      <c r="O106" t="str">
        <v>isiZulu</v>
      </c>
    </row>
    <row r="107" spans="12:15" x14ac:dyDescent="0.25">
      <c r="L107">
        <v>1077</v>
      </c>
      <c r="M107" t="s">
        <v>181</v>
      </c>
      <c r="O107" t="str">
        <v>Italian (Italy)</v>
      </c>
    </row>
    <row r="108" spans="12:15" x14ac:dyDescent="0.25">
      <c r="L108">
        <v>1040</v>
      </c>
      <c r="M108" t="s">
        <v>182</v>
      </c>
      <c r="O108" t="str">
        <v>Italian (Switzerland)</v>
      </c>
    </row>
    <row r="109" spans="12:15" x14ac:dyDescent="0.25">
      <c r="L109">
        <v>2064</v>
      </c>
      <c r="M109" t="s">
        <v>183</v>
      </c>
      <c r="O109" t="str">
        <v>Japanese</v>
      </c>
    </row>
    <row r="110" spans="12:15" x14ac:dyDescent="0.25">
      <c r="L110">
        <v>1041</v>
      </c>
      <c r="M110" t="s">
        <v>184</v>
      </c>
      <c r="O110" t="str">
        <v>Kannada</v>
      </c>
    </row>
    <row r="111" spans="12:15" x14ac:dyDescent="0.25">
      <c r="L111">
        <v>1099</v>
      </c>
      <c r="M111" t="s">
        <v>185</v>
      </c>
      <c r="O111" t="str">
        <v>Kazakh</v>
      </c>
    </row>
    <row r="112" spans="12:15" x14ac:dyDescent="0.25">
      <c r="L112">
        <v>1087</v>
      </c>
      <c r="M112" t="s">
        <v>186</v>
      </c>
      <c r="O112" t="str">
        <v>Khmer</v>
      </c>
    </row>
    <row r="113" spans="12:15" x14ac:dyDescent="0.25">
      <c r="L113">
        <v>1107</v>
      </c>
      <c r="M113" t="s">
        <v>187</v>
      </c>
      <c r="O113" t="str">
        <v>K'iche</v>
      </c>
    </row>
    <row r="114" spans="12:15" x14ac:dyDescent="0.25">
      <c r="L114">
        <v>1158</v>
      </c>
      <c r="M114" t="s">
        <v>188</v>
      </c>
      <c r="O114" t="str">
        <v>Kinyarwanda</v>
      </c>
    </row>
    <row r="115" spans="12:15" x14ac:dyDescent="0.25">
      <c r="L115">
        <v>1159</v>
      </c>
      <c r="M115" t="s">
        <v>189</v>
      </c>
      <c r="O115" t="str">
        <v>Kiswahili</v>
      </c>
    </row>
    <row r="116" spans="12:15" x14ac:dyDescent="0.25">
      <c r="L116">
        <v>1089</v>
      </c>
      <c r="M116" t="s">
        <v>190</v>
      </c>
      <c r="O116" t="str">
        <v>Konkani</v>
      </c>
    </row>
    <row r="117" spans="12:15" x14ac:dyDescent="0.25">
      <c r="L117">
        <v>1111</v>
      </c>
      <c r="M117" t="s">
        <v>191</v>
      </c>
      <c r="O117" t="str">
        <v>Korean</v>
      </c>
    </row>
    <row r="118" spans="12:15" x14ac:dyDescent="0.25">
      <c r="L118">
        <v>1042</v>
      </c>
      <c r="M118" t="s">
        <v>192</v>
      </c>
      <c r="O118" t="str">
        <v>Kyrgyz</v>
      </c>
    </row>
    <row r="119" spans="12:15" x14ac:dyDescent="0.25">
      <c r="L119">
        <v>1088</v>
      </c>
      <c r="M119" t="s">
        <v>193</v>
      </c>
      <c r="O119" t="str">
        <v>Lao</v>
      </c>
    </row>
    <row r="120" spans="12:15" x14ac:dyDescent="0.25">
      <c r="L120">
        <v>1108</v>
      </c>
      <c r="M120" t="s">
        <v>194</v>
      </c>
      <c r="O120" t="str">
        <v>Latvian</v>
      </c>
    </row>
    <row r="121" spans="12:15" x14ac:dyDescent="0.25">
      <c r="L121">
        <v>1062</v>
      </c>
      <c r="M121" t="s">
        <v>195</v>
      </c>
      <c r="O121" t="str">
        <v>Lithuanian</v>
      </c>
    </row>
    <row r="122" spans="12:15" x14ac:dyDescent="0.25">
      <c r="L122">
        <v>1063</v>
      </c>
      <c r="M122" t="s">
        <v>196</v>
      </c>
      <c r="O122" t="str">
        <v>Lower Sorbian</v>
      </c>
    </row>
    <row r="123" spans="12:15" x14ac:dyDescent="0.25">
      <c r="L123">
        <v>2094</v>
      </c>
      <c r="M123" t="s">
        <v>197</v>
      </c>
      <c r="O123" t="str">
        <v>Luxembourgish</v>
      </c>
    </row>
    <row r="124" spans="12:15" x14ac:dyDescent="0.25">
      <c r="L124">
        <v>1134</v>
      </c>
      <c r="M124" t="s">
        <v>198</v>
      </c>
      <c r="O124" t="str">
        <v>Macedonian</v>
      </c>
    </row>
    <row r="125" spans="12:15" x14ac:dyDescent="0.25">
      <c r="L125">
        <v>1071</v>
      </c>
      <c r="M125" t="s">
        <v>199</v>
      </c>
      <c r="O125" t="str">
        <v>Malay (Brunei)</v>
      </c>
    </row>
    <row r="126" spans="12:15" x14ac:dyDescent="0.25">
      <c r="L126">
        <v>2110</v>
      </c>
      <c r="M126" t="s">
        <v>200</v>
      </c>
      <c r="O126" t="str">
        <v>Malay (Malaysia)</v>
      </c>
    </row>
    <row r="127" spans="12:15" x14ac:dyDescent="0.25">
      <c r="L127">
        <v>1086</v>
      </c>
      <c r="M127" t="s">
        <v>201</v>
      </c>
      <c r="O127" t="str">
        <v>Malayalam</v>
      </c>
    </row>
    <row r="128" spans="12:15" x14ac:dyDescent="0.25">
      <c r="L128">
        <v>1100</v>
      </c>
      <c r="M128" t="s">
        <v>202</v>
      </c>
      <c r="O128" t="str">
        <v>Maltese</v>
      </c>
    </row>
    <row r="129" spans="12:15" x14ac:dyDescent="0.25">
      <c r="L129">
        <v>1082</v>
      </c>
      <c r="M129" t="s">
        <v>203</v>
      </c>
      <c r="O129" t="str">
        <v>Maori</v>
      </c>
    </row>
    <row r="130" spans="12:15" x14ac:dyDescent="0.25">
      <c r="L130">
        <v>1153</v>
      </c>
      <c r="M130" t="s">
        <v>204</v>
      </c>
      <c r="O130" t="str">
        <v>Mapudungun</v>
      </c>
    </row>
    <row r="131" spans="12:15" x14ac:dyDescent="0.25">
      <c r="L131">
        <v>1146</v>
      </c>
      <c r="M131" t="s">
        <v>205</v>
      </c>
      <c r="O131" t="str">
        <v>Marathi</v>
      </c>
    </row>
    <row r="132" spans="12:15" x14ac:dyDescent="0.25">
      <c r="L132">
        <v>1102</v>
      </c>
      <c r="M132" t="s">
        <v>206</v>
      </c>
      <c r="O132" t="str">
        <v>Mohawk</v>
      </c>
    </row>
    <row r="133" spans="12:15" x14ac:dyDescent="0.25">
      <c r="L133">
        <v>1148</v>
      </c>
      <c r="M133" t="s">
        <v>207</v>
      </c>
      <c r="O133" t="str">
        <v>Mongolian (Cyrillic)</v>
      </c>
    </row>
    <row r="134" spans="12:15" x14ac:dyDescent="0.25">
      <c r="L134">
        <v>1104</v>
      </c>
      <c r="M134" t="s">
        <v>208</v>
      </c>
      <c r="O134" t="str">
        <v>Mongolian (Traditional)</v>
      </c>
    </row>
    <row r="135" spans="12:15" x14ac:dyDescent="0.25">
      <c r="L135">
        <v>2128</v>
      </c>
      <c r="M135" t="s">
        <v>209</v>
      </c>
      <c r="O135" t="str">
        <v>Nepali</v>
      </c>
    </row>
    <row r="136" spans="12:15" x14ac:dyDescent="0.25">
      <c r="L136">
        <v>1121</v>
      </c>
      <c r="M136" t="s">
        <v>210</v>
      </c>
      <c r="O136" t="str">
        <v>Norwegian (Bokmål)</v>
      </c>
    </row>
    <row r="137" spans="12:15" x14ac:dyDescent="0.25">
      <c r="L137">
        <v>1044</v>
      </c>
      <c r="M137" t="s">
        <v>211</v>
      </c>
      <c r="O137" t="str">
        <v>Norwegian (Nynorsk)</v>
      </c>
    </row>
    <row r="138" spans="12:15" x14ac:dyDescent="0.25">
      <c r="L138">
        <v>2068</v>
      </c>
      <c r="M138" t="s">
        <v>212</v>
      </c>
      <c r="O138" t="str">
        <v>Occitan</v>
      </c>
    </row>
    <row r="139" spans="12:15" x14ac:dyDescent="0.25">
      <c r="L139">
        <v>1154</v>
      </c>
      <c r="M139" t="s">
        <v>213</v>
      </c>
      <c r="O139" t="str">
        <v>Odia</v>
      </c>
    </row>
    <row r="140" spans="12:15" x14ac:dyDescent="0.25">
      <c r="L140">
        <v>1096</v>
      </c>
      <c r="M140" t="s">
        <v>214</v>
      </c>
      <c r="O140" t="str">
        <v>Pashto</v>
      </c>
    </row>
    <row r="141" spans="12:15" x14ac:dyDescent="0.25">
      <c r="L141">
        <v>1123</v>
      </c>
      <c r="M141" t="s">
        <v>215</v>
      </c>
      <c r="O141" t="str">
        <v>Persian</v>
      </c>
    </row>
    <row r="142" spans="12:15" x14ac:dyDescent="0.25">
      <c r="L142">
        <v>1065</v>
      </c>
      <c r="M142" t="s">
        <v>216</v>
      </c>
      <c r="O142" t="str">
        <v>Polish</v>
      </c>
    </row>
    <row r="143" spans="12:15" x14ac:dyDescent="0.25">
      <c r="L143">
        <v>1045</v>
      </c>
      <c r="M143" t="s">
        <v>217</v>
      </c>
      <c r="O143" t="str">
        <v>Portuguese (Brazil)</v>
      </c>
    </row>
    <row r="144" spans="12:15" x14ac:dyDescent="0.25">
      <c r="L144">
        <v>1046</v>
      </c>
      <c r="M144" t="s">
        <v>218</v>
      </c>
      <c r="O144" t="str">
        <v>Portuguese (Portugal)</v>
      </c>
    </row>
    <row r="145" spans="12:15" x14ac:dyDescent="0.25">
      <c r="L145">
        <v>2070</v>
      </c>
      <c r="M145" t="s">
        <v>219</v>
      </c>
      <c r="O145" t="str">
        <v>Punjabi</v>
      </c>
    </row>
    <row r="146" spans="12:15" x14ac:dyDescent="0.25">
      <c r="L146">
        <v>1094</v>
      </c>
      <c r="M146" t="s">
        <v>220</v>
      </c>
      <c r="O146" t="str">
        <v>Quechua (Bolivia)</v>
      </c>
    </row>
    <row r="147" spans="12:15" x14ac:dyDescent="0.25">
      <c r="L147">
        <v>1131</v>
      </c>
      <c r="M147" t="s">
        <v>221</v>
      </c>
      <c r="O147" t="str">
        <v>Quechua (Ecuador)</v>
      </c>
    </row>
    <row r="148" spans="12:15" x14ac:dyDescent="0.25">
      <c r="L148">
        <v>2155</v>
      </c>
      <c r="M148" t="s">
        <v>222</v>
      </c>
      <c r="O148" t="str">
        <v>Quechua (Peru)</v>
      </c>
    </row>
    <row r="149" spans="12:15" x14ac:dyDescent="0.25">
      <c r="L149">
        <v>3179</v>
      </c>
      <c r="M149" t="s">
        <v>223</v>
      </c>
      <c r="O149" t="str">
        <v>Romanian</v>
      </c>
    </row>
    <row r="150" spans="12:15" x14ac:dyDescent="0.25">
      <c r="L150">
        <v>1048</v>
      </c>
      <c r="M150" t="s">
        <v>224</v>
      </c>
      <c r="O150" t="str">
        <v>Romansh</v>
      </c>
    </row>
    <row r="151" spans="12:15" x14ac:dyDescent="0.25">
      <c r="L151">
        <v>1047</v>
      </c>
      <c r="M151" t="s">
        <v>225</v>
      </c>
      <c r="O151" t="str">
        <v>Russian</v>
      </c>
    </row>
    <row r="152" spans="12:15" x14ac:dyDescent="0.25">
      <c r="L152">
        <v>1049</v>
      </c>
      <c r="M152" t="s">
        <v>226</v>
      </c>
      <c r="O152" t="str">
        <v>Sami (Inari)</v>
      </c>
    </row>
    <row r="153" spans="12:15" x14ac:dyDescent="0.25">
      <c r="L153">
        <v>9275</v>
      </c>
      <c r="M153" t="s">
        <v>227</v>
      </c>
      <c r="O153" t="str">
        <v>Sami (Lule, Norway)</v>
      </c>
    </row>
    <row r="154" spans="12:15" x14ac:dyDescent="0.25">
      <c r="L154">
        <v>5179</v>
      </c>
      <c r="M154" t="s">
        <v>228</v>
      </c>
      <c r="O154" t="str">
        <v>Sami (Lule, Sweden)</v>
      </c>
    </row>
    <row r="155" spans="12:15" x14ac:dyDescent="0.25">
      <c r="L155">
        <v>7227</v>
      </c>
      <c r="M155" t="s">
        <v>229</v>
      </c>
      <c r="O155" t="str">
        <v>Sami (Northern, Norway)</v>
      </c>
    </row>
    <row r="156" spans="12:15" x14ac:dyDescent="0.25">
      <c r="L156">
        <v>1083</v>
      </c>
      <c r="M156" t="s">
        <v>230</v>
      </c>
      <c r="O156" t="str">
        <v>Sami (Northern, Sweden)</v>
      </c>
    </row>
    <row r="157" spans="12:15" x14ac:dyDescent="0.25">
      <c r="L157">
        <v>2107</v>
      </c>
      <c r="M157" t="s">
        <v>231</v>
      </c>
      <c r="O157" t="str">
        <v>Sami (Northern, Finland)</v>
      </c>
    </row>
    <row r="158" spans="12:15" x14ac:dyDescent="0.25">
      <c r="L158">
        <v>3131</v>
      </c>
      <c r="M158" t="s">
        <v>232</v>
      </c>
      <c r="O158" t="str">
        <v>Sami (Skolt)</v>
      </c>
    </row>
    <row r="159" spans="12:15" x14ac:dyDescent="0.25">
      <c r="L159">
        <v>8251</v>
      </c>
      <c r="M159" t="s">
        <v>233</v>
      </c>
      <c r="O159" t="str">
        <v>Sami (Southern, Norway)</v>
      </c>
    </row>
    <row r="160" spans="12:15" x14ac:dyDescent="0.25">
      <c r="L160">
        <v>6203</v>
      </c>
      <c r="M160" t="s">
        <v>234</v>
      </c>
      <c r="O160" t="str">
        <v>Sami (Southern, Sweden)</v>
      </c>
    </row>
    <row r="161" spans="12:15" x14ac:dyDescent="0.25">
      <c r="L161">
        <v>7227</v>
      </c>
      <c r="M161" t="s">
        <v>235</v>
      </c>
      <c r="O161" t="str">
        <v>Sanskrit</v>
      </c>
    </row>
    <row r="162" spans="12:15" x14ac:dyDescent="0.25">
      <c r="L162">
        <v>1103</v>
      </c>
      <c r="M162" t="s">
        <v>236</v>
      </c>
      <c r="O162" t="str">
        <v>Serbian (Cyrillic, Bosnia)</v>
      </c>
    </row>
    <row r="163" spans="12:15" x14ac:dyDescent="0.25">
      <c r="L163">
        <v>7194</v>
      </c>
      <c r="M163" t="s">
        <v>237</v>
      </c>
      <c r="O163" t="str">
        <v>Serbian (Cyrillic, Serbia)</v>
      </c>
    </row>
    <row r="164" spans="12:15" x14ac:dyDescent="0.25">
      <c r="L164">
        <v>3098</v>
      </c>
      <c r="M164" t="s">
        <v>238</v>
      </c>
      <c r="O164" t="str">
        <v>Serbian (Latin, Bosnia)</v>
      </c>
    </row>
    <row r="165" spans="12:15" x14ac:dyDescent="0.25">
      <c r="L165">
        <v>6170</v>
      </c>
      <c r="M165" t="s">
        <v>239</v>
      </c>
      <c r="O165" t="str">
        <v>Serbian (Latin, Serbia)</v>
      </c>
    </row>
    <row r="166" spans="12:15" x14ac:dyDescent="0.25">
      <c r="L166">
        <v>2074</v>
      </c>
      <c r="M166" t="s">
        <v>240</v>
      </c>
      <c r="O166" t="str">
        <v>Sesotho sa Leboa</v>
      </c>
    </row>
    <row r="167" spans="12:15" x14ac:dyDescent="0.25">
      <c r="L167">
        <v>1132</v>
      </c>
      <c r="M167" t="s">
        <v>241</v>
      </c>
      <c r="O167" t="str">
        <v>Setswana</v>
      </c>
    </row>
    <row r="168" spans="12:15" x14ac:dyDescent="0.25">
      <c r="L168">
        <v>1074</v>
      </c>
      <c r="M168" t="s">
        <v>242</v>
      </c>
      <c r="O168" t="str">
        <v>Sinhala</v>
      </c>
    </row>
    <row r="169" spans="12:15" x14ac:dyDescent="0.25">
      <c r="L169">
        <v>1115</v>
      </c>
      <c r="M169" t="s">
        <v>243</v>
      </c>
      <c r="O169" t="str">
        <v>Slovak</v>
      </c>
    </row>
    <row r="170" spans="12:15" x14ac:dyDescent="0.25">
      <c r="L170">
        <v>1051</v>
      </c>
      <c r="M170" t="s">
        <v>244</v>
      </c>
      <c r="O170" t="str">
        <v>Slovenian</v>
      </c>
    </row>
    <row r="171" spans="12:15" x14ac:dyDescent="0.25">
      <c r="L171">
        <v>1060</v>
      </c>
      <c r="M171" t="s">
        <v>245</v>
      </c>
      <c r="O171" t="str">
        <v>Spanish (Argentina)</v>
      </c>
    </row>
    <row r="172" spans="12:15" x14ac:dyDescent="0.25">
      <c r="L172">
        <v>11274</v>
      </c>
      <c r="M172" t="s">
        <v>246</v>
      </c>
      <c r="O172" t="str">
        <v>Spanish (Bolivia)</v>
      </c>
    </row>
    <row r="173" spans="12:15" x14ac:dyDescent="0.25">
      <c r="L173">
        <v>16394</v>
      </c>
      <c r="M173" t="s">
        <v>247</v>
      </c>
      <c r="O173" t="str">
        <v>Spanish (Chile)</v>
      </c>
    </row>
    <row r="174" spans="12:15" x14ac:dyDescent="0.25">
      <c r="L174">
        <v>13322</v>
      </c>
      <c r="M174" t="s">
        <v>248</v>
      </c>
      <c r="O174" t="str">
        <v>Spanish (Colombia)</v>
      </c>
    </row>
    <row r="175" spans="12:15" x14ac:dyDescent="0.25">
      <c r="L175">
        <v>9226</v>
      </c>
      <c r="M175" t="s">
        <v>249</v>
      </c>
      <c r="O175" t="str">
        <v>Spanish (Costa Rica)</v>
      </c>
    </row>
    <row r="176" spans="12:15" x14ac:dyDescent="0.25">
      <c r="L176">
        <v>5130</v>
      </c>
      <c r="M176" t="s">
        <v>250</v>
      </c>
      <c r="O176" t="str">
        <v>Spanish (Dominican Republic)</v>
      </c>
    </row>
    <row r="177" spans="12:15" x14ac:dyDescent="0.25">
      <c r="L177">
        <v>7178</v>
      </c>
      <c r="M177" t="s">
        <v>251</v>
      </c>
      <c r="O177" t="str">
        <v>Spanish (Ecuador)</v>
      </c>
    </row>
    <row r="178" spans="12:15" x14ac:dyDescent="0.25">
      <c r="L178">
        <v>12298</v>
      </c>
      <c r="M178" t="s">
        <v>252</v>
      </c>
      <c r="O178" t="str">
        <v>Spanish (El Salvador)</v>
      </c>
    </row>
    <row r="179" spans="12:15" x14ac:dyDescent="0.25">
      <c r="L179">
        <v>17418</v>
      </c>
      <c r="M179" t="s">
        <v>253</v>
      </c>
      <c r="O179" t="str">
        <v>Spanish (Guatemala)</v>
      </c>
    </row>
    <row r="180" spans="12:15" x14ac:dyDescent="0.25">
      <c r="L180">
        <v>4106</v>
      </c>
      <c r="M180" t="s">
        <v>254</v>
      </c>
      <c r="O180" t="str">
        <v>Spanish (Honduras)</v>
      </c>
    </row>
    <row r="181" spans="12:15" x14ac:dyDescent="0.25">
      <c r="L181">
        <v>18442</v>
      </c>
      <c r="M181" t="s">
        <v>255</v>
      </c>
      <c r="O181" t="str">
        <v>Spanish (Mexico)</v>
      </c>
    </row>
    <row r="182" spans="12:15" x14ac:dyDescent="0.25">
      <c r="L182">
        <v>2058</v>
      </c>
      <c r="M182" t="s">
        <v>256</v>
      </c>
      <c r="O182" t="str">
        <v>Spanish (Nicaragua)</v>
      </c>
    </row>
    <row r="183" spans="12:15" x14ac:dyDescent="0.25">
      <c r="L183">
        <v>19466</v>
      </c>
      <c r="M183" t="s">
        <v>257</v>
      </c>
      <c r="O183" t="str">
        <v>Spanish (Panama)</v>
      </c>
    </row>
    <row r="184" spans="12:15" x14ac:dyDescent="0.25">
      <c r="L184">
        <v>6154</v>
      </c>
      <c r="M184" t="s">
        <v>258</v>
      </c>
      <c r="O184" t="str">
        <v>Spanish (Paraguay)</v>
      </c>
    </row>
    <row r="185" spans="12:15" x14ac:dyDescent="0.25">
      <c r="L185">
        <v>15370</v>
      </c>
      <c r="M185" t="s">
        <v>259</v>
      </c>
      <c r="O185" t="str">
        <v>Spanish (Peru)</v>
      </c>
    </row>
    <row r="186" spans="12:15" x14ac:dyDescent="0.25">
      <c r="L186">
        <v>10250</v>
      </c>
      <c r="M186" t="s">
        <v>260</v>
      </c>
      <c r="O186" t="str">
        <v>Spanish (Puerto Rico)</v>
      </c>
    </row>
    <row r="187" spans="12:15" x14ac:dyDescent="0.25">
      <c r="L187">
        <v>20490</v>
      </c>
      <c r="M187" t="s">
        <v>261</v>
      </c>
      <c r="O187" t="str">
        <v>Spanish (Spain, International)</v>
      </c>
    </row>
    <row r="188" spans="12:15" x14ac:dyDescent="0.25">
      <c r="L188">
        <v>3082</v>
      </c>
      <c r="M188" t="s">
        <v>262</v>
      </c>
      <c r="O188" t="str">
        <v>Spanish (Spain, Traditional)</v>
      </c>
    </row>
    <row r="189" spans="12:15" x14ac:dyDescent="0.25">
      <c r="L189">
        <v>1034</v>
      </c>
      <c r="M189" t="s">
        <v>263</v>
      </c>
      <c r="O189" t="str">
        <v>Spanish (US)</v>
      </c>
    </row>
    <row r="190" spans="12:15" x14ac:dyDescent="0.25">
      <c r="L190">
        <v>21514</v>
      </c>
      <c r="M190" t="s">
        <v>264</v>
      </c>
      <c r="O190" t="str">
        <v>Spanish (Uruguay)</v>
      </c>
    </row>
    <row r="191" spans="12:15" x14ac:dyDescent="0.25">
      <c r="L191">
        <v>14346</v>
      </c>
      <c r="M191" t="s">
        <v>265</v>
      </c>
      <c r="O191" t="str">
        <v>Spanish (Venezuela)</v>
      </c>
    </row>
    <row r="192" spans="12:15" x14ac:dyDescent="0.25">
      <c r="L192">
        <v>8202</v>
      </c>
      <c r="M192" t="s">
        <v>266</v>
      </c>
      <c r="O192" t="str">
        <v>Swedish (Finland)</v>
      </c>
    </row>
    <row r="193" spans="12:15" x14ac:dyDescent="0.25">
      <c r="L193">
        <v>2077</v>
      </c>
      <c r="M193" t="s">
        <v>267</v>
      </c>
      <c r="O193" t="str">
        <v>Swedish (Sweden)</v>
      </c>
    </row>
    <row r="194" spans="12:15" x14ac:dyDescent="0.25">
      <c r="L194">
        <v>1053</v>
      </c>
      <c r="M194" t="s">
        <v>268</v>
      </c>
      <c r="O194" t="str">
        <v>Syriac</v>
      </c>
    </row>
    <row r="195" spans="12:15" x14ac:dyDescent="0.25">
      <c r="L195">
        <v>1114</v>
      </c>
      <c r="M195" t="s">
        <v>269</v>
      </c>
      <c r="O195" t="str">
        <v>Tajik</v>
      </c>
    </row>
    <row r="196" spans="12:15" x14ac:dyDescent="0.25">
      <c r="L196">
        <v>1064</v>
      </c>
      <c r="M196" t="s">
        <v>270</v>
      </c>
      <c r="O196" t="str">
        <v>Tamazight (Latin)</v>
      </c>
    </row>
    <row r="197" spans="12:15" x14ac:dyDescent="0.25">
      <c r="L197">
        <v>2143</v>
      </c>
      <c r="M197" t="s">
        <v>271</v>
      </c>
      <c r="O197" t="str">
        <v>Tamil</v>
      </c>
    </row>
    <row r="198" spans="12:15" x14ac:dyDescent="0.25">
      <c r="L198">
        <v>1097</v>
      </c>
      <c r="M198" t="s">
        <v>272</v>
      </c>
      <c r="O198" t="str">
        <v>Tatar</v>
      </c>
    </row>
    <row r="199" spans="12:15" x14ac:dyDescent="0.25">
      <c r="L199">
        <v>1092</v>
      </c>
      <c r="M199" t="s">
        <v>273</v>
      </c>
      <c r="O199" t="str">
        <v>Telugu</v>
      </c>
    </row>
    <row r="200" spans="12:15" x14ac:dyDescent="0.25">
      <c r="L200">
        <v>1098</v>
      </c>
      <c r="M200" t="s">
        <v>274</v>
      </c>
      <c r="O200" t="str">
        <v>Thai</v>
      </c>
    </row>
    <row r="201" spans="12:15" x14ac:dyDescent="0.25">
      <c r="L201">
        <v>1054</v>
      </c>
      <c r="M201" t="s">
        <v>275</v>
      </c>
      <c r="O201" t="str">
        <v>Tibetan</v>
      </c>
    </row>
    <row r="202" spans="12:15" x14ac:dyDescent="0.25">
      <c r="L202">
        <v>1105</v>
      </c>
      <c r="M202" t="s">
        <v>276</v>
      </c>
      <c r="O202" t="str">
        <v>Turkish</v>
      </c>
    </row>
    <row r="203" spans="12:15" x14ac:dyDescent="0.25">
      <c r="L203">
        <v>1055</v>
      </c>
      <c r="M203" t="s">
        <v>277</v>
      </c>
      <c r="O203" t="str">
        <v>Turkmen</v>
      </c>
    </row>
    <row r="204" spans="12:15" x14ac:dyDescent="0.25">
      <c r="L204">
        <v>1090</v>
      </c>
      <c r="M204" t="s">
        <v>278</v>
      </c>
      <c r="O204" t="str">
        <v>Uighur</v>
      </c>
    </row>
    <row r="205" spans="12:15" x14ac:dyDescent="0.25">
      <c r="L205">
        <v>1152</v>
      </c>
      <c r="M205" t="s">
        <v>279</v>
      </c>
      <c r="O205" t="str">
        <v>Ukrainian</v>
      </c>
    </row>
    <row r="206" spans="12:15" x14ac:dyDescent="0.25">
      <c r="L206">
        <v>1058</v>
      </c>
      <c r="M206" t="s">
        <v>280</v>
      </c>
      <c r="O206" t="str">
        <v>Upper Sorbian</v>
      </c>
    </row>
    <row r="207" spans="12:15" x14ac:dyDescent="0.25">
      <c r="L207">
        <v>1070</v>
      </c>
      <c r="M207" t="s">
        <v>281</v>
      </c>
      <c r="O207" t="str">
        <v>Urdu</v>
      </c>
    </row>
    <row r="208" spans="12:15" x14ac:dyDescent="0.25">
      <c r="L208">
        <v>1056</v>
      </c>
      <c r="M208" t="s">
        <v>282</v>
      </c>
      <c r="O208" t="str">
        <v>Uzbek (Cyrillic)</v>
      </c>
    </row>
    <row r="209" spans="12:15" x14ac:dyDescent="0.25">
      <c r="L209">
        <v>2115</v>
      </c>
      <c r="M209" t="s">
        <v>283</v>
      </c>
      <c r="O209" t="str">
        <v>Uzbek (Latin)</v>
      </c>
    </row>
    <row r="210" spans="12:15" x14ac:dyDescent="0.25">
      <c r="L210">
        <v>1091</v>
      </c>
      <c r="M210" t="s">
        <v>284</v>
      </c>
      <c r="O210" t="str">
        <v>Vietnamese</v>
      </c>
    </row>
    <row r="211" spans="12:15" x14ac:dyDescent="0.25">
      <c r="L211">
        <v>1066</v>
      </c>
      <c r="M211" t="s">
        <v>285</v>
      </c>
      <c r="O211" t="str">
        <v>Welsh</v>
      </c>
    </row>
    <row r="212" spans="12:15" x14ac:dyDescent="0.25">
      <c r="L212">
        <v>1106</v>
      </c>
      <c r="M212" t="s">
        <v>286</v>
      </c>
      <c r="O212" t="str">
        <v>Wolof</v>
      </c>
    </row>
    <row r="213" spans="12:15" x14ac:dyDescent="0.25">
      <c r="L213">
        <v>1160</v>
      </c>
      <c r="M213" t="s">
        <v>287</v>
      </c>
      <c r="O213" t="str">
        <v>Yakut</v>
      </c>
    </row>
    <row r="214" spans="12:15" x14ac:dyDescent="0.25">
      <c r="L214">
        <v>1157</v>
      </c>
      <c r="M214" t="s">
        <v>288</v>
      </c>
      <c r="O214" t="str">
        <v>Yi</v>
      </c>
    </row>
    <row r="215" spans="12:15" x14ac:dyDescent="0.25">
      <c r="L215">
        <v>1144</v>
      </c>
      <c r="M215" t="s">
        <v>289</v>
      </c>
      <c r="O215" t="str">
        <v>Yoruba</v>
      </c>
    </row>
    <row r="216" spans="12:15" x14ac:dyDescent="0.25">
      <c r="L216">
        <v>1130</v>
      </c>
      <c r="M216" t="s">
        <v>290</v>
      </c>
    </row>
  </sheetData>
  <pageMargins left="0.7" right="0.7" top="0.75" bottom="0.75" header="0.3" footer="0.3"/>
  <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item1.xml><?xml version="1.0" encoding="utf-8"?>
<Text><![CDATA[
ARROWSHIFT = LAMBDA(starting_cell,arrow, LET(
   Arrows, VSTACK("↗", "↓", "↖", "←", "→", "↙", "↘", "↑"),
   Cards, VSTACK("NE", "S", "NW", "W", "E", "SW", "SE", "N"),
   Arrowsx, VSTACK(1, 0, -1, -1, 1, -1, 1, 0),
   Arrowsy, VSTACK(-1, 1, -1, 0, 0, 1, 1, -1),
   CardInd, ISERROR(XMATCH(RIGHT(arrow), Arrows, 0)),
   CardComment, "Multiplier Can Only Be Used On Arrows",
   d, IF(CardInd, arrow, RIGHT(arrow, 1)),
   m, IF((LEN(arrow) = 1) + CardInd, 1, 1 * LEFT(arrow, LEN(arrow) - 1)),
   xmoveunit, XLOOKUP(d, IF(CardInd, Cards, Arrows), Arrowsx),
   ymoveunit, XLOOKUP(d, IF(CardInd, Cards, Arrows), Arrowsy),
   xmove, xmoveunit * m,
   ymove, ymoveunit * m,
   collet, TAKE(TEXTSPLIT(starting_cell, SEQUENCE(, 10, 0)), , 1),
   startcol, COLUMN(INDIRECT(collet & 1)),
   startrow, 1 * RIGHT(starting_cell, LEN(starting_cell) - LEN(collet)),
   newcell, ADDRESS(startrow + ymove, startcol + xmove, 4),
   newcell
));
]]></Text>
</file>

<file path=customXml/item2.xml><?xml version="1.0" encoding="utf-8"?>
<JSON><![CDATA[
{
  "Commands": [
    {
      "Name": "Align Array to Right",
      "Description": "Aligns array to the right with blanks to left",
      "Type": "ExcelFormulaCommand",
      "LaunchCodes": [
        "ar"
      ],
      "Formula": "=RightAlignedArray_byJaqKennedy(IFBLANK([[ActiveCell::Formula]],\"\"))",
      "Tags": [
        "WrapWith"
      ],
      "FormulaDependencies": [
        "RightAlignedArray_byJaqKennedy.lambda",
        "IFBLANK.lambda"
      ]
    },
    {
      "Name": "Backup Sheets in Workbook",
      "Description": "Copy all sheets in workbook for backup",
      "Type": "VBAMacroCommand",
      "LaunchCodes": [
        "BU"
      ],
      "MacroExpression": "modCaseSetup.Backup()",
      "Tags": [
        "Prep"
      ],
      "MacroWorkbookConnection": "ThisWorkbook"
    },
    {
      "Name": "Clear Lambdas",
      "Description": "Clear lambdas that aren't in Lambdas table - for Comp Bot maintenance",
      "Type": "VBAMacroCommand",
      "LaunchCodes": [
        "CL"
      ],
      "MacroExpression": "modLambdas.ClearLambdas()",
      "Tags": [
        "Maintenance"
      ]
    },
    {
      "Name": "Create Blank Sheet",
      "Description": "Creates a blank sheet named based on cell value (Sht otherwise)",
      "Type": "VBAMacroCommand",
      "LaunchCodes": [
        "BS",
        "CBS",
        "S"
      ],
      "MacroExpression": "modMisc.CreateBlankSheet([[ActiveCell]])",
      "Tags": [
        "Prep"
      ],
      "MacroWorkbookConnection": "ThisWorkbook"
    },
    {
      "Name": "Create Bonus Sheet",
      "Description": "Creates bonus sheet \"B\" with bonus questions",
      "Type": "VBAMacroCommand",
      "LaunchCodes": [
        "CB",
        "CBS"
      ],
      "MacroExpression": "modCaseSetup.CreateBonusSheet()",
      "Tags": [
        "Prep"
      ]
    },
    {
      "Name": "Create Case Inputs Sheet",
      "Description": "Creates a case inputs sheet with the inputs for the current case",
      "Type": "VBAMacroCommand",
      "LaunchCodes": [
        "CIS",
        "IS"
      ],
      "MacroExpression": "modCaseSetup.CreateCaseInputsSheet([[ActiveCell]])",
      "Tags": [
        "Prep"
      ],
      "MacroWorkbookConnection": "ThisWorkbook"
    },
    {
      "Name": "Create Data Table",
      "Description": "Creates a data table on the current sheet for level sheets \"L#\" or active cell = \"Example#\"",
      "Type": "VBAMacroCommand",
      "LaunchCodes": [
        "CDT",
        "DT"
      ],
      "MacroExpression": "modCaseSetup.CreateDataTable([[NewTableTargetToRight]])",
      "Tags": [
        "Prep"
      ]
    },
    {
      "Name": "Create Level Sheets",
      "Description": "Creates a sheet for each level in the Case sheet",
      "Type": "VBAMacroCommand",
      "LaunchCodes": [
        "CL",
        "CLS"
      ],
      "MacroExpression": "modCaseSetup.CreateLevelSheets()",
      "Tags": [
        "Prep"
      ]
    },
    {
      "Name": "Default Settings",
      "Description": "Updates default settings to those in Default Settings sheet",
      "Type": "VBAMacroCommand",
      "LaunchCodes": [
        "DS"
      ],
      "MacroExpression": "modMisc.DefaultSettings()",
      "Tags": [
        "Settings"
      ]
    },
    {
      "Name": "Difference of Array Columns by Row",
      "Description": "Returns first column - last column in array",
      "Type": "ExcelFormulaCommand",
      "LaunchCodes": [
        "diff",
        "dbr"
      ],
      "Formula": "=DiffByRow_byJaqKennedy([[ActiveCell::Formula]])",
      "Tags": [
        "WrapWith"
      ],
      "FormulaDependencies": [
        "DiffByRow_byJaqKennedy.lambda"
      ]
    },
    {
      "Name": "Eggy",
      "Description": "Easter Egg Fun",
      "Type": "VBAMacroCommand",
      "MacroExpression": "modUtilities.Eggy()"
    },
    {
      "Name": "Find Above In Left",
      "Description": "Find above value(s) in left value(s).",
      "Type": "ExcelFormulaCommand",
      "LaunchCodes": [
        "fal"
      ],
      "Formula": "=1-ISERROR(FIND([[ActiveCell.Offset(-1,0).SpillParent.SpillingToRange]],[[ActiveCell.Offset(0,-1).SpillParent.SpillingToRange]]))",
      "Tags": [
        "WrapWith"
      ]
    },
    {
      "Name": "Full Setup Case",
      "Description": "Setup case by running Backup and Level sheet creation",
      "Type": "VBAMacroCommand",
      "ShortCutSendKeyString": "^+g",
      "CommandAfter": "Import Lambda Library",
      "LaunchCodes": [
        "SC"
      ],
      "MacroExpression": "modCaseSetup.Setup()",
      "Tags": [
        "Prep"
      ]
    },
    {
      "Name": "Get Time",
      "Description": "Get current time.",
      "Type": "VBAMacroCommand",
      "LaunchCodes": [
        "NOW"
      ],
      "MacroExpression": "modUtilities.GetTime()",
      "Tags": [
        "Misc"
      ]
    },
    {
      "Name": "Goto Similar Background Color",
      "Description": "Goto similar background color.",
      "Type": "VBAMacroCommand",
      "LaunchCodes": [
        "SBC"
      ],
      "MacroExpression": "modGoToSpecial.GotoSimilarBackgroundColor()",
      "Tags": [
        "GoTo"
      ]
    },
    {
      "Name": "Import Lambda Library",
      "Description": "Imports CompBot's lambda collection into active workbook",
      "Type": "VBAMacroCommand",
      "LaunchCodes": [
        "IL"
      ],
      "MacroExpression": "modImportLambdas.ImportAllLambdas(\"CompBot.xlsm\")",
      "Tags": [
        "LAMBDA",
        "Prep"
      ],
      "MacroWorkbookConnection": "Lambda Robot"
    },
    {
      "Name": "Import Lambdas From",
      "Description": "Import lambdas from a specified workbook",
      "Type": "VBAMacroCommand",
      "LaunchCodes": [
        "ILF"
      ],
      "MacroExpression": "modLambdas.ImportLambdasFrom()",
      "Tags": [
        "LAMBDA",
        "Prep"
      ]
    },
    {
      "Name": "Insert image in cell",
      "Description": "Insert image in cell.",
      "Type": "ExcelSendKeysCommand",
      "LaunchCodes": [
        "II"
      ],
      "Keystrokes": [
        "%npid"
      ]
    },
    {
      "Name": "Lookup Value by Row",
      "Description": "Returns RC location of a list of values in a range",
      "Type": "ExcelFormulaCommand",
      "LaunchCodes": [
        "lkp"
      ],
      "Formula": "=LkpRCByRow([[ActiveCell::Formula]],[[Clipboard::Address]])",
      "Tags": [
        "WrapWith"
      ],
      "FormulaDependencies": [
        "LkpRCByRow.lambda",
        "BiRow.lambda",
        "LkpRC.lambda",
        "FilterArray.lambda",
        "IsInList.lambda",
        "GRIDTOCOL_byLiannaGerrish.lambda",
        "ADDRESSES_byDiarmuidEarly.lambda"
      ]
    },
    {
      "Name": "Name All Used Ranges",
      "Description": "Renames used range in all sheets",
      "Type": "VBAMacroCommand",
      "LaunchCodes": [
        "NA",
        "NAUR"
      ],
      "MacroExpression": "modNames.NameAllUsedRanges()",
      "Tags": [
        "Name"
      ]
    },
    {
      "Name": "Name Used Ranges",
      "Description": "Names used range in all sheets starting with the prefix as provided in the active cell",
      "Type": "VBAMacroCommand",
      "LaunchCodes": [
        "NURS"
      ],
      "MacroExpression": "modNames.NameUsedRanges([[ActiveCell]])",
      "Tags": [
        "Name"
      ]
    },
    {
      "Name": "Negative Values",
      "Description": "Negative values. with errors as blank",
      "Type": "ExcelFormulaCommand",
      "LaunchCodes": [
        "neg"
      ],
      "Formula": "=IFERROR(-([[ActiveCell::Formula]]),\"\")",
      "Tags": [
        "WrapWith"
      ]
    },
    {
      "Name": "Rename Sheets",
      "Description": "Rename multi-word sheet names",
      "Type": "VBAMacroCommand",
      "LaunchCodes": [
        "rs"
      ],
      "MacroExpression": "modCaseSetup.RenameSht()",
      "Tags": [
        "Prep"
      ]
    },
    {
      "Name": "Save Answers To Left",
      "Description": "Saves references to the selected cells in the green answer cells to the left on the same row.",
      "Type": "VBAMacroCommand",
      "LaunchCodes": [
        "SAL"
      ],
      "MacroExpression": "modCaseSetup.SaveAnswersToLeft()",
      "Tags": [
        "Paste"
      ]
    },
    {
      "Name": "Save Copy of File",
      "Description": "Enable editing and save copy of file with suffix based on active cell (otherwise Working)",
      "Type": "VBAMacroCommand",
      "LaunchCodes": [
        "SA"
      ],
      "MacroExpression": "modCaseSetup.SaveCopy([[ActiveCell]])",
      "Tags": [
        "Prep"
      ]
    },
    {
      "Name": "Sequence of Row Count",
      "Description": "Sequence of row count of array variable",
      "Type": "ExcelFormulaCommand",
      "LaunchCodes": [
        "src"
      ],
      "Formula": "=SEQUENCE(ROWS([[ActiveCell::Formula]]),1,1,1)",
      "Tags": [
        "WrapWith"
      ]
    },
    {
      "Name": "Setup Case",
      "Description": "Setup case by running Backup and Level sheet creation",
      "Type": "VBAMacroCommand",
      "LaunchCodes": [
        "SC"
      ],
      "MacroExpression": "modCaseSetup.Setup()",
      "Tags": [
        "Prep"
      ]
    },
    {
      "Name": "Substitute Blank for 0",
      "Description": "Substitute blank values for 0",
      "Type": "ExcelFormulaCommand",
      "LaunchCodes": [
        "sb0"
      ],
      "Formula": "=SUBSTITUTE([[ActiveCell::Formula]],\"\",0)",
      "Tags": [
        "WrapWith"
      ]
    },
    {
      "Name": "Substitute Blank for 1",
      "Description": "Substitute blank cells for 1",
      "Type": "ExcelFormulaCommand",
      "LaunchCodes": [
        "sb1"
      ],
      "Formula": "=SUBSTITUTE([[ActiveCell::Formula]],\"\",1)",
      "Tags": [
        "WrapWith"
      ]
    },
    {
      "Name": "Toggle Calculation Mode",
      "Description": "Toggles calculation mode and places current mode notice in StatusBar",
      "Type": "VBAMacroCommand",
      "LaunchCodes": [
        "TC"
      ],
      "MacroExpression": "modMisc.ToggleCalculationMode()",
      "Tags": [
        "Settings"
      ]
    },
    {
      "Name": "Toggle Iterative Calculation",
      "Description": "Toggles iterative calculation and sets status in status bar",
      "Type": "VBAMacroCommand",
      "LaunchCodes": [
        "IC"
      ],
      "MacroExpression": "modMisc.ToggleIterativeCalculation()",
      "Tags": [
        "Settings"
      ]
    },
    {
      "Name": "Wrap in ABS",
      "Description": "Wrap in abs.",
      "Type": "ExcelFormulaCommand",
      "LaunchCodes": [
        "ABS"
      ],
      "Formula": "=ABS([[ActiveCell::Formula]])",
      "Tags": [
        "WrapWith"
      ]
    },
    {
      "Name": "Wrap in Concat",
      "Description": "Wrap in concat.",
      "Type": "ExcelFormulaCommand",
      "LaunchCodes": [
        "con"
      ],
      "Formula": "=CONCAT([[ActiveCell::Formula]])",
      "Tags": [
        "WrapWith"
      ]
    },
    {
      "Name": "Wrap in Drop First Row",
      "Description": "Wrap in drop first row",
      "Type": "ExcelFormulaCommand",
      "LaunchCodes": [
        "DF"
      ],
      "Formula": "=DROP([[ActiveCell::Formula]],1)",
      "Tags": [
        "WrapWith"
      ]
    },
    {
      "Name": "Wrap in IFERROR with space",
      "Description": "Wrap in iferror.",
      "Type": "ExcelFormulaCommand",
      "LaunchCodes": [
        "err"
      ],
      "Formula": "=IFERROR([[ActiveCell::Formula]],\" \")",
      "Tags": [
        "WrapWith"
      ]
    },
    {
      "Name": "Wrap in Take by Copied Cell Columns",
      "Description": "Wrap in take by copied cell columns.",
      "Type": "ExcelFormulaCommand",
      "LaunchCodes": [
        "TCC"
      ],
      "Formula": "=TAKE([[ActiveCell::Formula]],,[[Clipboard]])",
      "Tags": [
        "WrapWith"
      ]
    },
    {
      "Name": "Wrap in UNICHAR",
      "Description": "Wrap in unichar.",
      "Type": "ExcelFormulaCommand",
      "LaunchCodes": [
        "char"
      ],
      "Formula": "=UNICHAR([[ActiveCell::Formula]])",
      "Tags": [
        "WrapWith"
      ]
    },
    {
      "Name": "Wrap in UNICODE",
      "Description": "Wrap in unicode.",
      "Type": "ExcelFormulaCommand",
      "LaunchCodes": [
        "code"
      ],
      "Formula": "=UNICODE([[ActiveCell::Formula]])",
      "Tags": [
        "WrapWith"
      ]
    },
    {
      "Name": "Wrap with IFERROR TEXTBEFORE space",
      "Description": "Wraps current formula with TEXTBEFORE space with IFERROR in case space doesn't exist",
      "Type": "ExcelFormulaCommand",
      "LaunchCodes": [
        "tbse"
      ],
      "Formula": "=IFERROR(TEXTBEFORE([[ActiveCell::Formula]],\" \"),[[ActiveCell::Formula]])",
      "Tags": [
        "WrapWith"
      ]
    },
    {
      "Name": "Wrap with TextBefore Space",
      "Description": "Text before space.",
      "Type": "ExcelFormulaCommand",
      "LaunchCodes": [
        "tbs"
      ],
      "Formula": "=TEXTBEFORE([[ActiveCell::Formula]],\" \")",
      "Tags": [
        "WrapWith"
      ]
    }
  ],
  "Texts": [
    {
      "Name": "ADDRESSES_byDiarmuidEarly.lambda",
      "Description": "Definition of ADDRESSES_byDiarmuidEarly lambda function.",
      "Type": "ExcelNameText",
      "ContentType": "ExcelFormula",
      "Location": "ADDRESSES_byDiarmuidEarly"
    },
    {
      "Name": "BiRow.lambda",
      "Description": "Definition of BiRow lambda function.",
      "Type": "ExcelNameText",
      "ContentType": "ExcelFormula",
      "Location": "BiRow"
    },
    {
      "Name": "DiffByRow_byJaqKennedy.lambda",
      "Description": "Definition of DiffByRow_byJaqKennedy lambda function.",
      "Type": "ExcelNameText",
      "ContentType": "ExcelFormula",
      "Location": "DiffByRow_byJaqKennedy"
    },
    {
      "Name": "FilterArray.lambda",
      "Description": "Definition of FilterArray lambda function.",
      "Type": "ExcelNameText",
      "ContentType": "ExcelFormula",
      "Location": "FilterArray"
    },
    {
      "Name": "GRIDTOCOL_byLiannaGerrish.lambda",
      "Description": "Definition of GRIDTOCOL_byLiannaGerrish lambda function.",
      "Type": "ExcelNameText",
      "ContentType": "ExcelFormula",
      "Location": "GRIDTOCOL_byLiannaGerrish"
    },
    {
      "Name": "IFBLANK.lambda",
      "Description": "Definition of IFBLANK lambda function.",
      "Type": "ExcelNameText",
      "ContentType": "ExcelFormula",
      "Location": "IFBLANK"
    },
    {
      "Name": "IsInList.lambda",
      "Description": "Definition of IsInList lambda function.",
      "Type": "ExcelNameText",
      "ContentType": "ExcelFormula",
      "Location": "IsInList"
    },
    {
      "Name": "LkpRC.lambda",
      "Description": "Definition of LkpRC lambda function.",
      "Type": "ExcelNameText",
      "ContentType": "ExcelFormula",
      "Location": "LkpRC"
    },
    {
      "Name": "LkpRCByRow.lambda",
      "Description": "Definition of LkpRCByRow lambda function.",
      "Type": "ExcelNameText",
      "ContentType": "ExcelFormula",
      "Location": "LkpRCByRow"
    },
    {
      "Name": "RightAlignedArray_byJaqKennedy.lambda",
      "Description": "Definition of RightAlignedArray_byJaqKennedy lambda function.",
      "Type": "ExcelNameText",
      "ContentType": "ExcelFormula",
      "Location": "RightAlignedArray_byJaqKennedy"
    }
  ]
}
]]></JSON>
</file>

<file path=customXml/item3.xml><?xml version="1.0" encoding="utf-8"?>
<Text><![CDATA[
]]></Text>
</file>

<file path=customXml/item4.xml><?xml version="1.0" encoding="utf-8"?>
<Text><![CDATA[
]]></Text>
</file>

<file path=customXml/item5.xml><?xml version="1.0" encoding="utf-8"?>
<Text><![CDATA[
]]></Text>
</file>

<file path=customXml/item6.xml><?xml version="1.0" encoding="utf-8"?>
<Text><![CDATA[
]]></Text>
</file>

<file path=customXml/item7.xml><?xml version="1.0" encoding="utf-8"?>
<Text><![CDATA[
/*Applies -- to values, with option to sum output.  */
MM_byHaDang = LAMBDA(value,[add_up], LET(
   \\LambdaName, "MM_byHaDang",
   \\Description, "Applies -- to values, with option to sum output",
   result, IFERROR(--(value), value & ""),
   IF(add_up, SUM(result), result)
));
]]></Text>
</file>

<file path=customXml/item8.xml><?xml version="1.0" encoding="utf-8"?>
<Text><![CDATA[
]]></Text>
</file>

<file path=customXml/item9.xml><?xml version="1.0" encoding="utf-8"?>
<Text><![CDATA[
RightAlignedArray = LAMBDA(input, LET(
   \\LambdaName, "RightAlignedArray",
   \\CommandName, "Align array to right",
   \\Description, "Aligns array to the right with blanks to left",
   \\Source, "Jaq Kennedy",
   _ColsByRow, BYROW(input, COUNT),
   _Rows, ROWS(input),
   _Cols, COLUMNS(input),
   _ColIndex, IF(
      MOD(SEQUENCE(_Rows, _Cols) - 1, _Cols) + 1 - _Cols + _ColsByRow <= 0,
      -1,
      MOD(SEQUENCE(_Rows, _Cols) - 1, _Cols) + 1 - _Cols + _ColsByRow
   ),
   _RowIndex, SEQUENCE(_Rows),
   _Result, IFERROR(INDEX(input, _RowIndex, _ColIndex), ""),
   _Result
));
]]></Text>
</file>

<file path=customXml/item10.xml><?xml version="1.0" encoding="utf-8"?>
<Text><![CDATA[
ADDRESSES_byDiarmuidEarly = LAMBDA(rng, ADDRESS(ROW(rng), COLUMN(rng), 4));
]]></Text>
</file>

<file path=customXml/item11.xml><?xml version="1.0" encoding="utf-8"?>
<Text><![CDATA[
LkpRC = LAMBDA(ToFind,Range,LET(\\LambdaName, "LkpRC", \\CommandName, "Lookup RC coordinates ", \\Description, "Looks up RC coordinates of matching cell(s) in range", CHOOSECOLS(FilterArray_byErikOehm(GRIDTOCOL_byLiannaGerrish(Range), {1}, ToFind), {2,3})));
]]></Text>
</file>

<file path=customXml/item12.xml><?xml version="1.0" encoding="utf-8"?>
<Text><![CDATA[
]]></Text>
</file>

<file path=customXml/item13.xml><?xml version="1.0" encoding="utf-8"?>
<Text><![CDATA[
]]></Text>
</file>

<file path=customXml/item14.xml><?xml version="1.0" encoding="utf-8"?>
<Text><![CDATA[
]]></Text>
</file>

<file path=customXml/item15.xml><?xml version="1.0" encoding="utf-8"?>
<Text><![CDATA[
IFBLANK = LAMBDA(value,value_if_blank, IF(ISBLANK(value), value_if_blank, value));
]]></Text>
</file>

<file path=customXml/item16.xml><?xml version="1.0" encoding="utf-8"?>
<Text><![CDATA[
/*Aligns contents of array to the right - ignoring blanks*/
RightAlignedArray_byJaqKennedy = LAMBDA(input,LET(\\LambdaName, "RightAlignedArray", \\CommandName, "Align array to right", \\Description, "Aligns array to the right with blanks to left", \\Source, "Jaq Kennedy", _ColsByRow, BYROW(input, COUNT), _Rows, ROWS(input), _Cols, COLUMNS(input), _ColIndex, IF(MOD(SEQUENCE(_Rows, _Cols) - 1, _Cols) + 1 - _Cols + _ColsByRow <= 0, -1, MOD(SEQUENCE(_Rows, _Cols) - 1, _Cols) + 1 - _Cols + _ColsByRow), _RowIndex, SEQUENCE(_Rows), _Result, IFERROR(INDEX(input, _RowIndex, _ColIndex), ""), _Result));
]]></Text>
</file>

<file path=customXml/item17.xml><?xml version="1.0" encoding="utf-8"?>
<Text><![CDATA[
LkpRCByRow = LAMBDA(ToFind,Range,LET(\\LambdaName, "LkpRCByRow", \\CommandName, "Lookup Value by Row", \\Description, "Returns RC location of a list of values in a range", \\Source, "Jaq Kennedy", BiRow_byPeterBartholomew(ToFind, LAMBDA(a, IFERROR(CHOOSEROWS(LkpRC(a, Range), 1), {"",""})))));
]]></Text>
</file>

<file path=customXml/item18.xml><?xml version="1.0" encoding="utf-8"?>
<writeIndexDataTable>
  <xs:schema xmlns="" xmlns:xs="http://www.w3.org/2001/XMLSchema" xmlns:msdata="urn:schemas-microsoft-com:xml-msdata" id="writeIndexDataTable">
    <xs:element name="writeIndexDataTable" msdata:IsDataSet="true" msdata:UseCurrentLocale="true">
      <xs:complexType>
        <xs:choice minOccurs="0" maxOccurs="unbounded">
          <xs:element name="CustomXmlPartIndex">
            <xs:complexType>
              <xs:sequence>
                <xs:element name="CollectionName" type="xs:string"/>
                <xs:element name="ItemName" type="xs:string"/>
                <xs:element name="ItemDescription" type="xs:string" minOccurs="0"/>
                <xs:element name="ItemType" type="xs:string" minOccurs="0"/>
                <xs:element name="ItemSubtype" type="xs:string" minOccurs="0"/>
                <xs:element name="LastUpdated" type="xs:string" minOccurs="0"/>
                <xs:element name="CustomXmlPartGuid" type="xs:string" minOccurs="0"/>
              </xs:sequence>
            </xs:complexType>
          </xs:element>
        </xs:choice>
      </xs:complexType>
      <xs:unique name="Constraint1" msdata:PrimaryKey="true">
        <xs:selector xpath=".//CustomXmlPartIndex"/>
        <xs:field xpath="CollectionName"/>
        <xs:field xpath="ItemName"/>
      </xs:unique>
    </xs:element>
  </xs:schema>
  <CustomXmlPartIndex>
    <CollectionName>HotkeyCommands</CollectionName>
    <ItemName>HotkeyCommands</ItemName>
    <ItemType>JSON</ItemType>
    <LastUpdated>18/04/2025 21:40:20 +01:00</LastUpdated>
    <CustomXmlPartGuid>{60136850-0A80-46DA-A7BC-83E4B88FD331}</CustomXmlPartGuid>
  </CustomXmlPartIndex>
  <CustomXmlPartIndex>
    <CollectionName>HotkeyCommands</CollectionName>
    <ItemName>ADDRESSES_byDiarmuidEarly.lambda</ItemName>
    <ItemDescription/>
    <ItemType>Text</ItemType>
    <ItemSubtype/>
    <LastUpdated>18/04/2025 21:40:20 +01:00</LastUpdated>
    <CustomXmlPartGuid>{9C3962FE-B426-46FD-8FB0-7535580B8A92}</CustomXmlPartGuid>
  </CustomXmlPartIndex>
  <CustomXmlPartIndex>
    <CollectionName>HotkeyCommands</CollectionName>
    <ItemName>BiRow.lambda</ItemName>
    <ItemDescription/>
    <ItemType>Text</ItemType>
    <ItemSubtype/>
    <LastUpdated>18/04/2025 21:40:20 +01:00</LastUpdated>
    <CustomXmlPartGuid>{D2670061-FB7D-41F0-AB90-118C32DC6B5A}</CustomXmlPartGuid>
  </CustomXmlPartIndex>
  <CustomXmlPartIndex>
    <CollectionName>HotkeyCommands</CollectionName>
    <ItemName>DiffByRow_byJaqKennedy.lambda</ItemName>
    <ItemDescription/>
    <ItemType>Text</ItemType>
    <ItemSubtype/>
    <LastUpdated>18/04/2025 21:40:20 +01:00</LastUpdated>
    <CustomXmlPartGuid>{1A9F9B0F-1F08-4F37-9A0C-B6CBC0761010}</CustomXmlPartGuid>
  </CustomXmlPartIndex>
  <CustomXmlPartIndex>
    <CollectionName>HotkeyCommands</CollectionName>
    <ItemName>FilterArray.lambda</ItemName>
    <ItemDescription/>
    <ItemType>Text</ItemType>
    <ItemSubtype/>
    <LastUpdated>18/04/2025 21:40:20 +01:00</LastUpdated>
    <CustomXmlPartGuid>{A83826B5-B686-40BC-844F-041648993120}</CustomXmlPartGuid>
  </CustomXmlPartIndex>
  <CustomXmlPartIndex>
    <CollectionName>HotkeyCommands</CollectionName>
    <ItemName>GRIDTOCOL_byLiannaGerrish.lambda</ItemName>
    <ItemDescription/>
    <ItemType>Text</ItemType>
    <ItemSubtype/>
    <LastUpdated>18/04/2025 21:40:20 +01:00</LastUpdated>
    <CustomXmlPartGuid>{4E9FD6E5-37CB-441F-9645-F6D489E32598}</CustomXmlPartGuid>
  </CustomXmlPartIndex>
  <CustomXmlPartIndex>
    <CollectionName>HotkeyCommands</CollectionName>
    <ItemName>IFBLANK.lambda</ItemName>
    <ItemDescription/>
    <ItemType>Text</ItemType>
    <ItemSubtype/>
    <LastUpdated>18/04/2025 21:40:20 +01:00</LastUpdated>
    <CustomXmlPartGuid>{B3FD0068-9C97-44E4-93C5-75B53553265A}</CustomXmlPartGuid>
  </CustomXmlPartIndex>
  <CustomXmlPartIndex>
    <CollectionName>HotkeyCommands</CollectionName>
    <ItemName>IsInList.lambda</ItemName>
    <ItemDescription/>
    <ItemType>Text</ItemType>
    <ItemSubtype/>
    <LastUpdated>18/04/2025 21:40:20 +01:00</LastUpdated>
    <CustomXmlPartGuid>{2EC15307-E297-4155-8C64-BD7C819FC834}</CustomXmlPartGuid>
  </CustomXmlPartIndex>
  <CustomXmlPartIndex>
    <CollectionName>HotkeyCommands</CollectionName>
    <ItemName>LkpRC.lambda</ItemName>
    <ItemDescription/>
    <ItemType>Text</ItemType>
    <ItemSubtype/>
    <LastUpdated>18/04/2025 21:40:20 +01:00</LastUpdated>
    <CustomXmlPartGuid>{148CA7B6-1095-4B59-A609-F0DD3983C05B}</CustomXmlPartGuid>
  </CustomXmlPartIndex>
  <CustomXmlPartIndex>
    <CollectionName>HotkeyCommands</CollectionName>
    <ItemName>LkpRCByRow.lambda</ItemName>
    <ItemDescription/>
    <ItemType>Text</ItemType>
    <ItemSubtype/>
    <LastUpdated>18/04/2025 21:40:20 +01:00</LastUpdated>
    <CustomXmlPartGuid>{77900331-8BCF-4A61-83B4-0F22D244E56E}</CustomXmlPartGuid>
  </CustomXmlPartIndex>
  <CustomXmlPartIndex>
    <CollectionName>HotkeyCommands</CollectionName>
    <ItemName>RightAlignedArray_byJaqKennedy.lambda</ItemName>
    <ItemDescription/>
    <ItemType>Text</ItemType>
    <ItemSubtype/>
    <LastUpdated>18/04/2025 21:40:20 +01:00</LastUpdated>
    <CustomXmlPartGuid>{CC8676E6-6DD4-4D3A-B5C3-FEDBE93B926B}</CustomXmlPartGuid>
  </CustomXmlPartIndex>
</writeIndexDataTable>
</file>

<file path=customXml/item19.xml><?xml version="1.0" encoding="utf-8"?>
<Text><![CDATA[
GRIDTOCOL_byLiannaGerrish = LAMBDA(grid,[ShowAll_0], LET(
   \\LambdaName, "GRIDTOCOL",
   items_grid, TOCOL(grid),
   addr_col, TOCOL(ADDRESSES_byDiarmuidEarly(grid)),
   rows, ROW(INDIRECT(addr_col)) * 1,
   cols, COLUMN(INDIRECT(addr_col)) * 1,
   rcnum, TOCOL(1000000 * rows + 1000 + cols),
   headers, HSTACK("Items", "Row #", "Column #", "Address", "RCRef"),
   data_grid, HSTACK(items_grid, rows, cols, addr_col, rcnum),
   IF(
      OR(ISOMITTED(ShowAll_0), ShowAll_0 <> 0),
      VSTACK(headers, FILTER(data_grid, CHOOSECOLS(data_grid, 1) <> 0)),
      VSTACK(headers, data_grid)
   )
));
]]></Text>
</file>

<file path=customXml/item20.xml><?xml version="1.0" encoding="utf-8"?>
<Text><![CDATA[
]]></Text>
</file>

<file path=customXml/item21.xml><?xml version="1.0" encoding="utf-8"?>
<Text><![CDATA[
DiffByRow_byJaqKennedy = LAMBDA(Input,LET(\\LambdaName, "DiffByRow", \\CommandName, "Difference of array columns by row", \\Description, "Returns first column - last column in array", \\Source, "Jaq Kennedy", TAKE(Input, , 1) - TAKE(Input, , -1)));
]]></Text>
</file>

<file path=customXml/item22.xml><?xml version="1.0" encoding="utf-8"?>
<Text><![CDATA[
]]></Text>
</file>

<file path=customXml/item23.xml><?xml version="1.0" encoding="utf-8"?>
<Text><![CDATA[
]]></Text>
</file>

<file path=customXml/item24.xml><?xml version="1.0" encoding="utf-8"?>
<Text><![CDATA[
]]></Text>
</file>

<file path=customXml/item25.xml><?xml version="1.0" encoding="utf-8"?>
<Text><![CDATA[
]]></Text>
</file>

<file path=customXml/item26.xml><?xml version="1.0" encoding="utf-8"?>
<Text><![CDATA[
]]></Text>
</file>

<file path=customXml/item27.xml><?xml version="1.0" encoding="utf-8"?>
<Text><![CDATA[
BiRow = LAMBDA(array,function, LET(
   \\LambdaName, "BiRow",
   \\Description, "Perform array function by row",
   \\Source, "https://techcommunity.microsoft.com/discussions/excelgeneral/recursive-lambda-implementation-of-excels-reduce-function-/3949754/replies/3952653#M207809",
   IF(
      ROWS(array) = 1,
      function(array),
      VSTACK(
         BiRow(TAKE(array, ROWS(array) / 2), function),
         BiRow(DROP(array, ROWS(array) / 2), function)
      )
   )
));
]]></Text>
</file>

<file path=customXml/item28.xml>�� 
</file>

<file path=customXml/item29.xml><?xml version="1.0" encoding="utf-8"?>
<Text><![CDATA[
/*Returns the cell address of a range*/
ADDRESSES_byDiarmuidEarly = LAMBDA(rng, ADDRESS(ROW(rng), COLUMN(rng), 4));
]]></Text>
</file>

<file path=customXml/item30.xml><?xml version="1.0" encoding="utf-8"?>
<Text><![CDATA[
]]></Text>
</file>

<file path=customXml/item31.xml><?xml version="1.0" encoding="utf-8"?>
<Text><![CDATA[
IsInList_byErikOehm = LAMBDA(array,list,LET(\\LambdaName, "IsInList", MAP(array, LAMBDA(x, OR(list = x)))));
]]></Text>
</file>

<file path=customXml/item32.xml><?xml version="1.0" encoding="utf-8"?>
<Text><![CDATA[
]]></Text>
</file>

<file path=customXml/item33.xml><?xml version="1.0" encoding="utf-8"?>
<Text><![CDATA[
]]></Text>
</file>

<file path=customXml/item34.xml><?xml version="1.0" encoding="utf-8"?>
<Text><![CDATA[
]]></Text>
</file>

<file path=customXml/item35.xml><?xml version="1.0" encoding="utf-8"?>
<Text><![CDATA[
]]></Text>
</file>

<file path=customXml/item36.xml><?xml version="1.0" encoding="utf-8"?>
<Text><![CDATA[
]]></Text>
</file>

<file path=customXml/item37.xml><?xml version="1.0" encoding="utf-8"?>
<Text><![CDATA[
IFBLANK = LAMBDA(value,value_if_blank, IF(ISBLANK(value), value_if_blank, value));
]]></Text>
</file>

<file path=customXml/item38.xml><?xml version="1.0" encoding="utf-8"?>
<Text><![CDATA[
LkpRCByRow = LAMBDA(ToFind,Range,LET(\\LambdaName, "LkpRCByRow", \\CommandName, "Lookup Value by Row", \\Description, "Returns RC location of a list of values in a range", \\Source, "Jaq Kennedy", BiRow_byPeterBartholomew(ToFind, LAMBDA(a, IFERROR(CHOOSEROWS(LkpRC(a, Range), 1), {"",""})))));
]]></Text>
</file>

<file path=customXml/item39.xml><?xml version="1.0" encoding="utf-8"?>
<Text><![CDATA[
FilterArray = LAMBDA(data,column_indexes,filter_values,LET(\\LambdaName, "FilterArray", FILTER(data, BYROW(IsInList(CHOOSECOLS(data, column_indexes), filter_values), LAMBDA(x, AND(x))))));
]]></Text>
</file>

<file path=customXml/item40.xml><?xml version="1.0" encoding="utf-8"?>
<Text><![CDATA[
]]></Text>
</file>

<file path=customXml/item4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Cj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42.xml><?xml version="1.0" encoding="utf-8"?>
<Text><![CDATA[
]]></Text>
</file>

<file path=customXml/item43.xml><?xml version="1.0" encoding="utf-8"?>
<Text><![CDATA[
FilterArray_byErikOehm = LAMBDA(data,column_indexes,filter_values,LET(\\LambdaName, "FilterArray", FILTER(data, BYROW(IsInList_byErikOehm(CHOOSECOLS(data, column_indexes), filter_values), LAMBDA(x, AND(x))))));
]]></Text>
</file>

<file path=customXml/item44.xml><?xml version="1.0" encoding="utf-8"?>
<Text><![CDATA[
GRIDTOCOL_byLiannaGerrish = LAMBDA(grid,[ShowAll_0], LET(
   \\LambdaName, "GRIDTOCOL",
   items_grid, TOCOL(grid),
   addr_col, TOCOL(ADDRESSES_byDiarmuidEarly(grid)),
   rows, ROW(INDIRECT(addr_col)) * 1,
   cols, COLUMN(INDIRECT(addr_col)) * 1,
   rcnum, TOCOL(1000000 * rows + 1000 + cols),
   headers, HSTACK("Items", "Row #", "Column #", "Address", "RCRef"),
   data_grid, HSTACK(items_grid, rows, cols, addr_col, rcnum),
   IF(
      OR(ISOMITTED(ShowAll_0), ShowAll_0 <> 0),
      VSTACK(headers, FILTER(data_grid, CHOOSECOLS(data_grid, 1) <> 0)),
      VSTACK(headers, data_grid)
   )
));
]]></Text>
</file>

<file path=customXml/item45.xml><?xml version="1.0" encoding="utf-8"?>
<Text><![CDATA[
LkpRC = LAMBDA(ToFind,Range,LET(\\LambdaName, "LkpRC", \\CommandName, "Lookup RC coordinates ", \\Description, "Looks up RC coordinates of matching cell(s) in range", CHOOSECOLS(FilterArray_byErikOehm(GRIDTOCOL_byLiannaGerrish(Range), {1}, ToFind), {2,3})));
]]></Text>
</file>

<file path=customXml/item46.xml><?xml version="1.0" encoding="utf-8"?>
<Text><![CDATA[
]]></Text>
</file>

<file path=customXml/item47.xml><?xml version="1.0" encoding="utf-8"?>
<Text><![CDATA[
IsInList =     LAMBDA(array,list,LET(
   \\LambdaName, "IsInList",
MAP(array,LAMBDA(x,OR(list=x))))
);
]]></Text>
</file>

<file path=customXml/item48.xml><?xml version="1.0" encoding="utf-8"?>
<JSON><![CDATA[
{"Commands":[{"Name":"Align Array to Right","Description":"Aligns array to the right with blanks to left","Type":"ExcelFormulaCommand","LaunchCodes":["ar"],"Formula":"=RightAlignedArray_byJaqKennedy(IFBLANK([[ActiveCell::Formula]],\u0022\u0022))","Tags":["WrapWith"],"FormulaDependencies":["RightAlignedArray_byJaqKennedy.lambda","IFBLANK.lambda"]},{"Name":"Apply ARROWSHIFT_byEmilieWilliams Lambda","Description":"Apply ARROWSHIFT_byEmilieWilliams lambda function to active cell, using direction in clipboard.","Type":"ExcelFormulaCommand","LaunchCodes":["ARR"],"Formula":"=ARROWSHIFT_byEmilieWilliams([[ActiveCell::Formula]], [[Clipboard]])","Tags":["WrapWith"],"FormulaDependencies":["ARROWSHIFT_byEmilieWilliams.lambda"]},{"Name":"Backup Sheets in Workbook","Description":"Copy all sheets in workbook for backup","Type":"VBAMacroCommand","LaunchCodes":["BU"],"MacroExpression":"modCaseSetup.Backup()","Tags":["Prep"],"MacroWorkbookConnection":"ThisWorkbook"},{"Name":"Clear Bonus From Dock","Description":"Hides one bonus from the dock by hand (type 2, B4, B or Bonus 2)","Type":"VBAMacroCommand","Parameters":[{"Name":"bonus_to_clear","Type":"InputParameter","DataType":"String","Prompt":"Bonus to clear from the dock (e.g. 2, B4, B or Bonus 2)","CachingPolicy":"CacheForDurationOfCommandExecution"}],"Note":"For bonuses skipped or answered somewhere the dock cannot see. Answered bonuses drop off by themselves. Remembered in the case workbook as a hidden name BonusDock_Cleared; Restore Cleared Bonuses (BQR) brings them all back. Refreshes the dock afterwards.","CommandAfter":"Show Bonus Dock","LaunchCodes":["BQX"],"MacroExpression":"modBonusDock.ClearBonusFromDock({{bonus_to_clear}})","Tags":["Bonus"]},{"Name":"Clear Lambda Library","Description":"Forgets your saved lambda library, so ILL and Full Setup Case stop loading it","Type":"VBAMacroCommand","Note":"Removes the per-user setting Set Lambda Library (SLL) saved. Changes no workbook and no lambda: the library file itself is untouched. After it, Full Setup Case loads CompBot\u0027s lambdas only and ILL reports that no library is set. To SWAP one library for another you do not need this: run SLL again and pick the new file. Added 2026-09-24 (Jaq).","LaunchCodes":["CLL"],"MacroExpression":"modLambdas.ClearLambdaLibrary()","Tags":["LAMBDA","Prep"]},{"Name":"Clear Lambdas","Description":"DEV ONLY, DISABLED. Clears lambdas out of CompBot itself (never the active file) that are not in the Lambdas table or needed by a command. Would delete any lambda library a user has pulled into CompBot.","Type":"VBAMacroCommand","MacroExpression":"modLambdas.ClearLambdas()","Tags":["Maintenance"],"Enabled":false},{"Name":"Clear Solve Folder","Description":"Forgets your Solve folder, so Full Setup Case saves the _Solve copy next to the case again","Type":"VBAMacroCommand","Note":"Removes the per-user setting Set Solve Folder (SSF) saved. Changes no folder and no file. To switch to a different folder you do not need this: run SSF again. Added 2026-10-08 (GitHub #4).","LaunchCodes":["CSF"],"MacroExpression":"modSetupSettings.ClearSolveFolder()","Tags":["Prep"]},{"Name":"Clear Status Bar","Description":"Clears the status bar","Type":"VBAMacroCommand","Note":"Clears the status bar (Application.StatusBar = False), so Excel\u0027s own \u0027Ready\u0027 and \u0027Average / Count / Sum\u0027 come back. Several CompBot commands report on the status bar rather than in a dialog, and a message stays until something clears it. Renamed 2026-09-24 from Clear Bonus Status Bar; the old BQS code was dropped the same day (Jaq: nobody else has used it).","LaunchCodes":["CSB"],"MacroExpression":"modBonusDock.ClearBonusStatusBar()","Tags":["Bonus"]},{"Name":"Clear Unused Lambdas","Description":"Deletes lambdas from the active workbook that nothing refers to, so the case file you submit does not carry every lambda you own","Type":"VBAMacroCommand","Note":"Creates a report on used lambdas and clears out unused lambdas from the workbook","MacroExpression":"modLambdas.ClearUnusedLambdas()"},{"Name":"Clear Unused Lambdas with Report","Description":"As Clear Unused Lambdas, but writes out what it removed and what it kept; use this one when you want to check before trusting it","Type":"VBAMacroCommand","Note":"Creates a report on used lambdas and clears out unused lambdas from the workbook, giving a report on deleted lambdas","MacroExpression":"modLambdas.ClearUnusedLambdas(1)"},{"Name":"Copy Map And Fill From Legend","Description":"Copy a color-coded map sheet: stand on a colored legend cell; copies the sheet and fills every map cell on the copy with its color\u0027s legend value (white is never a key); each named range on the sheet gets a clr_ twin on the copy","Type":"VBAMacroCommand","Note":"2026-10-05 (Jaq): copy \u002B Fill Similar Background Color \u002B clr_ names in one run. Legend = the unbroken run of colored cells through the active cell (down the column, else along the row), or the selection when several cells are selected. A swatch with no value takes the value to its right. Exact color match, one pass, white/no-fill excluded.","LaunchCodes":["CFL"],"MacroExpression":"modGoToSpecial.CopyMapFillFromLegend()","Tags":["Fill","Formatting","Color","Map"]},{"Name":"Create Blank Sheet","Description":"Creates a blank sheet named based on cell value (Sht otherwise)","Type":"VBAMacroCommand","LaunchCodes":["BS","CBS","S"],"MacroExpression":"modMisc.CreateBlankSheet([[ActiveCell]])","Tags":["Prep"],"MacroWorkbookConnection":"ThisWorkbook"},{"Name":"Create Bonus Sheet","Description":"Creates bonus sheet \u0022B\u0022 with bonus questions","Type":"VBAMacroCommand","LaunchCodes":["BQC","CB"],"MacroExpression":"modCaseSetup.CreateBonusSheet()","Tags":["Prep"]},{"Name":"Create Case Inputs Sheet","Description":"Creates a case inputs sheet: one row per game with its Game and Level, then every input; names each level L01_Inputs, L02_Inputs, ...","Type":"VBAMacroCommand","Note":"Run by Full Setup Case. Column B is the game number and column C its LEVEL (from the case\u0027s own Level column; a case with none gets no levels), so the header row\u0027s filter shows one level at a time; the inputs follow from column D. Each level\u0027s rows are also named L01_Inputs, L02_Inputs, ... (Game, Level and the input columns that level uses), for the Name Box and for Level Inputs (LI), which drops one or more levels\u0027 inputs into the active cell. Level column and names added 2026-10-08 (GitHub #3, Ben de Leon). The same day its unused MacroWorkbookConnection reference (\u0027ThisWorkbook\u0027, which named no Connection) was removed, so it runs like every other CompBot macro command.","LaunchCodes":["CIS","IS"],"MacroExpression":"modCaseSetup.CreateCaseInputsSheet([[ActiveCell]])","Tags":["Prep"]},{"Name":"Create Data Table","Description":"Builds (or finds) the data table block for the level you are in, beside its inputs, and lands on the last input; fill it with Run Data Table (RDT)","Type":"VBAMacroCommand","Note":"Run from any cell in a level: on the Case sheet, on an L## sheet, or on the level\u0027s Example# cell on any sheet. The new block goes level with the example row, as close as it can to two columns right of the level\u0027s last input, moved right only as far as it needs to overlap nothing. If the level already has a block, nothing is built: it takes you to that block\u0027s last input. Either way the view scrolls to the block, and you land on the last input cell, ready to build the example calculation beside it; then point ANSWER at your output and run RDT. Refuses when the level\u0027s answers already link to a block on another sheet (solve it there). Static results, no What-If table. Merged 2026-09-24 (Jaq): Solve Level\u0027s finding and placement under this command\u0027s name, codes and end state; it no longer asks you to point at a target cell.","LaunchCodes":["CDT","DT"],"MacroExpression":"modDataTable.CreateDataTable()","Tags":["Prep"]},{"Name":"Create Level Sheets","Description":"Creates a sheet for each level in the Case sheet","Type":"VBAMacroCommand","LaunchCodes":["CL","CLS"],"MacroExpression":"modCaseSetup.CreateLevelSheets()","Tags":["Prep"]},{"Name":"Difference of Array Columns by Row","Description":"Returns first column minus last column in array","Type":"ExcelFormulaCommand","LaunchCodes":["diff","dbr"],"Formula":"=DiffByRow_byJaqKennedy([[ActiveCell::Formula]])","Tags":["WrapWith"],"FormulaDependencies":["DiffByRow_byJaqKennedy.lambda"]},{"Name":"Eggy","Description":"Easter Egg Fun","Type":"VBAMacroCommand","MacroExpression":"modUtilities.Eggy()"},{"Name":"Exclude Blanks","Description":"Filters blank cells out of the active array, leaving only cells that hold something","Type":"ExcelFormulaCommand","LaunchCodes":["EB"],"Formula":"=FILTER([[ActiveCell::Formula]],[[ActiveCell::Formula]]\u003C\u003E\u0022\u0022)"},{"Name":"Exclude Examples","Description":"Trims the worked-example rows off the top of the selection, leaving just the real questions","Type":"VBAMacroCommand","Note":"Promoted into CompBot from A-ZTraining 2026-09-22: the command review found it needed in 23 of 67 surveyed cases, the 2nd most-needed of Jaq\u0027s own commands, while living in the training collection rather than the competition one. NOT a straight copy; the A-Z original drops exactly two rows, assuming one example row plus one blank spacer. This walks the rows instead, dropping example-label rows and blank rows until it reaches real content, so two or three worked rows per level (Example3a / 3b, common in 2026 cases) and a missing spacer all behave. It recognises Example / Exemple / Exemplo / Sample via the shared list in modCaseSetup, spaces and all. If it cannot read the label column it falls back to dropping two rows, exactly as the original did. LAUNCH CODE: deliberately the SAME code (XE) as A-ZTraining\u0027s copy. Jaq, 2026-09-22: \u0027it doesn\u0027t matter which it runs from, and I\u0027m one of few who\u0027ll have both collections.\u0027 If you ever need to tell them apart, this is the one that handles multiple example rows.","LaunchCodes":["XE"],"MacroExpression":"modCaseNav.ExcludeExamples()","Tags":["Navigation"]},{"Name":"Extract Characters","Description":"Split the active cell\u0027s text into its individual characters, one per row. Keeps line breaks, accented letters and emoji intact.","Type":"ExcelFormulaCommand","Formula":"=SplitText_byHadynWiseman([[ActiveCell::Formula]])","FormulaDependencies":["SplitText_byHadynWiseman.lambda"]},{"Name":"Fill Similar Background Color","Description":"Copies the selected cells\u0027 values over every cell sharing their fill color; turns a color-coded map into data in one run","Type":"VBAMacroCommand","Note":"Fills each cell on the sheet that has the same background color with either the value in the cell, or if empty, the value to the right of the cell.","LaunchCodes":["FBC"],"MacroExpression":"modGoToSpecial.FillSimilarBackgroundColor()","Tags":["Fill","Formatting"]},{"Name":"Find Above In Left","Description":"Select the empty grid between two lists: marks 1 where the item ABOVE each column is found in the item LEFT of each row","Type":"ExcelFormulaCommand","LaunchCodes":["fal"],"Formula":"=1-ISERROR(FIND([[Selection.Rows(1).Offset(-1,0)::Address]],[[Selection.Columns(1).Offset(0,-1)::Address]]))","DestinationRangeAddress":"[[Selection.Cells(1,1)]]","Tags":["WrapWith"]},{"Name":"Find Address Of Value On Map","Description":"Returns the cell ADDRESS of each value you are looking for on a map, the start point the distance commands need","Type":"ExcelFormulaCommand","Parameters":[{"Name":"LookFor","Type":"InputParameter","DataType":"String","Prompt":"Value to find, typed plainly (e.g. S, no quotes)"}],"UserContextFilter":"ExcelSelectionIsSingleCell","Note":"Point it at a map and it gives back WHERE the things you asked for are, as addresses like \u0022H12\u0022. One match comes back as a single address; several come back as a column of them; nothing found gives \u0022Not Found\u0022. WHY IT MATTERS MORE THAN IT LOOKS: Find Nearest On Map (FNM) and Map Distance From Cell (MDC) both need a STARTING ADDRESS as text, and on a real case you rarely know it by eye; the start is \u0027wherever the S is\u0027. This is the command that produces it, so the three chain together: FAM to locate the start, then MDC or FNM from there. ARGUMENT ORDER, if you ever type the lambda by hand: it is FindInMap(items, map), so the things you are looking for come FIRST, the map second, which is the opposite way round from most of the map lambdas. Wraps FindInMap_byHadynWiseman (which itself uses GridToCol_byLiannaGerrish); owned by CompBot since the lambda review, exposed as a command 2026-09-22.","LaunchCodes":["FAM"],"Formula":"=LET(_l,\u0022{{LookFor}}\u0022,FindInMap_byHadynWiseman(IFERROR(--_l,_l),[[ActiveCell::Formula]]))","Tags":["Array"],"FormulaDependencies":["FindInMap_byHadynWiseman.lambda","GRIDTOCOL_byLiannaGerrish.lambda"]},{"Name":"Find Nearest On Map","Description":"Stand on the start (e.g. the S) in a map spill, with the target cell COPIED: lists the nearest targets with their addresses and distances, to the right of the sheet\u0027s contents","Type":"ExcelFormulaCommand","UserContextFilter":"ExcelSelectionIsSingleCell","Note":"Returns three columns (Value, Address, Distance) for every matching cell within MaxSteps of the start, SORTED NEAREST FIRST, so the first row is the answer to \u0027what is closest\u0027. WHAT IT IS FOR: \u0027which portal is nearest\u0027, \u0027what is the closest resource\u0027, \u0027how far to the nearest wall\u0027. The 2024 and 2025 MEWC Portal cases are the worked example; this answers their level 5 outright. MaxSteps keeps it fast by only looking at a window around the start rather than the whole map. Wraps ClosestOnMap_byHadynWiseman, which in turn uses Distance_byHadynWiseman. Both have been in CompBot\u0027s library since the lambda review; no command exposed them until 2026-09-22. THE REASON A WRAPPER MATTERS HERE: the lambda takes ELEVEN parameters. It is not something anyone reconstructs correctly from memory in a timed round, so the capability was effectively out of reach even though it was already owned and tested.","LaunchCodes":["FNM"],"Formula":"=LET(_m,[[ActiveCell.SpillParent::Formula]],ClosestOnMap_byHadynWiseman(_m,FindInMap_byHadynWiseman([[ActiveCell]],_m),ROWS(_m)\u002BCOLUMNS(_m),[[Clipboard::Address]]))","DestinationRangeAddress":"[[AvailableCellToRight]]","Tags":["Array"],"FormulaDependencies":["ClosestOnMap_byHadynWiseman.lambda","RowNum_byHadynWiseman.lambda","ColNum_byHadynWiseman.lambda","ADDRESSES_byDiarmuidEarly.lambda","Distance_byHadynWiseman.lambda","FindInMap_byHadynWiseman.lambda","GRIDTOCOL_byLiannaGerrish.lambda"]},{"Name":"First Match By Row","Description":"For each row, the position of the first cell equal to the COPIED cell\u0027s value, or a fallback (blank = never) where the row never matches","Type":"ExcelFormulaCommand","Parameters":[{"Name":"IfNotFound","Type":"InputParameter","DataType":"String","Prompt":"Result where the row never matches (leave blank for never)"}],"UserContextFilter":"ExcelActiveCellIsSpillParent;ExcelSelectionIsSingleCell","Note":"Promoted into CompBot from A-ZTraining 2026-09-22. Answers \u0027on which step did this row first hit X\u0027: a set completed, a target reached, a state entered. Returns the 1-based column position; an r x c array becomes r x 1. 2026-09-28 (Jaq): the value to find is the COPIED cell (linked, no typing, no quotes); the one popup is the not-found result, blank = never. WHY IT EARNS A PLACE IN THE COMPETITION COLLECTION: chained with Max Of Array By Row (Array Robot, free) it gives a STABLE ARGMAX, highest value, ties going to the earliest position. Needed in 7 of 67 surveyed cases. Self-contained formula, no lambda dependency.","LaunchCodes":["FMR"],"Formula":"=LET(_a,([[ActiveCell::Formula]]),_v,[[Clipboard::Address]],_nf,\u0022{{IfNotFound}}\u0022,BYROW(_a,LAMBDA(_r,IFERROR(XMATCH(_v,_r),IF(_nf=\u0022\u0022,\u0022never\u0022,IFERROR(--_nf,_nf))))))","Tags":["Array"]},{"Name":"Flip Array","Description":"Reverses the active cell\u0027s text (stressed becomes desserts). For a block use FLR (left to right) or FTB (top to bottom)","Type":"ExcelFormulaCommand","UserContextFilter":"ExcelSelectionIsSingleCell","Note":"Mirrors a grid. Horizontal 1 flips left-right, Vertical 1 flips top-bottom, and 0 for BOTH gives the 180-degree point mirror (every cell swapped with its opposite). Unlike Rotate Array the shape never changes. WHAT IT IS FOR: a board read from the other side, a reflected path, a mirrored tile. ONE NICE QUIRK: on a SINGLE CELL it reverses the TEXT of that cell, so it doubles as a reverse-a-string command. TWO THINGS NOT REACHABLE FROM THIS COMMAND, type the lambda by hand for them: DiagonalTopLeft (a transpose) and DiagonalTopRight (an anti-transpose) are the 3rd and 4th arguments, and a 6th argument AddressMoves returns WHERE A GIVEN CELL MOVED TO rather than the flipped grid: Flip_byHadynWiseman(array, 1, 0, , , \u0022H12\u0022). Wraps Flip_byHadynWiseman; exposed as a command 2026-09-22.","LaunchCodes":["FLP"],"Formula":"=Flip_byHadynWiseman([[ActiveCell::Formula]])","Tags":["Array"],"FormulaDependencies":["Flip_byHadynWiseman.lambda","ADDRESSES_byDiarmuidEarly.lambda"]},{"Name":"Flip Array Left to Right","Description":"Mirrors the active array left to right: the last column comes first","Type":"ExcelFormulaCommand","UserContextFilter":"ExcelSelectionIsSingleCell","Note":"2026-09-28 (Jaq): one of the Flip family (FLP text, FLR left-right, FTB top-bottom), replacing Flip Array\u0027s two popups.","LaunchCodes":["FLR"],"Formula":"=Flip_byHadynWiseman([[ActiveCell::Formula]],1)","Tags":["Array"],"FormulaDependencies":["Flip_byHadynWiseman.lambda","ADDRESSES_byDiarmuidEarly.lambda"]},{"Name":"Flip Array Top to Bottom","Description":"Mirrors the active array top to bottom: the last row comes first","Type":"ExcelFormulaCommand","UserContextFilter":"ExcelSelectionIsSingleCell","Note":"2026-09-28 (Jaq): one of the Flip family (FLP text, FLR left-right, FTB top-bottom).","LaunchCodes":["FTB"],"Formula":"=Flip_byHadynWiseman([[ActiveCell::Formula]],,1)","Tags":["Array"],"FormulaDependencies":["Flip_byHadynWiseman.lambda","ADDRESSES_byDiarmuidEarly.lambda"]},{"Name":"Full Setup Case","Description":"Sets up the case: saves a _Solve copy, backs up the sheets, creates the level, bonus and Case inputs sheets, then imports lambdas. Choose the steps with SCS","Type":"VBAMacroCommand","ShortCutSendKeyString":"^\u002Bg","Note":"Steps, in order: save a working copy as \u003Cname\u003E_Solve (skipped if the file has never been saved or is already a _Solve / _Working copy), back up every sheet, name the used ranges, create the level sheets, the bonus sheet B and the Case inputs sheet; then Import Case Lambdas runs (your library and CompBot\u0027s, the winner first). Any step can be switched off per user with Setup Case Settings (SCS); a switched-off step is reported as skipped. A failed step is reported on the status bar and the rest still run. Does NOT unmerge or rename sheets: run Unmerge Multi-Row Merges, M2C or Rename Sheets (rs) yourself first if the case needs them. Save copy step added 2026-09-24 (Jaq); step switches added 2026-09-24.","CommandAfter":"Import Case Lambdas","LaunchCodes":["SC"],"MacroExpression":"modCaseSetup.Setup()","Tags":["Prep"]},{"Name":"Get Current Settings","Description":"Get current settings for this computer.","Type":"VBAMacroCommand","LaunchCodes":["GS"],"MacroExpression":"modMisc.GetCurrentSettings()","Tags":["Settings"]},{"Name":"Go To Example","Description":"Goes to the level\u0027s example row, two cells right of its last input, ready to solve","Type":"VBAMacroCommand","Note":"From anywhere in a level (the Case sheet, an L## sheet, or standing on an Example# label), selects the cell two columns right of the level\u0027s last input on its example row, where a live solve starts, and scrolls to it. Finds the level exactly as Create Data Table does (shared LocateLevel) and the inputs by the one input rule (LevelInputColumns). Status bar report, no dialogs. Added 2026-09-24 to replace Select Example And Questions (SEQ), which suited A-ZTraining replays rather than a live solve (Jaq).","LaunchCodes":["GE"],"MacroExpression":"modDataTable.GoToExample()","Tags":["Navigation"]},{"Name":"Goto Similar Background Color","Description":"Selects every cell in the selection that shares the active cell\u0027s fill color, so a color group can be seen or counted at once","Type":"VBAMacroCommand","LaunchCodes":["SBC"],"MacroExpression":"modGoToSpecial.GotoSimilarBackgroundColor()","Tags":["GoTo"]},{"Name":"Import Case Lambdas","Description":"Your library (if set) and CompBot\u0027s lambdas, the winner first, into the active workbook. Chained after Full Setup Case","Type":"VBAMacroCommand","Note":"Hidden: it exists to be Full Setup Case\u0027s CommandAfter. Loads the user\u0027s own lambda library (if Set Lambda Library has been run) and CompBot\u0027s lambdas, each only if switched on in Setup Case Settings (SCS). The winner (SCS; CompBot by default) goes first and replaces same-named lambdas; the other goes second and never overwrites, so where names clash the winner\u0027s version is the one left. Its report is appended to Full Setup Case\u0027s own status-bar line rather than replacing it. Added 2026-09-24; winner and switches 2026-09-24.","Visibility":"Hidden","MacroExpression":"modLambdas.ImportCaseLambdas()","Tags":["LAMBDA","Prep"]},{"Name":"Import Lambda Library","Description":"Loads YOUR own lambda library (set once with SLL) into the active workbook: its lambdas and its stored values (named constants)","Type":"VBAMacroCommand","Note":"Everyone keeps their own lambda library in a workbook of their own. Set Lambda Library (SLL) remembers where it is, once; this copies its lambdas, and its STORED VALUES (named constants and arrays such as =0.05, =\u0022Red\u0022, ={1,2,3}, and formula names with no cell reference), into whatever workbook is active. Names that point at ranges in the library are not copied (they would link back to the library file); the status bar counts them. It opens the library read-only with its macros kept quiet and closes it again (or uses it as-is if you already have it open). By default a lambda ALREADY in the file is skipped (left as it is) and listed on the status bar, so your copy does not replace CompBot\u0027s improved version; if Setup Case Settings (SCS) says your library wins, it replaces instead. Stored values follow the same rule; ILL marks the values it copies with [CompBot ILL] in their Name Manager comment, and those are the ones it updates. Refuses to run with CompBot or the library itself active. No dialogs; failures start ILL FAILED on the status bar. WHY NOT KEEP YOUR LAMBDAS INSIDE COMPBOT: a GitHub update replaces CompBot.xlsm wholesale, and most people run it hidden and read-only anyway. The library location is a per-user Windows setting, so it survives every update. Stored values added 2026-10-08 (GitHub #5, Fabian Sj\u00F6blom).","LaunchCodes":["ILL"],"MacroExpression":"modLambdas.ImportLambdaLibrary()","Tags":["LAMBDA","Prep"]},{"Name":"Import Lambdas From CompBot","Description":"Loads CompBot\u0027s own lambdas into the active workbook, replacing older copies unless SCS says your library wins","Type":"VBAMacroCommand","Note":"Copies every lambda CompBot carries into the active workbook, with its description. By default a lambda of the same name already there is REPLACED, so an older case file picks up CompBot\u0027s improved versions; if Setup Case Settings (SCS) says your library wins, a same-named lambda is skipped instead. A name that is not a lambda (the case\u0027s own range or constant) is never touched. Refuses to run with CompBot itself active. Reports on the status bar; no dialogs. Uses CompBot\u0027s own importer (modLambdas.CopyLambdas), shared with Import Lambda Library (ILL), so there is no dependency on another collection. Full Setup Case runs it for you through Import Case Lambdas.","LaunchCodes":["ILC"],"MacroExpression":"modLambdas.ImportLambdasFromCompBot()","Tags":["LAMBDA","Prep"]},{"Name":"Keep Cell of Array","Description":"Reduces a spilled array to just the one cell you selected, so a single value can be inspected or reused","Type":"ExcelFormulaCommand","LaunchCodes":["KTC"],"Formula":"=CHOOSEROWS(CHOOSECOLS([[ActiveCell.SpillParent::Formula]],{{Selected_Column_Indexes_In_Spilling_Range}}),{{Selected_Row_Indexes_In_Spilling_Range}})","DestinationRangeAddress":"[[ActiveCell.SpillParent]]","Tags":["WrapWith"]},{"Name":"Label Connected Regions (4 ways)","Description":"Numbers each connected blob on a map, cells joining only up, down, left and right","Type":"ExcelFormulaCommand","UserContextFilter":"ExcelSelectionIsSingleCell","Note":"2026-09-28 (Jaq): replaces Label Connected Regions\u0027 0/1 popup. LCR8 lets a corner touch join two cells.","LaunchCodes":["LCR4"],"Formula":"=Regions_byHadynWiseman([[ActiveCell::Formula]],1)","Tags":["Array"],"FormulaDependencies":["Regions_byHadynWiseman.lambda","Exists_byHadynWiseman.lambda"]},{"Name":"Label Connected Regions (8 ways)","Description":"Numbers each connected blob on a map, a diagonal (corner) touch joining cells too","Type":"ExcelFormulaCommand","UserContextFilter":"ExcelSelectionIsSingleCell","Note":"2026-09-28 (Jaq): the diagonal twin of LCR4.","LaunchCodes":["LCR8"],"Formula":"=Regions_byHadynWiseman([[ActiveCell::Formula]],0)","Tags":["Array"],"FormulaDependencies":["Regions_byHadynWiseman.lambda","Exists_byHadynWiseman.lambda"]},{"Name":"Level Inputs","Description":"Type a level, or levels like 4-5 or 3,5-6: their inputs land as an array to work on, with headers and game/level beside them (blank = this sheet\u0027s level)","Type":"VBAMacroCommand","Parameters":[{"Name":"Levels","Type":"InputParameter","DataType":"String","Prompt":"Levels, e.g. 4 or 4-5 or 3,5-6 (blank = this sheet\u0027s level)"}],"Note":"For solving bonuses that ask about one level\u0027s games: from any sheet, type the levels the way you would say them (4, 4-5, 3,5-6; any number of levels, so 5-, 8- and 10-level cases work). From the active cell (say Z5): Game | Level headers in Z5 with the game and level numbers as their own array in Z6#; the INPUTS as an array of their own two columns right, in AB6#, with their headers above in AB5. You finish on AB6, ready to work on the inputs. Input columns blank for every chosen level are left out, empty inputs stay blank rather than showing 0, and columns holding nothing but the result are auto-fitted. The formulas are built to be read: LET names levels, caseInputs, levelRows (a FILTER using IsInList_byErikOehm, which this command loads as a dependency), tidyRows, inputs, usedCols. The data is the CaseInputs table that Create Case Inputs Sheet (CIS) builds during Full Setup Case, with its Level column; a case with no Level column has no levels tagged and this command says so. Left blank on a level sheet (L06) it uses that level. It checks that the four anchor cells are empty before writing, and if a spill would run into anything the result is taken back out. Every outcome is on the status bar; a failure starts LEVEL INPUTS FAILED. Launch code LI (the name\u0027s initials too); LLI also works. Added 2026-10-08 (GitHub #3, Ben de Leon).","LaunchCodes":["LI","LLI"],"MacroExpression":"modCaseNav.LoadLevelInputs({{Levels}})","Tags":["Prep"],"FormulaDependencies":["IsInList_byErikOehm.lambda"]},{"Name":"Link Answer Cell","Description":"Points the level\u0027s data table ANSWER cell at the active cell (your calculation\u0027s output); then run RDT","Type":"VBAMacroCommand","Note":"The step between Create Data Table (CDT) and Run Data Table (RDT). Stand on the cell holding the example calculation\u0027s OUTPUT and run it: the ANSWER cell of this level\u0027s block (3 rows below the block\u0027s input cell, 1 column right) becomes =that cell, absolute. The level is found exactly as CDT finds it, so on a Case sheet with several blocks the right one is used. Refuses when the level has no block yet, or when you are standing on the block itself. Copies nothing, moves nothing. Added 2026-09-24 (Jaq) as CompBot\u0027s own take on A-ZTraining\u0027s ANS, which searched for the first green ANSWER cell of an Excel What-If table.","LaunchCodes":["ANS","DT"],"MacroExpression":"modDataTable.LinkAnswerCell()","Tags":["DataTable"]},{"Name":"Link Side Cell","Description":"Data table: adds a bonus SIDE column pointed at the active cell; RDT fills it","Type":"VBAMacroCommand","Note":"For bonuses that need a DIFFERENT per-game number from the level\u0027s calculation (a count, a per-player score), then SUM / MAX / COUNTIF over the games. Stand on the cell holding that number and run it: the next SIDE column of this level\u0027s block goes in the first free column right of the block. Check row: SIDE k; ANSWER row: =that cell, light blue; game rows: #N/A until RDT, which recalculates each game once and fills the answer and every SIDE column from the same pass. Up to 5 SIDE columns. If the column is not empty from the Check row down, nothing is written and an orange note above it says which cell is in the way; the next successful LSC clears it. Refuses on the block itself. Then write the bonus formula over the SIDE results and save it with Save Answer To Bonus N (B1 to B5). Added 2026-09-24 (Jaq); spec commandtools\\SPEC-side-bonus-column-260924.md.","MacroExpression":"modDataTable.LinkSideCell()","Tags":["DataTable","Bonus"],"LaunchCodes":["LSC","BDT","DT"]},{"Name":"List Combinations Of Array","Description":"Every ordering of all the items in the active array, each used once (10 20 30, 10 30 20, 20 10 30 ...)","Type":"ExcelFormulaCommand","UserContextFilter":"ExcelSelectionIsSingleCell","Note":"THE ONE THAT SOLVES SUBSET-SUM. Set HowMany to the number of items, IgnoreOrder 1, AllowRepeats 0 and AllSizesUpTo 1, and you get EVERY SUBSET of the array; then filter for the ones summing to your target. The 2023 Cribbage case\u0027s note calls that job \u0027not native Excel in any clean form\u0027 and proposes building a new lambda for it; CompBot already owned this one, unexposed. Also does plain combinations and permutations, with or without repeats, which covers \u0027how many ways\u0027, \u0027list every pairing\u0027, \u0027every ordering of these tokens\u0027. WARNING: the output grows fast; every subset of 15 items is 32,767 rows, and of 20 items over a million. Start small and check the shape before trusting it on a big list. Wraps Combinations_byHadynWiseman, which calls PerCom_byBoRydobon. Exposed as a command 2026-09-22.","LaunchCodes":["LCA"],"Formula":"=LET(_a,[[ActiveCell::Formula]],Combinations_byHadynWiseman(_a,COUNTA(_a)))","Tags":["Array"],"FormulaDependencies":["Combinations_byHadynWiseman.lambda","PerCom_byBoRydobon.lambda"]},{"Name":"List Lambdas Used","Description":"Lists every lambda the active workbook\u0027s formulas actually call; worth running before clearing anything","Type":"VBAMacroCommand","Note":"Creates a sheet showing all the lambdas actively used in the active workbook","MacroExpression":"modLambdas.ListLambdasUsed()"},{"Name":"List Pairings Of Two Lists","Description":"Every pairing of the COPIED list with the active spill (each item of one with each item of the other), written to the right of the sheet\u0027s contents","Type":"ExcelFormulaCommand","UserContextFilter":"ExcelSelectionIsSingleCell","Note":"2026-09-28 (Jaq): the other common \u0027list them all\u0027 ask next to List Combinations Of Array. Copy list 1, stand on the spill of list 2, run: two columns, list 1 x list 2, in the next blank cell right of it.","LaunchCodes":["LP"],"Formula":"=LET(_a,TOCOL([[Clipboard::Address]],1),_b,TOCOL([[ActiveCell.SpillParent::Formula]],1),_n,ROWS(_a),_m,ROWS(_b),_i,SEQUENCE(_n*_m)-1,HSTACK(INDEX(_a,INT(_i/_m)\u002B1),INDEX(_b,MOD(_i,_m)\u002B1)))","DestinationRangeAddress":"[[AvailableCellToRight]]","Tags":["Array"]},{"Name":"Load Game Into Calculation","Description":"Loads the selected data table game into the example calculation, or restores the example","Type":"VBAMacroCommand","Note":"For edge-case testing and troubleshooting. Select a game row in a Create Data Table block (game number or result) and run it: that game goes into the input cell and the calc block shows it. Select the input cell and run again to restore Example#. Run Data Table also restores it.","LaunchCodes":["LDT","LG","DT"],"MacroExpression":"modDataTable.LoadGameIntoCalculation()","Tags":["Prep"]},{"Name":"Lookup Array from Column N","Description":"Looks every value of the active array up in a named range or table and returns the column you choose","Type":"ExcelFormulaCommand","Parameters":[{"Name":"ColumnNumber","Type":"InputParameter","DataType":"Integer","Prompt":"Column number to return"},{"Name":"LookupRange","Type":"InputParameter","DataType":"String","Prompt":"Named range or table to look up in"}],"UserContextFilter":"ExcelSelectionIsSingleCell","Note":"Promoted into CompBot from A-ZTraining 2026-09-22: needed in 7 of 67 surveyed cases. Emits the range NAME rather than a resolved address, so the formula stays readable and survives the table being moved. Exact match, wraps in place. WHERE IT EARNS ITS KEEP: joining a split list back to a stats table, such as 20 racer numbers to their speeds, glyphs to a legend, codes to names. Array Robot\u0027s free Paste Lookup does a similar job but is fixed to the LAST column of the copied range; this one lets you pick the column, which is the difference that matters on a wide table. Self-contained formula, no lambda dependency. Same launch code as A-ZTraining\u0027s copy, deliberately.","LaunchCodes":["LKN"],"Formula":"=VLOOKUP([[ActiveCell::Formula]],{{LookupRange}},{{ColumnNumber}},FALSE)","Tags":["WrapWith","Lookup"]},{"Name":"Lookup Value by Row","Description":"Returns RC location of a list of values in a range","Type":"ExcelFormulaCommand","LaunchCodes":["lkp"],"Formula":"=LkpRCByRow([[ActiveCell::Formula]], [[Clipboard::Address]])","Tags":["Lookup","WrapWith"],"FormulaDependencies":["LkpRCByRow.lambda","BiRow_byHadynWiseman.lambda","LkpRC.lambda","FilterArray_byErikOehm.lambda","IsInList_byErikOehm.lambda","GRIDTOCOL_byLiannaGerrish.lambda"]},{"Name":"Map Distance From Cell (4 ways)","Description":"How far every cell on a map is from the COPIED start cell(s), moving only up, down, left and right, routing AROUND obstacles","Type":"ExcelFormulaCommand","UserContextFilter":"ExcelSelectionIsSingleCell","Note":"2026-09-28 (Jaq): replaces Map Distance From Cell\u0027s two popups. Copy the cell holding the start address (e.g. E26; a range of starts works too), stand on the formula giving the map, run. MDC8 allows diagonals.","LaunchCodes":["MDC4"],"Formula":"=MazeDistance_byHadynWiseman([[ActiveCell::Formula]],[[Clipboard::Address]],,1)","Tags":["Array"],"FormulaDependencies":["MazeDistance_byHadynWiseman.lambda","RowNum_byHadynWiseman.lambda","ColNum_byHadynWiseman.lambda"]},{"Name":"Map Distance From Cell (8 ways)","Description":"How far every cell on a map is from the COPIED start cell(s), diagonal moves allowed, routing AROUND obstacles","Type":"ExcelFormulaCommand","UserContextFilter":"ExcelSelectionIsSingleCell","Note":"2026-09-28 (Jaq): the diagonal twin of MDC4. Copy the start cell, stand on the map formula, run.","LaunchCodes":["MDC8"],"Formula":"=MazeDistance_byHadynWiseman([[ActiveCell::Formula]],[[Clipboard::Address]],,0)","Tags":["Array"],"FormulaDependencies":["MazeDistance_byHadynWiseman.lambda","RowNum_byHadynWiseman.lambda","ColNum_byHadynWiseman.lambda"]},{"Name":"Merged To Centre Across Selection","Description":"Merged Cells changed to Centre Across Selection","Type":"VBAMacroCommand","Note":"Unmerges merged cells across a single row and applies centre across selection formatting instead, so the layout looks the same but the cells select, fill and spill normally. Multi-row merges are left for Unmerge Multi-Row Merges. SCOPE: a selection of more than one cell (or one merged cell) limits it to the merged blocks the selection touches; one ordinary cell means the whole active sheet. Status bar report, no dialogs. Promoted from Jaq\u0027s own WiE Robot collection 2026-09-24 with its name, description and launch codes; WiE Robot itself is unchanged.","LaunchCodes":["Unmerge","M2C"],"MacroExpression":"modMisc.MergedToCAS()","Tags":["Prep","Formatting"]},{"Name":"MM","Description":"Applies -- to an array, turning TRUE/FALSE into 1/0 so it can be summed or multiplied","Type":"ExcelFormulaCommand","LaunchCodes":["MM"],"Formula":"=MM_byHaDang([[ActiveCell::Formula]])","Tags":["MM"],"FormulaDependencies":["MM_byHaDang.lambda"]},{"Name":"Modulo Array","Description":"Wraps the active array with MOD; turns cumulative movement into a position on a looping board","Type":"ExcelFormulaCommand","Parameters":[{"Name":"Divisor","Type":"InputParameter","DataType":"Integer","Prompt":"Divide by (e.g. board size)"}],"UserContextFilter":"ExcelActiveCellIsSpillParent;ExcelSelectionIsSingleCell","Note":"Promoted into CompBot from A-ZTraining 2026-09-22: needed in 5 of 67 surveyed cases. Use this where the spaces are numbered 0..N-1 and a full lap returns to 0. Where they are numbered 1..N and a full lap should land on N, use Modulo Array 1-Based (MOD1) instead; getting that wrong is an off-by-one that looks plausible all the way to the answer. Self-contained formula, no lambda dependency. Same launch code as A-ZTraining\u0027s copy, deliberately.","LaunchCodes":["MODA"],"Formula":"=MOD([[ActiveCell::Formula]],{{Divisor}})","Tags":["WrapWith"]},{"Name":"Modulo Array 1-Based","Description":"Wraps the active array in BoardGameMove_byHadynWiseman: a board numbered 1 to N, so an exact lap lands on N rather than 0","Type":"ExcelFormulaCommand","Parameters":[{"Name":"Divisor","Type":"InputParameter","DataType":"Integer","Prompt":"Divide by (e.g. board size)"}],"UserContextFilter":"ExcelActiveCellIsSpillParent;ExcelSelectionIsSingleCell","Note":"Promoted into CompBot from A-ZTraining 2026-09-22. The 1-based partner to Modulo Array (MODA): use this where board spaces are numbered 1..N and a full lap lands on N, and MODA where they are numbered 0..N-1 and a lap returns to 0. 2026-10-05 (Jaq): now writes BoardGameMove_byHadynWiseman, which is exactly MOD(x-1,d)\u002B1, instead of inlining the arithmetic; MOD1_byJaqKennedy (the same thing) was dropped from the lambda set.","LaunchCodes":["MOD1"],"Formula":"=BoardGameMove_byHadynWiseman([[ActiveCell::Formula]],{{Divisor}})","Tags":["WrapWith"],"FormulaDependencies":["BoardGameMove_byHadynWiseman.lambda"]},{"Name":"Name All Used Ranges","Description":"Renames used range in all sheets","Type":"VBAMacroCommand","LaunchCodes":["NA","NAUR"],"MacroExpression":"modNames.NameAllUsedRanges()","Tags":["Name"]},{"Name":"Name Used Ranges","Description":"Names used range in all sheets starting with the prefix as provided in the active cell","Type":"VBAMacroCommand","LaunchCodes":["NURS"],"MacroExpression":"modNames.NameUsedRanges([[ActiveCell]])","Tags":["Name"]},{"Name":"Negative Values","Description":"Negative values. with errors as blank","Type":"ExcelFormulaCommand","LaunchCodes":["neg"],"Formula":"=IFERROR(-([[ActiveCell::Formula]]),\u0022\u0022)","Tags":["WrapWith"]},{"Name":"Next Bonus In Status Bar","Description":"Shows the next open bonus question on the status bar (no-dock fallback)","Type":"VBAMacroCommand","Note":"Each run steps to the next open bonus and wraps round: \u0027[2/3 open] Bonus 2 - 20 pts - Relates to L3: question\u0027. Same detection as Show Bonus Dock; answered and cleared bonuses are skipped. Text is cut at Excel\u0027s 255-character status bar limit. Clear Status Bar (CSB) gives the bar back to Excel.","LaunchCodes":["BQN"],"MacroExpression":"modBonusDock.StepBonusStatus(1)","Tags":["Bonus"]},{"Name":"Paste Flattened List With Formatting","Description":"Turns a copied range into a list, one row per cell, carrying fill color, font color and border flags","Type":"VBAMacroCommand","Note":"COPY the range first, then select the cell you want the list to start at, then run this. Columns: Items | Row # | Column # | Address | RCRef | Fill | Font | BdrT | BdrR | BdrB | BdrL. WHAT IT IS FOR: reading a map that is drawn in formatting rather than written in values, such as color-coded terrain, walls drawn as borders, a legend you need to decode. Flatten it, then XLOOKUP the Fill column against the legend, or UNIQUE the Fill column to discover what colors a map actually uses when it has no legend at all. NOTES: colors come back as #RRGGBB hex, not Excel\u0027s raw BGR Long, so they are readable and XLOOKUP-able. BLANK CELLS ARE INCLUDED; a blank cell with a fill is the whole point. A border between two cells is one line with two possible owners, so each edge flag ORs both sides; a wall drawn from the neighbour\u0027s side still shows. RCRef is packed 10^6*row\u002Bcolumn, matching GridToCol. Like a paste, it overwrites the cell you start from; if anything else is in the way (a value or a merged cell in the output block), the list goes to a new sheet next to this one and the start cell becomes a link to it, \u0027Unable to fit here: see \u003Csheet\u003E\u0027, and you stay where you were (2026-10-05, Jaq). Values are read with .Value2, so dates arrive as serial numbers. A CUT range (Ctrl\u002BX) resolves too, not just a copy. Built and tested 2026-09-22; 3000 cells in 0.36s.","LaunchCodes":["PFF"],"MacroExpression":"modFlatten.PasteFlattenedListWithFormatting()","Tags":["Paste"]},{"Name":"Previous Bonus In Status Bar","Description":"Shows the previous open bonus question on the status bar","Type":"VBAMacroCommand","Note":"Mirror of Next Bonus In Status Bar (BQN).","LaunchCodes":["BQP"],"MacroExpression":"modBonusDock.StepBonusStatus(-1)","Tags":["Bonus"]},{"Name":"Record Walk Route","Description":"Start recording a route: every orthogonal move adds the cells you pass over. Diagonal click finishes","Type":"VBAMacroCommand","Note":"Select the starting cell, run this, then walk. ARROW, CTRL\u002BARROW and an ORTHOGONAL CLICK all count as a move; clicking is often easier when there is no content to Ctrl\u002BArrow over. Each move adds every cell between the last stop and the new one. A DIAGONAL CLICK ends it (that cell is not part of the route) and writes the route to a new sheet. Stop Walk Route (SWR) ends it by hand. WHAT IT IS FOR: capturing a path that exists only visually (a route drawn on a map in fills or glyphs and recorded nowhere) and turning it into data you can measure. Output columns: Step | Items | Row # | Column # | Address | RCRef | Fill | Font | BdrT | BdrR | BdrB | BdrL | Repeat, the same shape as Paste Flattened List With Formatting, plus the step order. NOTES: a corner cell is recorded ONCE, not twice, where two runs meet. A route that crosses itself keeps EVERY visit in order and flags the revisits in the Repeat column rather than dropping them, because order matters more than uniqueness for a route. A click-and-drag takes the last cell of the selection. This command deliberately does NOT use vbaInit/vbaFin: it needs Application events switched ON to see you move, and it puts the previous setting back when it finishes. Built and tested 2026-09-22.","LaunchCodes":["RWR"],"MacroExpression":"modWalk.StartWalkRoute()","Tags":["Bonus"]},{"Name":"Record Walk Route Here","Description":"As Record Walk Route, but the route table goes on this sheet, level with where the walk started and to its right, in the first space clear enough to hold it","Type":"VBAMacroCommand","Note":"2026-09-28 (Jaq): wanted the route beside the working area as well as the new-sheet version. 2026-10-05 (Jaq): the table goes level with the walk\u0027s START cell, at the first position from two columns to its right where a block the size of the table holds no values, no fill and no merges (modWalk.ClearSpotRightOf); only if there is none does it go one column after the sheet\u0027s contents. The view scrolls to it. Same day: FinishWalk stops the watcher before writing, which ended a self-retriggering loop that crashed Excel. Stop Walk Route (SWR) ends either mode.","LaunchCodes":["RWH"],"MacroExpression":"modWalk.StartWalkRouteHere()","Tags":["Bonus"]},{"Name":"Rename Sheets","Description":"Shortens multi-word sheet names to their initials, keeping numbers (Level 1 Data becomes L1D); backups keep their names","Type":"VBAMacroCommand","Note":"One character per word (split on spaces and underscores), plus any digits later in that word: Level 1 Data and Level1 Data both become L1D, Level 10 Data L10D. Leaves Case, Case-Varsity, Answers and backup sheets (BU_...) alone, so the original names stay readable on the backups. A name already taken gets _2, _3... Excel updates every formula that refers to a renamed sheet. A short result that looks like a cell address (L1) still needs quotes in formulas. Status bar lists the renames. Rewritten 2026-09-24 (Jaq\u0027s C2 notes): it used to drop digits inside a word (Level1 Data and Level2 Data both wanted LD) and renamed the backups.","LaunchCodes":["rs"],"MacroExpression":"modCaseSetup.RenameSht()","Tags":["Prep"]},{"Name":"Restore Cleared Bonuses","Description":"Brings every hand-cleared bonus back into the dock","Type":"VBAMacroCommand","Note":"Removes the case workbook\u0027s hidden BonusDock_Cleared name, then refreshes the dock.","CommandAfter":"Show Bonus Dock","LaunchCodes":["BQR"],"MacroExpression":"modBonusDock.RestoreClearedBonuses()","Tags":["Bonus"]},{"Name":"Revert Settings","Description":"Reverts settings to those loaded into the Loaded column.","Type":"VBAMacroCommand","LaunchCodes":["RVS"],"MacroExpression":"modMisc.RevertSettings()","Tags":["Settings"]},{"Name":"Rotate Array","Description":"Turns the active array a quarter turn clockwise; run it again for another quarter turn","Type":"ExcelFormulaCommand","UserContextFilter":"ExcelSelectionIsSingleCell","Note":"Rotates a grid. A rows-by-columns block becomes columns-by-rows on a 90 or 270, and keeps its shape on a 180. WHAT IT IS FOR: cases where the board is shown one way up and read another, such as isometric grids, boards viewed from the opposite player\u0027s side, tiles that must be turned to fit. ALSO WORTH KNOWING, and not reachable from this command: the lambda takes a third argument, InputAddresses, which returns WHERE A GIVEN CELL MOVED TO after the rotation rather than the rotated grid itself: Rotate_byHadynWiseman(array, turns, \u0022H12\u0022). That is the piece the 2025 Bigger Portals case needs for its reflection rule, and its own note proposed building a new lambda for it, not knowing this existed. Type it by hand when you need it. Wraps Rotate_byHadynWiseman; exposed as a command 2026-09-22.","LaunchCodes":["ROT"],"Formula":"=Rotate_byHadynWiseman([[ActiveCell::Formula]],1)","Tags":["Array"],"FormulaDependencies":["Rotate_byHadynWiseman.lambda","BiCol_byHadynWiseman.lambda","BiRow_byHadynWiseman.lambda","ADDRESSES_byDiarmuidEarly.lambda"]},{"Name":"Round to 0","Description":"Wraps the active formula in ROUND(...,0) for a whole number. Round once at the END of a chain; rounding each step compounds the error","Type":"ExcelFormulaCommand","LaunchCodes":["r0"],"Formula":"=ROUND([[ActiveCell::Formula]],0)","Tags":["Convert"]},{"Name":"Run Data Table","Description":"Fills a Create Data Table block with static results game by game, recalculating only when run","Type":"VBAMacroCommand","Note":"Replacement for Excel What-If data tables. Point the ANSWER cell at the example\u0027s output, then run from any cell on the sheet. Last-run time and any volatile-function warning go to the StatusBar.","LaunchCodes":["RDT","DT"],"MacroExpression":"modDataTable.RunDataTable()","Tags":["Prep"]},{"Name":"Running Total","Description":"Wraps the active array in a running total (RunningTotal_byJaqKennedy with nothing else set)","Type":"ExcelFormulaCommand","UserContextFilter":"ExcelSelectionIsSingleCell","Note":"2026-09-28 (Jaq): one of three commands replacing Running Total With Reset Or Stop. The lambda\u0027s other arguments ([ResetFlags], [ResetTo], [StopAt], [Cap], [IncFlaggedVal]) can be typed into the formula afterwards.","LaunchCodes":["RT"],"Formula":"=RunningTotal_byJaqKennedy([[ActiveCell::Formula]])","Tags":["WrapWith"],"FormulaDependencies":["RunningTotal_byJaqKennedy.lambda"]},{"Name":"Running Total with Cap","Description":"Running total that stops at the COPIED limit and holds there (Cap = 1). Change the final 1 to 0 to keep the crossing row\u0027s full value instead","Type":"ExcelFormulaCommand","UserContextFilter":"ExcelSelectionIsSingleCell","Note":"2026-09-28 (Jaq). Copy the limit first. No popup: StopAt comes from the clipboard, Cap is set to 1.","LaunchCodes":["RTC"],"Formula":"=RunningTotal_byJaqKennedy([[ActiveCell::Formula]],,,[[Clipboard]],1)","Tags":["WrapWith"],"FormulaDependencies":["RunningTotal_byJaqKennedy.lambda"]},{"Name":"Running Total with Reset","Description":"Running total that restarts wherever the COPIED flag range holds 1; asks what it restarts at (blank = 0). The flagged row\u0027s own value is included","Type":"ExcelFormulaCommand","Parameters":[{"Name":"ResetTo","Type":"InputParameter","DataType":"String","Prompt":"What the total restarts at (leave blank for 0)"}],"UserContextFilter":"ExcelSelectionIsSingleCell","Note":"2026-09-28 (Jaq). Copy the flag column first (1 = restart here). To leave the flagged row\u0027s own value out, add ,,,0 after ResetTo in the formula (IncFlaggedVal = 0).","LaunchCodes":["RTR"],"Formula":"=RunningTotal_byJaqKennedy([[ActiveCell::Formula]],[[Clipboard::Address]],{{ResetTo}})","Tags":["WrapWith"],"FormulaDependencies":["RunningTotal_byJaqKennedy.lambda"]},{"Name":"Save Answer To Bonus 1","Description":"Links the active cell (any sheet) into the Bonus 1 answer cell, goes there and copies it for the submission site.","Type":"VBAMacroCommand","UserContextFilter":"ExcelSelectionIsSingleCell","Note":"Target: sheet B if it has the bonus (Case links to it), else the sheet with \u0027Bonus Questions\u0027; the MEWC green cell on the \u0027Bonus 1\u0027 row. Writes a live link, selects the answer cell, copies it, reports on the StatusBar. Writes nothing if the row or green cell is missing. Promoted from A-ZTraining 2026-09-24 (A-ZTraining keeps its own copy).","MacroExpression":"modCaseNav.SaveAnswerToBonus(1)","Tags":["Bonus"]},{"Name":"Save Answer To Bonus 2","Description":"Links the active cell (any sheet) into the Bonus 2 answer cell, goes there and copies it for the submission site.","Type":"VBAMacroCommand","UserContextFilter":"ExcelSelectionIsSingleCell","Note":"See Save Answer To Bonus 1.","MacroExpression":"modCaseNav.SaveAnswerToBonus(2)","Tags":["Bonus"]},{"Name":"Save Answer To Bonus 3","Description":"Links the active cell (any sheet) into the Bonus 3 answer cell, goes there and copies it for the submission site.","Type":"VBAMacroCommand","UserContextFilter":"ExcelSelectionIsSingleCell","Note":"See Save Answer To Bonus 1.","MacroExpression":"modCaseNav.SaveAnswerToBonus(3)","Tags":["Bonus"]},{"Name":"Save Answer To Bonus 4","Description":"Links the active cell (any sheet) into the Bonus 4 answer cell, goes there and copies it for the submission site.","Type":"VBAMacroCommand","UserContextFilter":"ExcelSelectionIsSingleCell","Note":"See Save Answer To Bonus 1.","MacroExpression":"modCaseNav.SaveAnswerToBonus(4)","Tags":["Bonus"]},{"Name":"Save Answer To Bonus 5","Description":"Links the active cell (any sheet) into the Bonus 5 answer cell, goes there and copies it for the submission site.","Type":"VBAMacroCommand","UserContextFilter":"ExcelSelectionIsSingleCell","Note":"See Save Answer To Bonus 1.","MacroExpression":"modCaseNav.SaveAnswerToBonus(5)","Tags":["Bonus"]},{"Name":"Save Answers To Left","Description":"Saves references to the selected cells in the green answer cells to the left on the same row.","Type":"VBAMacroCommand","LaunchCodes":["SAL"],"MacroExpression":"modCaseSetup.SaveAnswersToLeft()","Tags":["Paste"]},{"Name":"Save Copy of File","Description":"Enable editing and save copy of file with suffix based on active cell (otherwise Working)","Type":"VBAMacroCommand","LaunchCodes":["SA"],"MacroExpression":"modCaseSetup.SaveCopy([[ActiveCell]])","Tags":["Prep"]},{"Name":"Save From Example","Description":"Select your answer formula on the example row; the working right of the inputs is copied to every question and the answers linked","Type":"VBAMacroCommand","UserContextFilter":"ExcelActiveCellIsNotEmpty;ExcelSelectionIsSingleCell","Note":"Select ONE cell: your answer formula on the example row. Every calculation on that row to the right of the case\u0027s last input comes with it, on either side of the answer, spills and typed values included, out to the last filled cell (a gap of 3\u002B empty columns, or a column with typed values on the question rows such as a case table, ends it). It is copied to every question row of the level and the answer cells are linked to your answer column, ready to paste from the clipboard. Re-run it after correcting the example: links it wrote earlier are replaced. Before copying it checks the cells it will fill, and stops and says so if any of them hold case content. Every outcome is on the status bar; a failure starts SAVE FROM EXAMPLE FAILED. Modelled on MEWC Robot\u0027s command of the same name, but finds the first question by its empty answer cell (any number of example rows) and the answer column by its \u0027Answer\u0027 header, falling back to the sheet\u0027s own answer colour. Added 2026-09-22; working and re-run rules 2026-10-08 (GitHub #2).","LaunchCodes":["SFE"],"MacroExpression":"modCaseSetup.SaveFromExample()","Tags":["Prep"]},{"Name":"Sequence of Row Count","Description":"Sequence of row count of array variable","Type":"ExcelFormulaCommand","LaunchCodes":["src"],"Formula":"=SEQUENCE(ROWS([[ActiveCell::Formula]]),1,1,1)","Tags":["WrapWith"]},{"Name":"Set Lambda Library","Description":"Points CompBot at YOUR lambda library workbook, once; ILL and Full Setup Case then load it","Type":"VBAMacroCommand","Note":"A setup-time command, run once before competition (and again only if the library moves). Opens a file picker; choose the workbook your own lambdas live in. The location is saved as a per-user Windows setting (HKCU, VB and VBA Program Settings\\CompBot\\Lambdas), NOT inside CompBot, so it survives every CompBot update. Refuses CompBot itself. Import Lambda Library (ILL) and Full Setup Case read it from then on. Added 2026-09-24.","LaunchCodes":["SLL"],"MacroExpression":"modLambdas.SetLambdaLibrary()","Tags":["LAMBDA","Prep"]},{"Name":"Set Solve Folder","Description":"Choose the folder Full Setup Case saves your _Solve copy into, once (e.g. OneDrive)","Type":"VBAMacroCommand","Note":"A setup-time command, run once (and again only if the folder moves). Opens a folder picker. The folder is saved as a per-user Windows setting (HKCU, VB and VBA Program Settings\\CompBot\\Setup), NOT inside CompBot, so it survives every CompBot update. A OneDrive or SharePoint folder is stored as its local synced path. If the folder is missing when you run Full Setup Case, the copy goes next to the case and the status bar says so. Undo with Clear Solve Folder (CSF). Added 2026-10-08 (GitHub #4).","LaunchCodes":["SSF"],"MacroExpression":"modSetupSettings.SetSolveFolder()","Tags":["Prep"]},{"Name":"Setup Case Settings","Description":"Opens CompBot\u0027s Setup Settings sheet: choose which steps Full Setup Case runs, and whose lambdas win a name clash","Type":"VBAMacroCommand","Note":"Shows CompBot\u0027s Setup Settings sheet (making a hidden CompBot window visible; View \u003E Hide puts it away). A tick box for each Full Setup Case step (save the _Solve copy, backup, name used ranges, level sheets, bonus sheet, Case inputs sheet, import your library, import CompBot\u0027s lambdas) and a drop-down for whose lambdas win a name clash: CompBot (default) or Your library. The winner\u0027s import replaces a same-named lambda and the other\u0027s never does; ILL and ILC follow it too. Also shows the library SLL points at. The choices are a per-user Windows setting (HKCU, VB and VBA Program Settings\\CompBot\\Setup), NOT cells in CompBot, so they survive every CompBot update and work with CompBot read-only; a new machine needs them set again. A change is saved at once. The tick boxes are in-cell checkboxes; an Excel without them shows TRUE/FALSE, which works the same.","LaunchCodes":["SCS"],"MacroExpression":"modSetupSettings.ShowSetupSettings()","Tags":["Prep","Settings"]},{"Name":"Show Bonus Dock","Description":"Shows the open bonus questions in a dock on the right; answered ones drop off","Type":"VBAMacroCommand","Outputs":[{"Name":"Bonus dock pane","Type":"ExcelTaskPaneOutput","TaskPaneTitle":"Bonus Questions","Scope":"Application"}],"Note":"Reads the active case workbook: \u0027Bonus 1\u0027 / \u0027Bonus A\u0027 labels in column B, header row above with Answer / Points / Question. Sheet B (Create Bonus Sheet) wins, else Case, else the active sheet. Answer sheets are never read. A bonus is answered when its answer cell holds a value or a real formula; a bare link to an empty cell (Case \u2192 B) counts as open. Answered on either B or Case counts. Hand-cleared bonuses (Clear Bonus From Dock) go to the footer. Output: OA Robot\u0027s task pane, title \u0027Bonus Questions\u0027, Text content, wrapped at 55 characters by the VBA (HTML renders in a tiny fixed box, Markdown rendered blank; tested 2026-09-16). Re-run to refresh; chain it with CommandAfter behind commands that save bonus answers. Moved into CompBot from the BonusDock collection 2026-09-22.","LaunchCodes":["BQ"],"MacroExpression":"modBonusDock.BonusDockText()","Tags":["Bonus"]},{"Name":"Split Text by Delimiter Above","Description":"Splits the active cell\u0027s text DOWN into rows on the delimiter in the cell above (linked, so changing that cell re-splits), and trims each piece","Type":"ExcelFormulaCommand","LaunchCodes":["ST"],"Formula":"=TRIM(TEXTSPLIT([[ActiveCell::Formula]],,[[ActiveCell.Offset(-1,0)::Address]],TRUE))","Tags":["WrapWith"]},{"Name":"Split Text by Semicolon","Description":"Splits the active cell\u0027s text on semicolons into an array, trimming each piece","Type":"ExcelFormulaCommand","Note":"Promoted into CompBot from A-ZTraining 2026-09-22: needed in 9 of 67 surveyed cases. Semicolons are far and away the commonest delimiter in the case library: lists of racer numbers, dice rolls, move sequences, team rosters. NOTE THE BASE LEVEL DOES NOT COVER THIS: Text Robot splits by CHARACTER and by WORD, but nothing free splits on a delimiter you choose, so this is real added coverage rather than a duplicate. Self-contained formula, no lambda dependency. Same launch code as A-ZTraining\u0027s copy, deliberately.","LaunchCodes":["S;"],"Formula":"=TRIM(TEXTSPLIT([[ActiveCell::Formula]],\u0022;\u0022,,TRUE))","Tags":["WrapWith"]},{"Name":"Stack Sheets From Clipboard","Description":"Stacks the same block from many sheets into one table, driven by a sheet-name list in the clipboard","Type":"VBAMacroCommand","Note":"COPY the sheet-name list first, then select the output cell and run this. The clipboard may hold EITHER two cells, the FIRST and LAST sheet name, taking every sheet between them in tab order (so 64 Area sheets need two cells, not 64), OR the exact list of sheets to stack, in the order given. A row or a column both work. It then finds the BOUNDING USED RANGE across those sheets (the smallest block covering every sheet\u0027s data) and writes a StackSheets_byJaqKennedy formula into the active cell. Output columns: Sheet | Value | Address | Row | Col | RCRef, the same shape as GridToCol and Paste Flattened List With Formatting, so the three are interchangeable downstream. WHAT IT IS FOR: cases that split their data across one sheet per area, region or round; the 2024 MEWC Portal case has 64 of them, and nothing can be answered until they are one table. Added 2026-09-22.","LaunchCodes":["STK"],"MacroExpression":"modStackSheets.StackSheetsFromClipboard()","Tags":["Array"]},{"Name":"Stack Sheets From Clipboard, Hide Blanks","Description":"As Stack Sheets From Clipboard, but drops empty cells. WARNING: it drops zeros too","Type":"VBAMacroCommand","Note":"Identical to Stack Sheets From Clipboard (STK) except it passes HideBlanks=1, which is right when the sheets are a sparse map and the empty cells are noise. READ THIS BEFORE USING IT ON NUMBERS: the lambda\u0027s filter is (val\u003C\u003E\u0022\u0022)*(val\u003C\u003E0), so it hides ZEROS as well as blanks (measured during the 2026-09 lambda review). On a numeric grid a real zero silently disappears and your row count is wrong with no error shown. Use the plain STK version on anything where zero is a meaningful value. Added 2026-09-22.","LaunchCodes":["STKH"],"MacroExpression":"modStackSheets.StackSheetsFromClipboardHideBlanks()","Tags":["Array"]},{"Name":"Stop Walk Route","Description":"Ends a walk route by hand and writes it out, for when a diagonal click is awkward to reach","Type":"VBAMacroCommand","Note":"Does the same as the diagonal click that normally ends Record Walk Route (RWR): writes the route to a new sheet, unhooks the event watcher and restores the previous Application.EnableEvents setting. Safe to run when no route is being recorded; it does nothing.","LaunchCodes":["SWR"],"MacroExpression":"modWalk.StopWalkRoute()","Tags":["Bonus"]},{"Name":"Sum False","Description":"Counts the FALSE (0) values in an array: how many rows fail the test. Anything non-zero, such as 2 from an OR built with \u002B, counts as TRUE","Type":"ExcelFormulaCommand","Note":"Added 2026-09-28 (Jaq) as the partner of Sum True: MM turns the array into numbers, =0 flags the FALSE / zero results, and MM with sum counts them.","LaunchCodes":["SF"],"Formula":"=MM_byHaDang(MM_byHaDang([[ActiveCell::Formula]])=0,1)","FormulaDependencies":["MM_byHaDang.lambda"]},{"Name":"Sum True","Description":"Counts the TRUE values in an array (applies -- and sums it): the usual way to answer \u0027how many rows pass this test\u0027","Type":"ExcelFormulaCommand","LaunchCodes":["ST","MMS"],"Formula":"=MM_byHaDang([[ActiveCell::Formula]],1)","FormulaDependencies":["MM_byHaDang.lambda"]},{"Name":"Toggle Calculation Mode","Description":"Toggles calculation mode and places current mode notice in StatusBar","Type":"VBAMacroCommand","LaunchCodes":["TC"],"MacroExpression":"modMisc.ToggleCalculationMode()","Tags":["Settings"]},{"Name":"Toggle Iterative Calculation","Description":"Toggles iterative calculation and sets status in status bar","Type":"VBAMacroCommand","LaunchCodes":["IC"],"MacroExpression":"modMisc.ToggleIterativeCalculation()","Tags":["Settings"]},{"Name":"Unmerge Multi-Row Merges","Description":"Unmerges every merged area spanning more than one row (the selection, or the whole sheet), leaving the value in the top-left cell","Type":"VBAMacroCommand","Note":"Promoted into CompBot from A-ZTraining 2026-09-22: needed in 7 of 67 surveyed cases, and EVERY sighting was a standalone competition workbook (Tic Tac Toe\u0027s 104 three-row merges, Battleship\u0027s 408 two-row merges, Where\u0027s Wally\u0027s 142), never an A-Z training case. WHAT IT IS FOR: vertically merged cells break almost everything; array formulas refuse to spill past them, and the value is only really in the top-left cell. SINGLE-ROW merges are left for Merged To Centre Across Selection (M2C), which replaces them without destroying the layout. SCOPE (2026-09-24, Jaq): a selection of more than one cell, or one merged cell, limits it to the merged blocks the selection touches (a block partly selected is taken whole); one ordinary cell means the whole active sheet, with UsedRange expanded back out to A1. It collects every area first and unmerges in one hit. Status bar report, no dialogs. NO LAUNCH CODE: typing Unmerge also finds M2C, whose launch code is Unmerge.","MacroExpression":"modMisc.UnmergeMultiRowMerges()","Tags":["Prep"]},{"Name":"Update Settings","Description":"Updates default settings to those in Regional Settings sheet","Type":"VBAMacroCommand","LaunchCodes":["US"],"MacroExpression":"modMisc.UpdateSettings()","Tags":["Settings"]},{"Name":"Wrap Flat List Into Grid","Description":"Folds a single row or column back into a grid of a chosen width, the missing half of Reshape To One Row/Column","Type":"ExcelFormulaCommand","Parameters":[{"Name":"RowWidth","Type":"InputParameter","DataType":"String","Prompt":"How many cells per row in the result"}],"UserContextFilter":"ExcelSelectionIsSingleCell","Note":"Takes a flat list and lays it out row by row into a grid the width you ask for. WHY IT EXISTS: Array Robot ships Reshape To One (1) Column and Reshape To One (1) Row; both go from a GRID to a LIST. Nothing anywhere went back the other way, in any collection or lambda: the family stopped one member short. Found needed in two surveyed cases by different authors in different years: a 50-column block that is really 5 reels x 10 turns (2023 A Story About the Reels), and a flat 9- or 25-token row that is really a 3x3 or 5x5 board (2026 Sunlight). Ragged input is padded with blanks rather than erroring. Uses native WRAPROWS, so there is no lambda to maintain. Added 2026-09-22.","LaunchCodes":["WFG"],"Formula":"=WRAPROWS(TOCOL([[ActiveCell::Formula]],3),{{RowWidth}},\u0022\u0022)","Tags":["Array"]},{"Name":"Wrap in ABS","Description":"Wraps the active formula in ABS() to make the result positive: distances, differences, gaps, reflections","Type":"ExcelFormulaCommand","LaunchCodes":["ABS"],"Formula":"=ABS([[ActiveCell::Formula]])","Tags":["WrapWith"]},{"Name":"Wrap in Concat","Description":"Wraps the active formula in CONCAT() to join an array into one string with no separator, rebuilding a word from its letters","Type":"ExcelFormulaCommand","LaunchCodes":["con"],"Formula":"=CONCAT([[ActiveCell::Formula]])","Tags":["WrapWith"]},{"Name":"Wrap in Drop First Row","Description":"Wraps the active formula in DROP(...,1) to remove a header row from a spilled array","Type":"ExcelFormulaCommand","LaunchCodes":["DF"],"Formula":"=DROP([[ActiveCell::Formula]],1)","Tags":["WrapWith"]},{"Name":"Wrap in Take by Copied Cell Columns","Description":"Wrap in take by copied cell columns.","Type":"ExcelFormulaCommand","LaunchCodes":["TCC"],"Formula":"=TAKE([[ActiveCell::Formula]],,[[Clipboard]])","Tags":["WrapWith"]},{"Name":"Wrap in UNICHAR","Description":"Wraps the active formula in UNICHAR() to turn code numbers back into characters: decoding glyphs, emoji or dice faces","Type":"ExcelFormulaCommand","LaunchCodes":["char"],"Formula":"=UNICHAR([[ActiveCell::Formula]])","Tags":["WrapWith"]},{"Name":"Wrap in UNICODE","Description":"Wraps the active formula in UNICODE() to turn characters into their code numbers, the first step in most cipher and glyph puzzles","Type":"ExcelFormulaCommand","LaunchCodes":["code"],"Formula":"=UNICODE([[ActiveCell::Formula]])","Tags":["WrapWith"]},{"Name":"Wrap in UNIQUE","Description":"Wraps the active formula in UNIQUE() to strip duplicates: distinct values, distinct colors, distinct answers","Type":"ExcelFormulaCommand","LaunchCodes":["U"],"Formula":"=UNIQUE([[ActiveCell::Formula]])","Tags":["WrapWith"]},{"Name":"Wrap with IFERROR TEXTBEFORE space","Description":"Wraps current formula with TEXTBEFORE space with IFERROR in case space doesn\u0027t exist","Type":"ExcelFormulaCommand","LaunchCodes":["tbse"],"Formula":"=IFERROR(TEXTBEFORE([[ActiveCell::Formula]],\u0022 \u0022),[[ActiveCell::Formula]])","Tags":["WrapWith"]},{"Name":"Create Data Table Here","Type":"VBAMacroCommand","MacroExpression":"modDataTable.CreateDataTableHere()","Description":"Builds the level\u0027s data table block at the selected cell, else beside the inputs","Note":"Create Data Table (CDT) with the block\u0027s input cell at the ACTIVE cell. Stand on an empty cell in the level, right of the inputs, and run it: the block is built there (header row above, Expected / Check / ANSWER below, games down) and you land on its last input. The cell is not used, and the block goes where CDT would put it, when it is the Example# label, on row 1, not empty, or its footprint holds anything; the status bar says which. If the level already has a block it takes you there, like CDT. Asked for by Laza (GitHub #6, 2026-10-09); added 2026-10-11 (Jaq\u0027s naming: CDTH).","LaunchCodes":["CDTH","DT"],"Tags":["Prep","DataTable"]}],"Texts":[{"Name":"ADDRESSES_byDiarmuidEarly.lambda","Description":"Definition of ADDRESSES_byDiarmuidEarly lambda function.","Type":"ExcelNameText","ContentType":"ExcelFormula","Location":"ADDRESSES_byDiarmuidEarly"},{"Name":"ARROWSHIFT.lambda","Description":"Definition of ARROWSHIFT lambda function.","Type":"ExcelNameText","ContentType":"ExcelLambda","Location":"ARROWSHIFT"},{"Name":"ARROWSHIFT_byEmilieWilliams.lambda","Description":"Definition of ARROWSHIFT_byEmilieWilliams lambda function.","Type":"ExcelNameText","ContentType":"ExcelLambda","Location":"ARROWSHIFT_byEmilieWilliams"},{"Name":"BiCol_byHadynWiseman.lambda","Description":"Definition of BiCol_byHadynWiseman lambda function.","Type":"ExcelNameText","ContentType":"ExcelLambda","Location":"BiCol_byHadynWiseman"},{"Name":"BiRow_byHadynWiseman.lambda","Description":"Definition of BiRow_byHadynWiseman lambda function.","Type":"ExcelNameText","ContentType":"ExcelLambda","Location":"BiRow_byHadynWiseman"},{"Name":"BoardGameMove_byHadynWiseman.lambda","Description":"Definition of BoardGameMove_byHadynWiseman lambda function.","Type":"ExcelNameText","ContentType":"ExcelLambda","Location":"BoardGameMove_byHadynWiseman"},{"Name":"ClosestOnMap_byHadynWiseman.lambda","Description":"Definition of ClosestOnMap_byHadynWiseman lambda function.","Type":"ExcelNameText","ContentType":"ExcelLambda","Location":"ClosestOnMap_byHadynWiseman"},{"Name":"ColNum_byHadynWiseman.lambda","Description":"Definition of ColNum_byHadynWiseman lambda function.","Type":"ExcelNameText","ContentType":"ExcelLambda","Location":"ColNum_byHadynWiseman"},{"Name":"Combinations_byHadynWiseman.lambda","Description":"Definition of Combinations_byHadynWiseman lambda function.","Type":"ExcelNameText","ContentType":"ExcelLambda","Location":"Combinations_byHadynWiseman"},{"Name":"Dice_byHadynWiseman.lambda","Description":"Definition of Dice_byHadynWiseman lambda function.","Type":"ExcelNameText","ContentType":"ExcelLambda","Location":"Dice_byHadynWiseman"},{"Name":"DiffByRow_byJaqKennedy.lambda","Description":"Definition of DiffByRow_byJaqKennedy lambda function.","Type":"ExcelNameText","ContentType":"ExcelFormula","Location":"DiffByRow_byJaqKennedy"},{"Name":"Distance_byHadynWiseman.lambda","Description":"Definition of Distance_byHadynWiseman lambda function.","Type":"ExcelNameText","ContentType":"ExcelLambda","Location":"Distance_byHadynWiseman"},{"Name":"Exists_byHadynWiseman.lambda","Description":"Definition of Exists_byHadynWiseman lambda function.","Type":"ExcelNameText","ContentType":"ExcelLambda","Location":"Exists_byHadynWiseman"},{"Name":"Extract_byJaqKennedy.lambda","Description":"Definition of Extract_byJaqKennedy lambda function.","Type":"ExcelNameText","ContentType":"ExcelLambda","Location":"Extract_byJaqKennedy"},{"Name":"FilterArray_byErikOehm.lambda","Description":"Definition of FilterArray_byErikOehm lambda function.","Type":"ExcelNameText","ContentType":"ExcelFormula","Location":"FilterArray_byErikOehm"},{"Name":"FindInMap_byHadynWiseman.lambda","Description":"Definition of FindInMap_byHadynWiseman lambda function.","Type":"ExcelNameText","ContentType":"ExcelLambda","Location":"FindInMap_byHadynWiseman"},{"Name":"Flip_byHadynWiseman.lambda","Description":"Definition of Flip_byHadynWiseman lambda function.","Type":"ExcelNameText","ContentType":"ExcelLambda","Location":"Flip_byHadynWiseman"},{"Name":"GetAddress.lambda","Description":"Definition of GetAddress lambda function.","Type":"ExcelNameText","ContentType":"ExcelLambda","Location":"GetAddress"},{"Name":"GetAddressesByLookup.lambda","Description":"Definition of GetAddressesByLookup lambda function.","Type":"ExcelNameText","ContentType":"ExcelLambda","Location":"GetAddressesByLookup"},{"Name":"GRIDTOCOL_byLiannaGerrish.lambda","Description":"Definition of GRIDTOCOL_byLiannaGerrish lambda function.","Type":"ExcelNameText","ContentType":"ExcelFormula","Location":"GRIDTOCOL_byLiannaGerrish"},{"Name":"IFBLANK.lambda","Description":"Definition of IFBLANK lambda function.","Type":"ExcelNameText","ContentType":"ExcelFormula","Location":"IFBLANK"},{"Name":"IsInList_byErikOehm.lambda","Description":"Definition of IsInList_byErikOehm lambda function.","Type":"ExcelNameText","ContentType":"ExcelFormula","Location":"IsInList_byErikOehm"},{"Name":"LkpRC.lambda","Description":"Definition of LkpRC lambda function.","Type":"ExcelNameText","ContentType":"ExcelFormula","Location":"LkpRC"},{"Name":"LkpRCByRow.lambda","Description":"Definition of LkpRCByRow lambda function.","Type":"ExcelNameText","ContentType":"ExcelFormula","Location":"LkpRCByRow"},{"Name":"MazeDistance_byHadynWiseman.lambda","Description":"Definition of MazeDistance_byHadynWiseman lambda function.","Type":"ExcelNameText","ContentType":"ExcelLambda","Location":"MazeDistance_byHadynWiseman"},{"Name":"MM_byHaDang.lambda","Description":"Definition of MM_byHaDang lambda function.","Type":"ExcelNameText","ContentType":"ExcelLambda","Location":"MM_byHaDang"},{"Name":"PerCom_byBoRydobon.lambda","Description":"Definition of PerCom_byBoRydobon lambda function.","Type":"ExcelNameText","ContentType":"ExcelLambda","Location":"PerCom_byBoRydobon"},{"Name":"Regions_byHadynWiseman.lambda","Description":"Definition of Regions_byHadynWiseman lambda function.","Type":"ExcelNameText","ContentType":"ExcelLambda","Location":"Regions_byHadynWiseman"},{"Name":"RightAlignedArray_byJaqKennedy.lambda","Description":"Definition of RightAlignedArray_byJaqKennedy lambda function.","Type":"ExcelNameText","ContentType":"ExcelFormula","Location":"RightAlignedArray_byJaqKennedy"},{"Name":"Rotate_byHadynWiseman.lambda","Description":"Definition of Rotate_byHadynWiseman lambda function.","Type":"ExcelNameText","ContentType":"ExcelLambda","Location":"Rotate_byHadynWiseman"},{"Name":"RowNum_byHadynWiseman.lambda","Description":"Definition of RowNum_byHadynWiseman lambda function.","Type":"ExcelNameText","ContentType":"ExcelLambda","Location":"RowNum_byHadynWiseman"},{"Name":"RunningTotal_byJaqKennedy.lambda","Description":"Definition of RunningTotal_byJaqKennedy lambda function.","Type":"ExcelNameText","ContentType":"ExcelLambda","Location":"RunningTotal_byJaqKennedy"},{"Name":"SplitText_byHadynWiseman.lambda","Description":"Definition of SplitText_byHadynWiseman lambda function.","Type":"ExcelNameText","ContentType":"ExcelLambda","Location":"SplitText_byHadynWiseman"}]}
]]></JSON>
</file>

<file path=customXml/item49.xml><?xml version="1.0" encoding="utf-8"?>
<writeIndexDataTable>
  <xs:schema xmlns="" xmlns:xs="http://www.w3.org/2001/XMLSchema" xmlns:msdata="urn:schemas-microsoft-com:xml-msdata" id="writeIndexDataTable">
    <xs:element name="writeIndexDataTable" msdata:IsDataSet="true" msdata:UseCurrentLocale="true">
      <xs:complexType>
        <xs:choice minOccurs="0" maxOccurs="unbounded">
          <xs:element name="CustomXmlPartIndex">
            <xs:complexType>
              <xs:sequence>
                <xs:element name="CollectionName" type="xs:string"/>
                <xs:element name="ItemName" type="xs:string"/>
                <xs:element name="ItemDescription" type="xs:string" minOccurs="0"/>
                <xs:element name="ItemType" type="xs:string" minOccurs="0"/>
                <xs:element name="ItemSubtype" type="xs:string" minOccurs="0"/>
                <xs:element name="LastUpdated" type="xs:string" minOccurs="0"/>
                <xs:element name="CustomXmlPartGuid" type="xs:string" minOccurs="0"/>
              </xs:sequence>
            </xs:complexType>
          </xs:element>
        </xs:choice>
      </xs:complexType>
      <xs:unique name="Constraint1" msdata:PrimaryKey="true">
        <xs:selector xpath=".//CustomXmlPartIndex"/>
        <xs:field xpath="CollectionName"/>
        <xs:field xpath="ItemName"/>
      </xs:unique>
    </xs:element>
  </xs:schema>
  <CustomXmlPartIndex>
    <CollectionName>HotkeyCommands</CollectionName>
    <ItemName>ADDRESSES_byDiarmuidEarly.lambda</ItemName>
    <ItemDescription/>
    <ItemType>Text</ItemType>
    <ItemSubtype/>
    <LastUpdated>2026-10-09T12:11:51.6257080+00:00</LastUpdated>
    <CustomXmlPartGuid>{26913951-5EAC-4A58-B59D-3F2C7E1A8B29}</CustomXmlPartGuid>
  </CustomXmlPartIndex>
  <CustomXmlPartIndex>
    <CollectionName>HotkeyCommands</CollectionName>
    <ItemName>ARROWSHIFT.lambda</ItemName>
    <ItemDescription/>
    <ItemType>Text</ItemType>
    <ItemSubtype/>
    <LastUpdated>2026-10-09T12:11:51.6277440+00:00</LastUpdated>
    <CustomXmlPartGuid>{B571487A-B756-47F9-A161-3EF0D733037B}</CustomXmlPartGuid>
  </CustomXmlPartIndex>
  <CustomXmlPartIndex>
    <CollectionName>HotkeyCommands</CollectionName>
    <ItemName>ARROWSHIFT_byEmilieWilliams.lambda</ItemName>
    <ItemDescription/>
    <ItemType>Text</ItemType>
    <ItemSubtype/>
    <LastUpdated>2026-10-09T12:11:51.6287465+00:00</LastUpdated>
    <CustomXmlPartGuid>{927F1119-D752-48D4-81B7-CAE50CC6AEFB}</CustomXmlPartGuid>
  </CustomXmlPartIndex>
  <CustomXmlPartIndex>
    <CollectionName>HotkeyCommands</CollectionName>
    <ItemName>BiCol_byHadynWiseman.lambda</ItemName>
    <ItemDescription/>
    <ItemType>Text</ItemType>
    <ItemSubtype/>
    <LastUpdated>2026-10-09T12:11:51.6297479+00:00</LastUpdated>
    <CustomXmlPartGuid>{353950F5-0FD7-4D98-A740-FD5C8C715097}</CustomXmlPartGuid>
  </CustomXmlPartIndex>
  <CustomXmlPartIndex>
    <CollectionName>HotkeyCommands</CollectionName>
    <ItemName>BiRow_byHadynWiseman.lambda</ItemName>
    <ItemDescription/>
    <ItemType>Text</ItemType>
    <ItemSubtype/>
    <LastUpdated>2026-10-09T12:11:51.6307956+00:00</LastUpdated>
    <CustomXmlPartGuid>{59558348-9FA0-4B97-9A3A-377A23B1869E}</CustomXmlPartGuid>
  </CustomXmlPartIndex>
  <CustomXmlPartIndex>
    <CollectionName>HotkeyCommands</CollectionName>
    <ItemName>BoardGameMove_byHadynWiseman.lambda</ItemName>
    <ItemDescription/>
    <ItemType>Text</ItemType>
    <ItemSubtype/>
    <LastUpdated>2026-10-09T12:11:51.6317966+00:00</LastUpdated>
    <CustomXmlPartGuid>{7E1B659C-CF64-4AF0-9FA1-784BC3E25131}</CustomXmlPartGuid>
  </CustomXmlPartIndex>
  <CustomXmlPartIndex>
    <CollectionName>HotkeyCommands</CollectionName>
    <ItemName>ClosestOnMap_byHadynWiseman.lambda</ItemName>
    <ItemDescription/>
    <ItemType>Text</ItemType>
    <ItemSubtype/>
    <LastUpdated>2026-10-09T12:11:51.6327974+00:00</LastUpdated>
    <CustomXmlPartGuid>{A43A433D-D952-465E-892C-A61C6169B6D5}</CustomXmlPartGuid>
  </CustomXmlPartIndex>
  <CustomXmlPartIndex>
    <CollectionName>HotkeyCommands</CollectionName>
    <ItemName>ColNum_byHadynWiseman.lambda</ItemName>
    <ItemDescription/>
    <ItemType>Text</ItemType>
    <ItemSubtype/>
    <LastUpdated>2026-10-09T12:11:51.6343014+00:00</LastUpdated>
    <CustomXmlPartGuid>{05958C26-E3D1-43D9-9203-1802B8D97404}</CustomXmlPartGuid>
  </CustomXmlPartIndex>
  <CustomXmlPartIndex>
    <CollectionName>HotkeyCommands</CollectionName>
    <ItemName>Combinations_byHadynWiseman.lambda</ItemName>
    <ItemDescription/>
    <ItemType>Text</ItemType>
    <ItemSubtype/>
    <LastUpdated>2026-10-09T12:11:51.6363042+00:00</LastUpdated>
    <CustomXmlPartGuid>{4321C5FB-996B-41A3-95ED-0F6C87758249}</CustomXmlPartGuid>
  </CustomXmlPartIndex>
  <CustomXmlPartIndex>
    <CollectionName>HotkeyCommands</CollectionName>
    <ItemName>Dice_byHadynWiseman.lambda</ItemName>
    <ItemDescription/>
    <ItemType>Text</ItemType>
    <ItemSubtype/>
    <LastUpdated>2026-10-09T12:11:51.6373051+00:00</LastUpdated>
    <CustomXmlPartGuid>{E7C3FC10-EE89-43E7-88BD-38DE4DB8C4C3}</CustomXmlPartGuid>
  </CustomXmlPartIndex>
  <CustomXmlPartIndex>
    <CollectionName>HotkeyCommands</CollectionName>
    <ItemName>DiffByRow_byJaqKennedy.lambda</ItemName>
    <ItemDescription/>
    <ItemType>Text</ItemType>
    <ItemSubtype/>
    <LastUpdated>2026-10-09T12:11:51.6383068+00:00</LastUpdated>
    <CustomXmlPartGuid>{5C2E4A1E-C7DF-4576-97B0-39DD1450449C}</CustomXmlPartGuid>
  </CustomXmlPartIndex>
  <CustomXmlPartIndex>
    <CollectionName>HotkeyCommands</CollectionName>
    <ItemName>Distance_byHadynWiseman.lambda</ItemName>
    <ItemDescription/>
    <ItemType>Text</ItemType>
    <ItemSubtype/>
    <LastUpdated>2026-10-09T12:11:51.6403085+00:00</LastUpdated>
    <CustomXmlPartGuid>{E16A87AC-8F0A-496C-92D7-7DCC2F8D595D}</CustomXmlPartGuid>
  </CustomXmlPartIndex>
  <CustomXmlPartIndex>
    <CollectionName>HotkeyCommands</CollectionName>
    <ItemName>Exists_byHadynWiseman.lambda</ItemName>
    <ItemDescription/>
    <ItemType>Text</ItemType>
    <ItemSubtype/>
    <LastUpdated>2026-10-09T12:11:51.6413095+00:00</LastUpdated>
    <CustomXmlPartGuid>{FB175206-B447-4CC5-84CD-A4F19FD483D5}</CustomXmlPartGuid>
  </CustomXmlPartIndex>
  <CustomXmlPartIndex>
    <CollectionName>HotkeyCommands</CollectionName>
    <ItemName>Extract_byJaqKennedy.lambda</ItemName>
    <ItemDescription/>
    <ItemType>Text</ItemType>
    <ItemSubtype/>
    <LastUpdated>2026-10-09T12:11:51.6433110+00:00</LastUpdated>
    <CustomXmlPartGuid>{0E5E5368-B740-4F83-9273-A72709A2F837}</CustomXmlPartGuid>
  </CustomXmlPartIndex>
  <CustomXmlPartIndex>
    <CollectionName>HotkeyCommands</CollectionName>
    <ItemName>FilterArray_byErikOehm.lambda</ItemName>
    <ItemDescription/>
    <ItemType>Text</ItemType>
    <ItemSubtype/>
    <LastUpdated>2026-10-09T12:11:51.6453131+00:00</LastUpdated>
    <CustomXmlPartGuid>{703ED32A-35BE-4110-ADC8-063E9168D3AB}</CustomXmlPartGuid>
  </CustomXmlPartIndex>
  <CustomXmlPartIndex>
    <CollectionName>HotkeyCommands</CollectionName>
    <ItemName>FindInMap_byHadynWiseman.lambda</ItemName>
    <ItemDescription/>
    <ItemType>Text</ItemType>
    <ItemSubtype/>
    <LastUpdated>2026-10-09T12:11:51.6473148+00:00</LastUpdated>
    <CustomXmlPartGuid>{824708FF-8D8C-4B25-AA00-32D823C5CA21}</CustomXmlPartGuid>
  </CustomXmlPartIndex>
  <CustomXmlPartIndex>
    <CollectionName>HotkeyCommands</CollectionName>
    <ItemName>Flip_byHadynWiseman.lambda</ItemName>
    <ItemDescription/>
    <ItemType>Text</ItemType>
    <ItemSubtype/>
    <LastUpdated>2026-10-09T12:11:51.6483156+00:00</LastUpdated>
    <CustomXmlPartGuid>{5A85A277-A60E-4F49-B25C-A0902D98B2C4}</CustomXmlPartGuid>
  </CustomXmlPartIndex>
  <CustomXmlPartIndex>
    <CollectionName>HotkeyCommands</CollectionName>
    <ItemName>GetAddress.lambda</ItemName>
    <ItemDescription/>
    <ItemType>Text</ItemType>
    <ItemSubtype/>
    <LastUpdated>2026-10-09T12:11:51.6503176+00:00</LastUpdated>
    <CustomXmlPartGuid>{5B7C04E4-F910-4392-8BD2-B9FC27E31B70}</CustomXmlPartGuid>
  </CustomXmlPartIndex>
  <CustomXmlPartIndex>
    <CollectionName>HotkeyCommands</CollectionName>
    <ItemName>GetAddressesByLookup.lambda</ItemName>
    <ItemDescription/>
    <ItemType>Text</ItemType>
    <ItemSubtype/>
    <LastUpdated>2026-10-09T12:11:51.6528219+00:00</LastUpdated>
    <CustomXmlPartGuid>{6A267448-6CA9-4A07-8847-22FD41B762C1}</CustomXmlPartGuid>
  </CustomXmlPartIndex>
  <CustomXmlPartIndex>
    <CollectionName>HotkeyCommands</CollectionName>
    <ItemName>GRIDTOCOL_byLiannaGerrish.lambda</ItemName>
    <ItemDescription/>
    <ItemType>Text</ItemType>
    <ItemSubtype/>
    <LastUpdated>2026-10-09T12:11:51.6538233+00:00</LastUpdated>
    <CustomXmlPartGuid>{9489DD57-E33F-45C8-A6B9-CF24097DFA61}</CustomXmlPartGuid>
  </CustomXmlPartIndex>
  <CustomXmlPartIndex>
    <CollectionName>HotkeyCommands</CollectionName>
    <ItemName>IFBLANK.lambda</ItemName>
    <ItemDescription/>
    <ItemType>Text</ItemType>
    <ItemSubtype/>
    <LastUpdated>2026-10-09T12:11:51.6558252+00:00</LastUpdated>
    <CustomXmlPartGuid>{F0115A7B-DC63-4C48-95C3-4D7A34B3BB0E}</CustomXmlPartGuid>
  </CustomXmlPartIndex>
  <CustomXmlPartIndex>
    <CollectionName>HotkeyCommands</CollectionName>
    <ItemName>IsInList_byErikOehm.lambda</ItemName>
    <ItemDescription/>
    <ItemType>Text</ItemType>
    <ItemSubtype/>
    <LastUpdated>2026-10-09T12:11:51.6578270+00:00</LastUpdated>
    <CustomXmlPartGuid>{9FF1AADD-16AD-4CA8-9CF0-319CDCB7DD7E}</CustomXmlPartGuid>
  </CustomXmlPartIndex>
  <CustomXmlPartIndex>
    <CollectionName>HotkeyCommands</CollectionName>
    <ItemName>LkpRC.lambda</ItemName>
    <ItemDescription/>
    <ItemType>Text</ItemType>
    <ItemSubtype/>
    <LastUpdated>2026-10-09T12:11:51.6608297+00:00</LastUpdated>
    <CustomXmlPartGuid>{2A2CAA49-D828-46BC-93A5-40D6D5CB00C0}</CustomXmlPartGuid>
  </CustomXmlPartIndex>
  <CustomXmlPartIndex>
    <CollectionName>HotkeyCommands</CollectionName>
    <ItemName>LkpRCByRow.lambda</ItemName>
    <ItemDescription/>
    <ItemType>Text</ItemType>
    <ItemSubtype/>
    <LastUpdated>2026-10-09T12:11:51.6628315+00:00</LastUpdated>
    <CustomXmlPartGuid>{C7E35D92-A619-4D4B-826A-27D080EBC84C}</CustomXmlPartGuid>
  </CustomXmlPartIndex>
  <CustomXmlPartIndex>
    <CollectionName>HotkeyCommands</CollectionName>
    <ItemName>MazeDistance_byHadynWiseman.lambda</ItemName>
    <ItemDescription/>
    <ItemType>Text</ItemType>
    <ItemSubtype/>
    <LastUpdated>2026-10-09T12:11:51.6648334+00:00</LastUpdated>
    <CustomXmlPartGuid>{794B88C7-6629-4DC3-A3E5-7BB162E75910}</CustomXmlPartGuid>
  </CustomXmlPartIndex>
  <CustomXmlPartIndex>
    <CollectionName>HotkeyCommands</CollectionName>
    <ItemName>MM_byHaDang.lambda</ItemName>
    <ItemDescription/>
    <ItemType>Text</ItemType>
    <ItemSubtype/>
    <LastUpdated>2026-10-09T12:11:51.6668351+00:00</LastUpdated>
    <CustomXmlPartGuid>{08222260-76CA-44A7-938F-1F301CBDA669}</CustomXmlPartGuid>
  </CustomXmlPartIndex>
  <CustomXmlPartIndex>
    <CollectionName>HotkeyCommands</CollectionName>
    <ItemName>PerCom_byBoRydobon.lambda</ItemName>
    <ItemDescription/>
    <ItemType>Text</ItemType>
    <ItemSubtype/>
    <LastUpdated>2026-10-09T12:11:51.6698378+00:00</LastUpdated>
    <CustomXmlPartGuid>{314086A5-E895-4278-8733-545291FAD6A6}</CustomXmlPartGuid>
  </CustomXmlPartIndex>
  <CustomXmlPartIndex>
    <CollectionName>HotkeyCommands</CollectionName>
    <ItemName>Regions_byHadynWiseman.lambda</ItemName>
    <ItemDescription/>
    <ItemType>Text</ItemType>
    <ItemSubtype/>
    <LastUpdated>2026-10-09T12:11:51.6718397+00:00</LastUpdated>
    <CustomXmlPartGuid>{DCA22E0F-7155-4464-9123-4CAC6EAD921D}</CustomXmlPartGuid>
  </CustomXmlPartIndex>
  <CustomXmlPartIndex>
    <CollectionName>HotkeyCommands</CollectionName>
    <ItemName>RightAlignedArray_byJaqKennedy.lambda</ItemName>
    <ItemDescription/>
    <ItemType>Text</ItemType>
    <ItemSubtype/>
    <LastUpdated>2026-10-09T12:11:51.6738417+00:00</LastUpdated>
    <CustomXmlPartGuid>{05821652-98C8-4F46-913D-A2BBB8AA7793}</CustomXmlPartGuid>
  </CustomXmlPartIndex>
  <CustomXmlPartIndex>
    <CollectionName>HotkeyCommands</CollectionName>
    <ItemName>Rotate_byHadynWiseman.lambda</ItemName>
    <ItemDescription/>
    <ItemType>Text</ItemType>
    <ItemSubtype/>
    <LastUpdated>2026-10-09T12:11:51.6768442+00:00</LastUpdated>
    <CustomXmlPartGuid>{E6BBE98A-6D38-4170-923B-A7E403C20312}</CustomXmlPartGuid>
  </CustomXmlPartIndex>
  <CustomXmlPartIndex>
    <CollectionName>HotkeyCommands</CollectionName>
    <ItemName>RowNum_byHadynWiseman.lambda</ItemName>
    <ItemDescription/>
    <ItemType>Text</ItemType>
    <ItemSubtype/>
    <LastUpdated>2026-10-09T12:11:51.6788461+00:00</LastUpdated>
    <CustomXmlPartGuid>{4F3B43DD-CD02-439D-A641-F01D9CA9D6A3}</CustomXmlPartGuid>
  </CustomXmlPartIndex>
  <CustomXmlPartIndex>
    <CollectionName>HotkeyCommands</CollectionName>
    <ItemName>RunningTotal_byJaqKennedy.lambda</ItemName>
    <ItemDescription/>
    <ItemType>Text</ItemType>
    <ItemSubtype/>
    <LastUpdated>2026-10-09T12:11:51.6818487+00:00</LastUpdated>
    <CustomXmlPartGuid>{D2FE4DC5-0337-457C-A4AE-CE1D63337F34}</CustomXmlPartGuid>
  </CustomXmlPartIndex>
  <CustomXmlPartIndex>
    <CollectionName>HotkeyCommands</CollectionName>
    <ItemName>SplitText_byHadynWiseman.lambda</ItemName>
    <ItemDescription/>
    <ItemType>Text</ItemType>
    <ItemSubtype/>
    <LastUpdated>2026-10-09T12:11:51.6848515+00:00</LastUpdated>
    <CustomXmlPartGuid>{107B0341-0E94-43D0-BD42-CED95CD11DC9}</CustomXmlPartGuid>
  </CustomXmlPartIndex>
  <CustomXmlPartIndex>
    <CollectionName>HotkeyCommands</CollectionName>
    <ItemName>HotkeyCommands</ItemName>
    <ItemDescription/>
    <ItemType>JSON</ItemType>
    <LastUpdated>2026-10-11T11:40:46.9787003+00:00</LastUpdated>
    <CustomXmlPartGuid>{6B6FD9AD-D6DB-4B16-A00C-C9BD57D0A177}</CustomXmlPartGuid>
  </CustomXmlPartIndex>
</writeIndexDataTable>
</file>

<file path=customXml/itemProps1.xml><?xml version="1.0" encoding="utf-8"?>
<ds:datastoreItem xmlns:ds="http://schemas.openxmlformats.org/officeDocument/2006/customXml" ds:itemID="{B571487A-B756-47F9-A161-3EF0D733037B}">
  <ds:schemaRefs/>
</ds:datastoreItem>
</file>

<file path=customXml/itemProps2.xml><?xml version="1.0" encoding="utf-8"?>
<ds:datastoreItem xmlns:ds="http://schemas.openxmlformats.org/officeDocument/2006/customXml" ds:itemID="{60136850-0A80-46DA-A7BC-83E4B88FD331}">
  <ds:schemaRefs/>
</ds:datastoreItem>
</file>

<file path=customXml/itemProps3.xml><?xml version="1.0" encoding="utf-8"?>
<ds:datastoreItem xmlns:ds="http://schemas.openxmlformats.org/officeDocument/2006/customXml" ds:itemID="{59558348-9FA0-4B97-9A3A-377A23B1869E}">
  <ds:schemaRefs/>
</ds:datastoreItem>
</file>

<file path=customXml/itemProps4.xml><?xml version="1.0" encoding="utf-8"?>
<ds:datastoreItem xmlns:ds="http://schemas.openxmlformats.org/officeDocument/2006/customXml" ds:itemID="{E7C3FC10-EE89-43E7-88BD-38DE4DB8C4C3}">
  <ds:schemaRefs/>
</ds:datastoreItem>
</file>

<file path=customXml/itemProps5.xml><?xml version="1.0" encoding="utf-8"?>
<ds:datastoreItem xmlns:ds="http://schemas.openxmlformats.org/officeDocument/2006/customXml" ds:itemID="{FB175206-B447-4CC5-84CD-A4F19FD483D5}">
  <ds:schemaRefs/>
</ds:datastoreItem>
</file>

<file path=customXml/itemProps6.xml><?xml version="1.0" encoding="utf-8"?>
<ds:datastoreItem xmlns:ds="http://schemas.openxmlformats.org/officeDocument/2006/customXml" ds:itemID="{5B7C04E4-F910-4392-8BD2-B9FC27E31B70}">
  <ds:schemaRefs/>
</ds:datastoreItem>
</file>

<file path=customXml/itemProps7.xml><?xml version="1.0" encoding="utf-8"?>
<ds:datastoreItem xmlns:ds="http://schemas.openxmlformats.org/officeDocument/2006/customXml" ds:itemID="{08222260-76CA-44A7-938F-1F301CBDA669}">
  <ds:schemaRefs/>
</ds:datastoreItem>
</file>

<file path=customXml/itemProps8.xml><?xml version="1.0" encoding="utf-8"?>
<ds:datastoreItem xmlns:ds="http://schemas.openxmlformats.org/officeDocument/2006/customXml" ds:itemID="{4F3B43DD-CD02-439D-A641-F01D9CA9D6A3}">
  <ds:schemaRefs/>
</ds:datastoreItem>
</file>

<file path=customXml/itemProps9.xml><?xml version="1.0" encoding="utf-8"?>
<ds:datastoreItem xmlns:ds="http://schemas.openxmlformats.org/officeDocument/2006/customXml" ds:itemID="{CC8676E6-6DD4-4D3A-B5C3-FEDBE93B926B}">
  <ds:schemaRefs/>
</ds:datastoreItem>
</file>

<file path=customXml/itemProps10.xml><?xml version="1.0" encoding="utf-8"?>
<ds:datastoreItem xmlns:ds="http://schemas.openxmlformats.org/officeDocument/2006/customXml" ds:itemID="{9C3962FE-B426-46FD-8FB0-7535580B8A92}">
  <ds:schemaRefs/>
</ds:datastoreItem>
</file>

<file path=customXml/itemProps11.xml><?xml version="1.0" encoding="utf-8"?>
<ds:datastoreItem xmlns:ds="http://schemas.openxmlformats.org/officeDocument/2006/customXml" ds:itemID="{148CA7B6-1095-4B59-A609-F0DD3983C05B}">
  <ds:schemaRefs/>
</ds:datastoreItem>
</file>

<file path=customXml/itemProps12.xml><?xml version="1.0" encoding="utf-8"?>
<ds:datastoreItem xmlns:ds="http://schemas.openxmlformats.org/officeDocument/2006/customXml" ds:itemID="{927F1119-D752-48D4-81B7-CAE50CC6AEFB}">
  <ds:schemaRefs/>
</ds:datastoreItem>
</file>

<file path=customXml/itemProps13.xml><?xml version="1.0" encoding="utf-8"?>
<ds:datastoreItem xmlns:ds="http://schemas.openxmlformats.org/officeDocument/2006/customXml" ds:itemID="{05958C26-E3D1-43D9-9203-1802B8D97404}">
  <ds:schemaRefs/>
</ds:datastoreItem>
</file>

<file path=customXml/itemProps14.xml><?xml version="1.0" encoding="utf-8"?>
<ds:datastoreItem xmlns:ds="http://schemas.openxmlformats.org/officeDocument/2006/customXml" ds:itemID="{824708FF-8D8C-4B25-AA00-32D823C5CA21}">
  <ds:schemaRefs/>
</ds:datastoreItem>
</file>

<file path=customXml/itemProps15.xml><?xml version="1.0" encoding="utf-8"?>
<ds:datastoreItem xmlns:ds="http://schemas.openxmlformats.org/officeDocument/2006/customXml" ds:itemID="{F0115A7B-DC63-4C48-95C3-4D7A34B3BB0E}">
  <ds:schemaRefs/>
</ds:datastoreItem>
</file>

<file path=customXml/itemProps16.xml><?xml version="1.0" encoding="utf-8"?>
<ds:datastoreItem xmlns:ds="http://schemas.openxmlformats.org/officeDocument/2006/customXml" ds:itemID="{05821652-98C8-4F46-913D-A2BBB8AA7793}">
  <ds:schemaRefs/>
</ds:datastoreItem>
</file>

<file path=customXml/itemProps17.xml><?xml version="1.0" encoding="utf-8"?>
<ds:datastoreItem xmlns:ds="http://schemas.openxmlformats.org/officeDocument/2006/customXml" ds:itemID="{C7E35D92-A619-4D4B-826A-27D080EBC84C}">
  <ds:schemaRefs/>
</ds:datastoreItem>
</file>

<file path=customXml/itemProps18.xml><?xml version="1.0" encoding="utf-8"?>
<ds:datastoreItem xmlns:ds="http://schemas.openxmlformats.org/officeDocument/2006/customXml" ds:itemID="{E97150ED-ED5F-4236-9280-E4377CB8776F}">
  <ds:schemaRefs>
    <ds:schemaRef ds:uri=""/>
    <ds:schemaRef ds:uri="http://www.w3.org/2001/XMLSchema"/>
    <ds:schemaRef ds:uri="urn:schemas-microsoft-com:xml-msdata"/>
  </ds:schemaRefs>
</ds:datastoreItem>
</file>

<file path=customXml/itemProps19.xml><?xml version="1.0" encoding="utf-8"?>
<ds:datastoreItem xmlns:ds="http://schemas.openxmlformats.org/officeDocument/2006/customXml" ds:itemID="{4E9FD6E5-37CB-441F-9645-F6D489E32598}">
  <ds:schemaRefs/>
</ds:datastoreItem>
</file>

<file path=customXml/itemProps20.xml><?xml version="1.0" encoding="utf-8"?>
<ds:datastoreItem xmlns:ds="http://schemas.openxmlformats.org/officeDocument/2006/customXml" ds:itemID="{7E1B659C-CF64-4AF0-9FA1-784BC3E25131}">
  <ds:schemaRefs/>
</ds:datastoreItem>
</file>

<file path=customXml/itemProps21.xml><?xml version="1.0" encoding="utf-8"?>
<ds:datastoreItem xmlns:ds="http://schemas.openxmlformats.org/officeDocument/2006/customXml" ds:itemID="{5C2E4A1E-C7DF-4576-97B0-39DD1450449C}">
  <ds:schemaRefs/>
</ds:datastoreItem>
</file>

<file path=customXml/itemProps22.xml><?xml version="1.0" encoding="utf-8"?>
<ds:datastoreItem xmlns:ds="http://schemas.openxmlformats.org/officeDocument/2006/customXml" ds:itemID="{6A267448-6CA9-4A07-8847-22FD41B762C1}">
  <ds:schemaRefs/>
</ds:datastoreItem>
</file>

<file path=customXml/itemProps23.xml><?xml version="1.0" encoding="utf-8"?>
<ds:datastoreItem xmlns:ds="http://schemas.openxmlformats.org/officeDocument/2006/customXml" ds:itemID="{D2FE4DC5-0337-457C-A4AE-CE1D63337F34}">
  <ds:schemaRefs/>
</ds:datastoreItem>
</file>

<file path=customXml/itemProps24.xml><?xml version="1.0" encoding="utf-8"?>
<ds:datastoreItem xmlns:ds="http://schemas.openxmlformats.org/officeDocument/2006/customXml" ds:itemID="{1A9F9B0F-1F08-4F37-9A0C-B6CBC0761010}">
  <ds:schemaRefs/>
</ds:datastoreItem>
</file>

<file path=customXml/itemProps25.xml><?xml version="1.0" encoding="utf-8"?>
<ds:datastoreItem xmlns:ds="http://schemas.openxmlformats.org/officeDocument/2006/customXml" ds:itemID="{0E5E5368-B740-4F83-9273-A72709A2F837}">
  <ds:schemaRefs/>
</ds:datastoreItem>
</file>

<file path=customXml/itemProps26.xml><?xml version="1.0" encoding="utf-8"?>
<ds:datastoreItem xmlns:ds="http://schemas.openxmlformats.org/officeDocument/2006/customXml" ds:itemID="{314086A5-E895-4278-8733-545291FAD6A6}">
  <ds:schemaRefs/>
</ds:datastoreItem>
</file>

<file path=customXml/itemProps27.xml><?xml version="1.0" encoding="utf-8"?>
<ds:datastoreItem xmlns:ds="http://schemas.openxmlformats.org/officeDocument/2006/customXml" ds:itemID="{D2670061-FB7D-41F0-AB90-118C32DC6B5A}">
  <ds:schemaRefs/>
</ds:datastoreItem>
</file>

<file path=customXml/itemProps28.xml><?xml version="1.0" encoding="utf-8"?>
<ds:datastoreItem xmlns:ds="http://schemas.openxmlformats.org/officeDocument/2006/customXml" ds:itemID="{05553D37-558F-48A1-9DC4-4CE07CDFF43D}">
  <ds:schemaRefs>
    <ds:schemaRef ds:uri="http://schemas.microsoft.com/DataMashup"/>
  </ds:schemaRefs>
</ds:datastoreItem>
</file>

<file path=customXml/itemProps29.xml><?xml version="1.0" encoding="utf-8"?>
<ds:datastoreItem xmlns:ds="http://schemas.openxmlformats.org/officeDocument/2006/customXml" ds:itemID="{26913951-5EAC-4A58-B59D-3F2C7E1A8B29}">
  <ds:schemaRefs/>
</ds:datastoreItem>
</file>

<file path=customXml/itemProps30.xml><?xml version="1.0" encoding="utf-8"?>
<ds:datastoreItem xmlns:ds="http://schemas.openxmlformats.org/officeDocument/2006/customXml" ds:itemID="{4321C5FB-996B-41A3-95ED-0F6C87758249}">
  <ds:schemaRefs/>
</ds:datastoreItem>
</file>

<file path=customXml/itemProps31.xml><?xml version="1.0" encoding="utf-8"?>
<ds:datastoreItem xmlns:ds="http://schemas.openxmlformats.org/officeDocument/2006/customXml" ds:itemID="{9FF1AADD-16AD-4CA8-9CF0-319CDCB7DD7E}">
  <ds:schemaRefs/>
</ds:datastoreItem>
</file>

<file path=customXml/itemProps32.xml><?xml version="1.0" encoding="utf-8"?>
<ds:datastoreItem xmlns:ds="http://schemas.openxmlformats.org/officeDocument/2006/customXml" ds:itemID="{E6BBE98A-6D38-4170-923B-A7E403C20312}">
  <ds:schemaRefs/>
</ds:datastoreItem>
</file>

<file path=customXml/itemProps33.xml><?xml version="1.0" encoding="utf-8"?>
<ds:datastoreItem xmlns:ds="http://schemas.openxmlformats.org/officeDocument/2006/customXml" ds:itemID="{353950F5-0FD7-4D98-A740-FD5C8C715097}">
  <ds:schemaRefs/>
</ds:datastoreItem>
</file>

<file path=customXml/itemProps34.xml><?xml version="1.0" encoding="utf-8"?>
<ds:datastoreItem xmlns:ds="http://schemas.openxmlformats.org/officeDocument/2006/customXml" ds:itemID="{5A85A277-A60E-4F49-B25C-A0902D98B2C4}">
  <ds:schemaRefs/>
</ds:datastoreItem>
</file>

<file path=customXml/itemProps35.xml><?xml version="1.0" encoding="utf-8"?>
<ds:datastoreItem xmlns:ds="http://schemas.openxmlformats.org/officeDocument/2006/customXml" ds:itemID="{794B88C7-6629-4DC3-A3E5-7BB162E75910}">
  <ds:schemaRefs/>
</ds:datastoreItem>
</file>

<file path=customXml/itemProps36.xml><?xml version="1.0" encoding="utf-8"?>
<ds:datastoreItem xmlns:ds="http://schemas.openxmlformats.org/officeDocument/2006/customXml" ds:itemID="{107B0341-0E94-43D0-BD42-CED95CD11DC9}">
  <ds:schemaRefs/>
</ds:datastoreItem>
</file>

<file path=customXml/itemProps37.xml><?xml version="1.0" encoding="utf-8"?>
<ds:datastoreItem xmlns:ds="http://schemas.openxmlformats.org/officeDocument/2006/customXml" ds:itemID="{B3FD0068-9C97-44E4-93C5-75B53553265A}">
  <ds:schemaRefs/>
</ds:datastoreItem>
</file>

<file path=customXml/itemProps38.xml><?xml version="1.0" encoding="utf-8"?>
<ds:datastoreItem xmlns:ds="http://schemas.openxmlformats.org/officeDocument/2006/customXml" ds:itemID="{77900331-8BCF-4A61-83B4-0F22D244E56E}">
  <ds:schemaRefs/>
</ds:datastoreItem>
</file>

<file path=customXml/itemProps39.xml><?xml version="1.0" encoding="utf-8"?>
<ds:datastoreItem xmlns:ds="http://schemas.openxmlformats.org/officeDocument/2006/customXml" ds:itemID="{A83826B5-B686-40BC-844F-041648993120}">
  <ds:schemaRefs/>
</ds:datastoreItem>
</file>

<file path=customXml/itemProps40.xml><?xml version="1.0" encoding="utf-8"?>
<ds:datastoreItem xmlns:ds="http://schemas.openxmlformats.org/officeDocument/2006/customXml" ds:itemID="{E16A87AC-8F0A-496C-92D7-7DCC2F8D595D}">
  <ds:schemaRefs/>
</ds:datastoreItem>
</file>

<file path=customXml/itemProps41.xml><?xml version="1.0" encoding="utf-8"?>
<ds:datastoreItem xmlns:ds="http://schemas.openxmlformats.org/officeDocument/2006/customXml" ds:itemID="{DB75D044-D14C-46B9-B18F-FB21AE37D1B1}">
  <ds:schemaRefs>
    <ds:schemaRef ds:uri="http://schemas.advancedformulaenvironment.officeapps.live.com/afejsonblob/1.0"/>
  </ds:schemaRefs>
</ds:datastoreItem>
</file>

<file path=customXml/itemProps42.xml><?xml version="1.0" encoding="utf-8"?>
<ds:datastoreItem xmlns:ds="http://schemas.openxmlformats.org/officeDocument/2006/customXml" ds:itemID="{A43A433D-D952-465E-892C-A61C6169B6D5}">
  <ds:schemaRefs/>
</ds:datastoreItem>
</file>

<file path=customXml/itemProps43.xml><?xml version="1.0" encoding="utf-8"?>
<ds:datastoreItem xmlns:ds="http://schemas.openxmlformats.org/officeDocument/2006/customXml" ds:itemID="{703ED32A-35BE-4110-ADC8-063E9168D3AB}">
  <ds:schemaRefs/>
</ds:datastoreItem>
</file>

<file path=customXml/itemProps44.xml><?xml version="1.0" encoding="utf-8"?>
<ds:datastoreItem xmlns:ds="http://schemas.openxmlformats.org/officeDocument/2006/customXml" ds:itemID="{9489DD57-E33F-45C8-A6B9-CF24097DFA61}">
  <ds:schemaRefs/>
</ds:datastoreItem>
</file>

<file path=customXml/itemProps45.xml><?xml version="1.0" encoding="utf-8"?>
<ds:datastoreItem xmlns:ds="http://schemas.openxmlformats.org/officeDocument/2006/customXml" ds:itemID="{2A2CAA49-D828-46BC-93A5-40D6D5CB00C0}">
  <ds:schemaRefs/>
</ds:datastoreItem>
</file>

<file path=customXml/itemProps46.xml><?xml version="1.0" encoding="utf-8"?>
<ds:datastoreItem xmlns:ds="http://schemas.openxmlformats.org/officeDocument/2006/customXml" ds:itemID="{DCA22E0F-7155-4464-9123-4CAC6EAD921D}">
  <ds:schemaRefs/>
</ds:datastoreItem>
</file>

<file path=customXml/itemProps47.xml><?xml version="1.0" encoding="utf-8"?>
<ds:datastoreItem xmlns:ds="http://schemas.openxmlformats.org/officeDocument/2006/customXml" ds:itemID="{2EC15307-E297-4155-8C64-BD7C819FC834}">
  <ds:schemaRefs/>
</ds:datastoreItem>
</file>

<file path=customXml/itemProps48.xml><?xml version="1.0" encoding="utf-8"?>
<ds:datastoreItem xmlns:ds="http://schemas.openxmlformats.org/officeDocument/2006/customXml" ds:itemID="{6B6FD9AD-D6DB-4B16-A00C-C9BD57D0A177}">
  <ds:schemaRefs/>
</ds:datastoreItem>
</file>

<file path=customXml/itemProps49.xml><?xml version="1.0" encoding="utf-8"?>
<ds:datastoreItem xmlns:ds="http://schemas.openxmlformats.org/officeDocument/2006/customXml" ds:itemID="{B0F6DD9A-85E5-4E81-8789-215F23B5D491}">
  <ds:schemaRefs>
    <ds:schemaRef ds:uri=""/>
    <ds:schemaRef ds:uri="http://www.w3.org/2001/XMLSchema"/>
    <ds:schemaRef ds:uri="urn:schemas-microsoft-com:xml-ms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11</vt:i4>
      </vt:variant>
    </vt:vector>
  </HeadingPairs>
  <TitlesOfParts>
    <vt:vector size="16" baseType="lpstr">
      <vt:lpstr>CompBot</vt:lpstr>
      <vt:lpstr>Info_Commands</vt:lpstr>
      <vt:lpstr>Info_Lambdas</vt:lpstr>
      <vt:lpstr>Setup Settings</vt:lpstr>
      <vt:lpstr>Regional Settings</vt:lpstr>
      <vt:lpstr>Decimal_Separator</vt:lpstr>
      <vt:lpstr>LanguageList</vt:lpstr>
      <vt:lpstr>List_Separator</vt:lpstr>
      <vt:lpstr>Loaded_Decimal_Separator</vt:lpstr>
      <vt:lpstr>Loaded_Language</vt:lpstr>
      <vt:lpstr>Loaded_Language_ID</vt:lpstr>
      <vt:lpstr>Loaded_List_Separator</vt:lpstr>
      <vt:lpstr>Loaded_Thousands_Separator</vt:lpstr>
      <vt:lpstr>Loaded_Use_System_Separators</vt:lpstr>
      <vt:lpstr>Thousands_Separator</vt:lpstr>
      <vt:lpstr>Use_System_Separators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Jaq Kennedy</dc:creator>
  <cp:lastModifiedBy>Jaq Kennedy</cp:lastModifiedBy>
  <dcterms:created xsi:type="dcterms:W3CDTF">2025-01-03T14:23:42Z</dcterms:created>
  <dcterms:modified xsi:type="dcterms:W3CDTF">2026-10-11T12:15:08Z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ast Edited">
    <vt:lpwstr>25/04/2025 19:08:51 +00:00</vt:lpwstr>
  </property>
  <property fmtid="{D5CDD505-2E9C-101B-9397-08002B2CF9AE}" pid="3" name="OA Tools">
    <vt:lpwstr>{B0F6DD9A-85E5-4E81-8789-215F23B5D491}</vt:lpwstr>
  </property>
  <property fmtid="{D5CDD505-2E9C-101B-9397-08002B2CF9AE}" pid="4" name="OA Tools Last Modified">
    <vt:lpwstr>2026-10-11 11:40:47 UTC</vt:lpwstr>
  </property>
  <property fmtid="{D5CDD505-2E9C-101B-9397-08002B2CF9AE}" pid="5" name="OA Tools Last Modified Precise">
    <vt:lpwstr>2026-10-11T11:40:47.1897565+00:00</vt:lpwstr>
  </property>
</Properties>
</file>