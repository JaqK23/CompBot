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12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534e1f3e8d9cda95/Documents/GitHub/CompBot/"/>
    </mc:Choice>
  </mc:AlternateContent>
  <xr:revisionPtr revIDLastSave="1" documentId="13_ncr:1_{00AFFE32-489B-4CC2-9D57-0F0C894BA206}" xr6:coauthVersionLast="47" xr6:coauthVersionMax="47" xr10:uidLastSave="{FCA6023B-556E-4B8C-9C8C-5DB5941C7BC0}"/>
  <bookViews>
    <workbookView xWindow="-26010" yWindow="-840" windowWidth="21600" windowHeight="11175" xr2:uid="{680F85FE-7009-46FF-BF5C-10DA0B68E903}"/>
  </bookViews>
  <sheets>
    <sheet name="Info_Robot Commands" sheetId="20" r:id="rId1"/>
    <sheet name="Default Settings" sheetId="18" r:id="rId2"/>
    <sheet name="Info_Lambdas" sheetId="1" r:id="rId3"/>
    <sheet name="Lambdas List" sheetId="14" r:id="rId4"/>
    <sheet name="Load Lambdas" sheetId="15" r:id="rId5"/>
    <sheet name="SpeedRun Steps" sheetId="21" r:id="rId6"/>
  </sheets>
  <functionGroups builtInGroupCount="19"/>
  <definedNames>
    <definedName name="_xleta.CELL" hidden="1" xlm="1">#NAME?</definedName>
    <definedName name="_xleta.COLUMN" hidden="1" xlm="1">#NAME?</definedName>
    <definedName name="_xleta.COUNT" hidden="1" xlm="1">#NAME?</definedName>
    <definedName name="_xleta.COUNTA" hidden="1" xlm="1">#NAME?</definedName>
    <definedName name="_xleta.MIN" hidden="1" xlm="1">#NAME?</definedName>
    <definedName name="_xleta.OFFSET" hidden="1" xlm="1">#NAME?</definedName>
    <definedName name="_xleta.ROWS" hidden="1" xlm="1">#NAME?</definedName>
    <definedName name="_xleta.SUM" hidden="1" xlm="1">#NAME?</definedName>
    <definedName name="_xleta.T" hidden="1" xlm="1">#NAME?</definedName>
    <definedName name="_xleta.TEXT" hidden="1" xlm="1">#NAME?</definedName>
    <definedName name="_xleta.TYPE" hidden="1" xlm="1">#NAME?</definedName>
    <definedName name="_xleta.UNICHAR" hidden="1" xlm="1">#NAME?</definedName>
    <definedName name="_xleta.VALUE" hidden="1" xlm="1">#NAME?</definedName>
    <definedName name="_xlop.Actual" hidden="1" xlm="1">#NAME?</definedName>
    <definedName name="_xlop.aggregate_function" hidden="1" xlm="1">#NAME?</definedName>
    <definedName name="_xlop.CleanData" hidden="1" xlm="1">#NAME?</definedName>
    <definedName name="_xlop.colDelim" hidden="1" xlm="1">#NAME?</definedName>
    <definedName name="_xlop.ColMax" hidden="1" xlm="1">#NAME?</definedName>
    <definedName name="_xlop.ColMin" hidden="1" xlm="1">#NAME?</definedName>
    <definedName name="_xlop.column_index" hidden="1" xlm="1">#NAME?</definedName>
    <definedName name="_xlop.ColumnArray" hidden="1" xlm="1">#NAME?</definedName>
    <definedName name="_xlop.default" hidden="1" xlm="1">#NAME?</definedName>
    <definedName name="_xlop.delimiter" hidden="1" xlm="1">#NAME?</definedName>
    <definedName name="_xlop.exclude" hidden="1" xlm="1">#NAME?</definedName>
    <definedName name="_xlop.Flatten" hidden="1" xlm="1">#NAME?</definedName>
    <definedName name="_xlop.horizontal" hidden="1" xlm="1">#NAME?</definedName>
    <definedName name="_xlop.id" hidden="1" xlm="1">#NAME?</definedName>
    <definedName name="_xlop.IfNotFound" hidden="1" xlm="1">#NAME?</definedName>
    <definedName name="_xlop.In" hidden="1" xlm="1">#NAME?</definedName>
    <definedName name="_xlop.include_grand_total" hidden="1" xlm="1">#NAME?</definedName>
    <definedName name="_xlop.lookup_output" hidden="1" xlm="1">#NAME?</definedName>
    <definedName name="_xlop.MatchMode" hidden="1" xlm="1">#NAME?</definedName>
    <definedName name="_xlop.n" hidden="1" xlm="1">#NAME?</definedName>
    <definedName name="_xlop.n_horiz" hidden="1" xlm="1">#NAME?</definedName>
    <definedName name="_xlop.Out" hidden="1" xlm="1">#NAME?</definedName>
    <definedName name="_xlop.pad_with" hidden="1" xlm="1">#NAME?</definedName>
    <definedName name="_xlop.posx" hidden="1" xlm="1">#NAME?</definedName>
    <definedName name="_xlop.posy" hidden="1" xlm="1">#NAME?</definedName>
    <definedName name="_xlop.return_type" hidden="1" xlm="1">#NAME?</definedName>
    <definedName name="_xlop.RowArray" hidden="1" xlm="1">#NAME?</definedName>
    <definedName name="_xlop.rowDelim" hidden="1" xlm="1">#NAME?</definedName>
    <definedName name="_xlop.RowMax" hidden="1" xlm="1">#NAME?</definedName>
    <definedName name="_xlop.RowMin" hidden="1" xlm="1">#NAME?</definedName>
    <definedName name="_xlop.SearchMode" hidden="1" xlm="1">#NAME?</definedName>
    <definedName name="_xlop.sheetname" hidden="1" xlm="1">#NAME?</definedName>
    <definedName name="_xlop.ShowAll_0" hidden="1" xlm="1">#NAME?</definedName>
    <definedName name="_xlop.Upp" hidden="1" xlm="1">#NAME?</definedName>
    <definedName name="_xlop.vertical" hidden="1" xlm="1">#NAME?</definedName>
    <definedName name="_xlop.Wrap" hidden="1" xlm="1">#NAME?</definedName>
    <definedName name="_xlop.x_multiplier" hidden="1" xlm="1">#NAME?</definedName>
    <definedName name="_xlop.y_multiplier" hidden="1" xlm="1">#NAME?</definedName>
    <definedName name="_xlpm.\\CommandName" hidden="1" xlm="1">#NAME?</definedName>
    <definedName name="_xlpm.\\Description" hidden="1" xlm="1">#NAME?</definedName>
    <definedName name="_xlpm.\\LambdaName" hidden="1" xlm="1">#NAME?</definedName>
    <definedName name="_xlpm.\\Parameters" hidden="1" xlm="1">#NAME?</definedName>
    <definedName name="_xlpm.\\Source" hidden="1" xlm="1">#NAME?</definedName>
    <definedName name="_xlpm._Array" hidden="1" xlm="1">#NAME?</definedName>
    <definedName name="_xlpm._ClosestColors" hidden="1" xlm="1">#NAME?</definedName>
    <definedName name="_xlpm._ColIndex" hidden="1" xlm="1">#NAME?</definedName>
    <definedName name="_xlpm._ColorTable" hidden="1" xlm="1">#NAME?</definedName>
    <definedName name="_xlpm._Cols" hidden="1" xlm="1">#NAME?</definedName>
    <definedName name="_xlpm._ColsByRow" hidden="1" xlm="1">#NAME?</definedName>
    <definedName name="_xlpm._ColumnIndex" hidden="1" xlm="1">#NAME?</definedName>
    <definedName name="_xlpm._ColumnsToInsert" hidden="1" xlm="1">#NAME?</definedName>
    <definedName name="_xlpm._countif" hidden="1" xlm="1">#NAME?</definedName>
    <definedName name="_xlpm._Delim" hidden="1" xlm="1">#NAME?</definedName>
    <definedName name="_xlpm._filtered" hidden="1" xlm="1">#NAME?</definedName>
    <definedName name="_xlpm._GetMax" hidden="1" xlm="1">#NAME?</definedName>
    <definedName name="_xlpm._GetMin" hidden="1" xlm="1">#NAME?</definedName>
    <definedName name="_xlpm._include" hidden="1" xlm="1">#NAME?</definedName>
    <definedName name="_xlpm._Included" hidden="1" xlm="1">#NAME?</definedName>
    <definedName name="_xlpm._IsArray" hidden="1" xlm="1">#NAME?</definedName>
    <definedName name="_xlpm._Keep" hidden="1" xlm="1">#NAME?</definedName>
    <definedName name="_xlpm._Keys" hidden="1" xlm="1">#NAME?</definedName>
    <definedName name="_xlpm._MeanSquaredError" hidden="1" xlm="1">#NAME?</definedName>
    <definedName name="_xlpm._MinMax" hidden="1" xlm="1">#NAME?</definedName>
    <definedName name="_xlpm._PadWith" hidden="1" xlm="1">#NAME?</definedName>
    <definedName name="_xlpm._Result" hidden="1" xlm="1">#NAME?</definedName>
    <definedName name="_xlpm._RowFields" hidden="1" xlm="1">#NAME?</definedName>
    <definedName name="_xlpm._RowIndex" hidden="1" xlm="1">#NAME?</definedName>
    <definedName name="_xlpm._Rows" hidden="1" xlm="1">#NAME?</definedName>
    <definedName name="_xlpm._Seq" hidden="1" xlm="1">#NAME?</definedName>
    <definedName name="_xlpm._Sequence" hidden="1" xlm="1">#NAME?</definedName>
    <definedName name="_xlpm._Split" hidden="1" xlm="1">#NAME?</definedName>
    <definedName name="_xlpm._Step1" hidden="1" xlm="1">#NAME?</definedName>
    <definedName name="_xlpm._Step10" hidden="1" xlm="1">#NAME?</definedName>
    <definedName name="_xlpm._Step11" hidden="1" xlm="1">#NAME?</definedName>
    <definedName name="_xlpm._Step2" hidden="1" xlm="1">#NAME?</definedName>
    <definedName name="_xlpm._Step3" hidden="1" xlm="1">#NAME?</definedName>
    <definedName name="_xlpm._Step4" hidden="1" xlm="1">#NAME?</definedName>
    <definedName name="_xlpm._Step5" hidden="1" xlm="1">#NAME?</definedName>
    <definedName name="_xlpm._Step6" hidden="1" xlm="1">#NAME?</definedName>
    <definedName name="_xlpm._Step7" hidden="1" xlm="1">#NAME?</definedName>
    <definedName name="_xlpm._Step8" hidden="1" xlm="1">#NAME?</definedName>
    <definedName name="_xlpm._Step9" hidden="1" xlm="1">#NAME?</definedName>
    <definedName name="_xlpm._Transpose" hidden="1" xlm="1">#NAME?</definedName>
    <definedName name="_xlpm._unique" hidden="1" xlm="1">#NAME?</definedName>
    <definedName name="_xlpm._Values" hidden="1" xlm="1">#NAME?</definedName>
    <definedName name="_xlpm._X" hidden="1" xlm="1">#NAME?</definedName>
    <definedName name="_xlpm._Y" hidden="1" xlm="1">#NAME?</definedName>
    <definedName name="_xlpm.a" hidden="1" xlm="1">#NAME?</definedName>
    <definedName name="_xlpm.ABC" hidden="1" xlm="1">#NAME?</definedName>
    <definedName name="_xlpm.ac" hidden="1" xlm="1">#NAME?</definedName>
    <definedName name="_xlpm.acc" hidden="1" xlm="1">#NAME?</definedName>
    <definedName name="_xlpm.accum" hidden="1" xlm="1">#NAME?</definedName>
    <definedName name="_xlpm.Actual" hidden="1" xlm="1">#NAME?</definedName>
    <definedName name="_xlpm.add" hidden="1" xlm="1">#NAME?</definedName>
    <definedName name="_xlpm.addr" hidden="1" xlm="1">#NAME?</definedName>
    <definedName name="_xlpm.addr_col" hidden="1" xlm="1">#NAME?</definedName>
    <definedName name="_xlpm.aggregate_function" hidden="1" xlm="1">#NAME?</definedName>
    <definedName name="_xlpm.allCols" hidden="1" xlm="1">#NAME?</definedName>
    <definedName name="_xlpm.ar" hidden="1" xlm="1">#NAME?</definedName>
    <definedName name="_xlpm.arr" hidden="1" xlm="1">#NAME?</definedName>
    <definedName name="_xlpm.array" hidden="1" xlm="1">#NAME?</definedName>
    <definedName name="_xlpm.array_roll" hidden="1" xlm="1">#NAME?</definedName>
    <definedName name="_xlpm.array1" hidden="1" xlm="1">#NAME?</definedName>
    <definedName name="_xlpm.array1Cols" hidden="1" xlm="1">#NAME?</definedName>
    <definedName name="_xlpm.array1Rows" hidden="1" xlm="1">#NAME?</definedName>
    <definedName name="_xlpm.array2" hidden="1" xlm="1">#NAME?</definedName>
    <definedName name="_xlpm.array2Cols" hidden="1" xlm="1">#NAME?</definedName>
    <definedName name="_xlpm.array2Rows" hidden="1" xlm="1">#NAME?</definedName>
    <definedName name="_xlpm.arrow" hidden="1" xlm="1">#NAME?</definedName>
    <definedName name="_xlpm.Arrows" hidden="1" xlm="1">#NAME?</definedName>
    <definedName name="_xlpm.ArrowsRC" hidden="1" xlm="1">#NAME?</definedName>
    <definedName name="_xlpm.Arrowsx" hidden="1" xlm="1">#NAME?</definedName>
    <definedName name="_xlpm.Arrowsy" hidden="1" xlm="1">#NAME?</definedName>
    <definedName name="_xlpm.arrr" hidden="1" xlm="1">#NAME?</definedName>
    <definedName name="_xlpm.ax" hidden="1" xlm="1">#NAME?</definedName>
    <definedName name="_xlpm.ay" hidden="1" xlm="1">#NAME?</definedName>
    <definedName name="_xlpm.b" hidden="1" xlm="1">#NAME?</definedName>
    <definedName name="_xlpm.Base10" hidden="1" xlm="1">#NAME?</definedName>
    <definedName name="_xlpm.bc" hidden="1" xlm="1">#NAME?</definedName>
    <definedName name="_xlpm.bear" hidden="1" xlm="1">#NAME?</definedName>
    <definedName name="_xlpm.blocked_cells" hidden="1" xlm="1">#NAME?</definedName>
    <definedName name="_xlpm.booLoop" hidden="1" xlm="1">#NAME?</definedName>
    <definedName name="_xlpm.br" hidden="1" xlm="1">#NAME?</definedName>
    <definedName name="_xlpm.c" hidden="1" xlm="1">#NAME?</definedName>
    <definedName name="_xlpm.ca" hidden="1" xlm="1">#NAME?</definedName>
    <definedName name="_xlpm.cb" hidden="1" xlm="1">#NAME?</definedName>
    <definedName name="_xlpm.cc" hidden="1" xlm="1">#NAME?</definedName>
    <definedName name="_xlpm.cdist" hidden="1" xlm="1">#NAME?</definedName>
    <definedName name="_xlpm.cell" hidden="1" xlm="1">#NAME?</definedName>
    <definedName name="_xlpm.cell_coordinates" hidden="1" xlm="1">#NAME?</definedName>
    <definedName name="_xlpm.cell_from" hidden="1" xlm="1">#NAME?</definedName>
    <definedName name="_xlpm.cell_to" hidden="1" xlm="1">#NAME?</definedName>
    <definedName name="_xlpm.cell1" hidden="1" xlm="1">#NAME?</definedName>
    <definedName name="_xlpm.cell2" hidden="1" xlm="1">#NAME?</definedName>
    <definedName name="_xlpm.clean" hidden="1" xlm="1">#NAME?</definedName>
    <definedName name="_xlpm.CleanData" hidden="1" xlm="1">#NAME?</definedName>
    <definedName name="_xlpm.ClnData" hidden="1" xlm="1">#NAME?</definedName>
    <definedName name="_xlpm.cls" hidden="1" xlm="1">#NAME?</definedName>
    <definedName name="_xlpm.CLU" hidden="1" xlm="1">#NAME?</definedName>
    <definedName name="_xlpm.cnt" hidden="1" xlm="1">#NAME?</definedName>
    <definedName name="_xlpm.cnum" hidden="1" xlm="1">#NAME?</definedName>
    <definedName name="_xlpm.co" hidden="1" xlm="1">#NAME?</definedName>
    <definedName name="_xlpm.col" hidden="1" xlm="1">#NAME?</definedName>
    <definedName name="_xlpm.ColCnt" hidden="1" xlm="1">#NAME?</definedName>
    <definedName name="_xlpm.colDelim" hidden="1" xlm="1">#NAME?</definedName>
    <definedName name="_xlpm.colIndex" hidden="1" xlm="1">#NAME?</definedName>
    <definedName name="_xlpm.colLen" hidden="1" xlm="1">#NAME?</definedName>
    <definedName name="_xlpm.collet" hidden="1" xlm="1">#NAME?</definedName>
    <definedName name="_xlpm.ColMax" hidden="1" xlm="1">#NAME?</definedName>
    <definedName name="_xlpm.ColMin" hidden="1" xlm="1">#NAME?</definedName>
    <definedName name="_xlpm.ColOff" hidden="1" xlm="1">#NAME?</definedName>
    <definedName name="_xlpm.cols" hidden="1" xlm="1">#NAME?</definedName>
    <definedName name="_xlpm.column" hidden="1" xlm="1">#NAME?</definedName>
    <definedName name="_xlpm.column_index" hidden="1" xlm="1">#NAME?</definedName>
    <definedName name="_xlpm.column_indexes" hidden="1" xlm="1">#NAME?</definedName>
    <definedName name="_xlpm.ColumnArray" hidden="1" xlm="1">#NAME?</definedName>
    <definedName name="_xlpm.ColumnID" hidden="1" xlm="1">#NAME?</definedName>
    <definedName name="_xlpm.columns_to_insert" hidden="1" xlm="1">#NAME?</definedName>
    <definedName name="_xlpm.condition" hidden="1" xlm="1">#NAME?</definedName>
    <definedName name="_xlpm.cou" hidden="1" xlm="1">#NAME?</definedName>
    <definedName name="_xlpm.coun" hidden="1" xlm="1">#NAME?</definedName>
    <definedName name="_xlpm.count" hidden="1" xlm="1">#NAME?</definedName>
    <definedName name="_xlpm.counti" hidden="1" xlm="1">#NAME?</definedName>
    <definedName name="_xlpm.countif" hidden="1" xlm="1">#NAME?</definedName>
    <definedName name="_xlpm.cr" hidden="1" xlm="1">#NAME?</definedName>
    <definedName name="_xlpm.curr" hidden="1" xlm="1">#NAME?</definedName>
    <definedName name="_xlpm.current_cell" hidden="1" xlm="1">#NAME?</definedName>
    <definedName name="_xlpm.d" hidden="1" xlm="1">#NAME?</definedName>
    <definedName name="_xlpm.d_mod" hidden="1" xlm="1">#NAME?</definedName>
    <definedName name="_xlpm.data" hidden="1" xlm="1">#NAME?</definedName>
    <definedName name="_xlpm.data_arr" hidden="1" xlm="1">#NAME?</definedName>
    <definedName name="_xlpm.data_grid" hidden="1" xlm="1">#NAME?</definedName>
    <definedName name="_xlpm.data1" hidden="1" xlm="1">#NAME?</definedName>
    <definedName name="_xlpm.data2" hidden="1" xlm="1">#NAME?</definedName>
    <definedName name="_xlpm.data3" hidden="1" xlm="1">#NAME?</definedName>
    <definedName name="_xlpm.data4" hidden="1" xlm="1">#NAME?</definedName>
    <definedName name="_xlpm.data5" hidden="1" xlm="1">#NAME?</definedName>
    <definedName name="_xlpm.DataSource" hidden="1" xlm="1">#NAME?</definedName>
    <definedName name="_xlpm.days_in_period" hidden="1" xlm="1">#NAME?</definedName>
    <definedName name="_xlpm.default" hidden="1" xlm="1">#NAME?</definedName>
    <definedName name="_xlpm.delim1" hidden="1" xlm="1">#NAME?</definedName>
    <definedName name="_xlpm.delim2" hidden="1" xlm="1">#NAME?</definedName>
    <definedName name="_xlpm.delimiter" hidden="1" xlm="1">#NAME?</definedName>
    <definedName name="_xlpm.diag" hidden="1" xlm="1">#NAME?</definedName>
    <definedName name="_xlpm.diag_flag" hidden="1" xlm="1">#NAME?</definedName>
    <definedName name="_xlpm.dice" hidden="1" xlm="1">#NAME?</definedName>
    <definedName name="_xlpm.dist" hidden="1" xlm="1">#NAME?</definedName>
    <definedName name="_xlpm.divisor" hidden="1" xlm="1">#NAME?</definedName>
    <definedName name="_xlpm.doc" hidden="1" xlm="1">#NAME?</definedName>
    <definedName name="_xlpm.e" hidden="1" xlm="1">#NAME?</definedName>
    <definedName name="_xlpm.end" hidden="1" xlm="1">#NAME?</definedName>
    <definedName name="_xlpm.end_date" hidden="1" xlm="1">#NAME?</definedName>
    <definedName name="_xlpm.exclude" hidden="1" xlm="1">#NAME?</definedName>
    <definedName name="_xlpm.filter_values" hidden="1" xlm="1">#NAME?</definedName>
    <definedName name="_xlpm.final_roll" hidden="1" xlm="1">#NAME?</definedName>
    <definedName name="_xlpm.find" hidden="1" xlm="1">#NAME?</definedName>
    <definedName name="_xlpm.First" hidden="1" xlm="1">#NAME?</definedName>
    <definedName name="_xlpm.firstChar" hidden="1" xlm="1">#NAME?</definedName>
    <definedName name="_xlpm.firstcol" hidden="1" xlm="1">#NAME?</definedName>
    <definedName name="_xlpm.firstrow" hidden="1" xlm="1">#NAME?</definedName>
    <definedName name="_xlpm.Flatten" hidden="1" xlm="1">#NAME?</definedName>
    <definedName name="_xlpm.fnSingle" hidden="1" xlm="1">#NAME?</definedName>
    <definedName name="_xlpm.func" hidden="1" xlm="1">#NAME?</definedName>
    <definedName name="_xlpm.function" hidden="1" xlm="1">#NAME?</definedName>
    <definedName name="_xlpm.g" hidden="1" xlm="1">#NAME?</definedName>
    <definedName name="_xlpm.games" hidden="1" xlm="1">#NAME?</definedName>
    <definedName name="_xlpm.grid" hidden="1" xlm="1">#NAME?</definedName>
    <definedName name="_xlpm.h" hidden="1" xlm="1">#NAME?</definedName>
    <definedName name="_xlpm.h_fixed" hidden="1" xlm="1">#NAME?</definedName>
    <definedName name="_xlpm.h_mod" hidden="1" xlm="1">#NAME?</definedName>
    <definedName name="_xlpm.headers" hidden="1" xlm="1">#NAME?</definedName>
    <definedName name="_xlpm.height" hidden="1" xlm="1">#NAME?</definedName>
    <definedName name="_xlpm.horizontal" hidden="1" xlm="1">#NAME?</definedName>
    <definedName name="_xlpm.horizontal_mod" hidden="1" xlm="1">#NAME?</definedName>
    <definedName name="_xlpm.horizontal_moves" hidden="1" xlm="1">#NAME?</definedName>
    <definedName name="_xlpm.i" hidden="1" xlm="1">#NAME?</definedName>
    <definedName name="_xlpm.iABC" hidden="1" xlm="1">#NAME?</definedName>
    <definedName name="_xlpm.id" hidden="1" xlm="1">#NAME?</definedName>
    <definedName name="_xlpm.idx" hidden="1" xlm="1">#NAME?</definedName>
    <definedName name="_xlpm.IfNotFound" hidden="1" xlm="1">#NAME?</definedName>
    <definedName name="_xlpm.In" hidden="1" xlm="1">#NAME?</definedName>
    <definedName name="_xlpm.inABC" hidden="1" xlm="1">#NAME?</definedName>
    <definedName name="_xlpm.include_grand_total" hidden="1" xlm="1">#NAME?</definedName>
    <definedName name="_xlpm.indABC" hidden="1" xlm="1">#NAME?</definedName>
    <definedName name="_xlpm.Input" hidden="1" xlm="1">#NAME?</definedName>
    <definedName name="_xlpm.Input1" hidden="1" xlm="1">#NAME?</definedName>
    <definedName name="_xlpm.Input2" hidden="1" xlm="1">#NAME?</definedName>
    <definedName name="_xlpm.InputArray" hidden="1" xlm="1">#NAME?</definedName>
    <definedName name="_xlpm.items_arr" hidden="1" xlm="1">#NAME?</definedName>
    <definedName name="_xlpm.items_grid" hidden="1" xlm="1">#NAME?</definedName>
    <definedName name="_xlpm.j" hidden="1" xlm="1">#NAME?</definedName>
    <definedName name="_xlpm.key" hidden="1" xlm="1">#NAME?</definedName>
    <definedName name="_xlpm.keyCols" hidden="1" xlm="1">#NAME?</definedName>
    <definedName name="_xlpm.l" hidden="1" xlm="1">#NAME?</definedName>
    <definedName name="_xlpm.leng" hidden="1" xlm="1">#NAME?</definedName>
    <definedName name="_xlpm.letter" hidden="1" xlm="1">#NAME?</definedName>
    <definedName name="_xlpm.levels" hidden="1" xlm="1">#NAME?</definedName>
    <definedName name="_xlpm.list" hidden="1" xlm="1">#NAME?</definedName>
    <definedName name="_xlpm.lookup_array" hidden="1" xlm="1">#NAME?</definedName>
    <definedName name="_xlpm.lookup_output" hidden="1" xlm="1">#NAME?</definedName>
    <definedName name="_xlpm.lr_roll" hidden="1" xlm="1">#NAME?</definedName>
    <definedName name="_xlpm.m" hidden="1" xlm="1">#NAME?</definedName>
    <definedName name="_xlpm.m_vert" hidden="1" xlm="1">#NAME?</definedName>
    <definedName name="_xlpm.map_cell" hidden="1" xlm="1">#NAME?</definedName>
    <definedName name="_xlpm.MatchMode" hidden="1" xlm="1">#NAME?</definedName>
    <definedName name="_xlpm.Mcls" hidden="1" xlm="1">#NAME?</definedName>
    <definedName name="_xlpm.month_num" hidden="1" xlm="1">#NAME?</definedName>
    <definedName name="_xlpm.mp" hidden="1" xlm="1">#NAME?</definedName>
    <definedName name="_xlpm.mrows" hidden="1" xlm="1">#NAME?</definedName>
    <definedName name="_xlpm.Mrws" hidden="1" xlm="1">#NAME?</definedName>
    <definedName name="_xlpm.n" hidden="1" xlm="1">#NAME?</definedName>
    <definedName name="_xlpm.n_horiz" hidden="1" xlm="1">#NAME?</definedName>
    <definedName name="_xlpm.ncols" hidden="1" xlm="1">#NAME?</definedName>
    <definedName name="_xlpm.new" hidden="1" xlm="1">#NAME?</definedName>
    <definedName name="_xlpm.new_block" hidden="1" xlm="1">#NAME?</definedName>
    <definedName name="_xlpm.newArray" hidden="1" xlm="1">#NAME?</definedName>
    <definedName name="_xlpm.newcell" hidden="1" xlm="1">#NAME?</definedName>
    <definedName name="_xlpm.NewChars" hidden="1" xlm="1">#NAME?</definedName>
    <definedName name="_xlpm.number" hidden="1" xlm="1">#NAME?</definedName>
    <definedName name="_xlpm.NumList" hidden="1" xlm="1">#NAME?</definedName>
    <definedName name="_xlpm.off" hidden="1" xlm="1">#NAME?</definedName>
    <definedName name="_xlpm.offset" hidden="1" xlm="1">#NAME?</definedName>
    <definedName name="_xlpm.Out" hidden="1" xlm="1">#NAME?</definedName>
    <definedName name="_xlpm.pad_with" hidden="1" xlm="1">#NAME?</definedName>
    <definedName name="_xlpm.param" hidden="1" xlm="1">#NAME?</definedName>
    <definedName name="_xlpm.params" hidden="1" xlm="1">#NAME?</definedName>
    <definedName name="_xlpm.period_start_date" hidden="1" xlm="1">#NAME?</definedName>
    <definedName name="_xlpm.periods" hidden="1" xlm="1">#NAME?</definedName>
    <definedName name="_xlpm.pos" hidden="1" xlm="1">#NAME?</definedName>
    <definedName name="_xlpm.pos_one_x" hidden="1" xlm="1">#NAME?</definedName>
    <definedName name="_xlpm.pos_one_y" hidden="1" xlm="1">#NAME?</definedName>
    <definedName name="_xlpm.pos_two_x" hidden="1" xlm="1">#NAME?</definedName>
    <definedName name="_xlpm.pos_two_y" hidden="1" xlm="1">#NAME?</definedName>
    <definedName name="_xlpm.posx" hidden="1" xlm="1">#NAME?</definedName>
    <definedName name="_xlpm.posxx" hidden="1" xlm="1">#NAME?</definedName>
    <definedName name="_xlpm.posy" hidden="1" xlm="1">#NAME?</definedName>
    <definedName name="_xlpm.posyy" hidden="1" xlm="1">#NAME?</definedName>
    <definedName name="_xlpm.questions" hidden="1" xlm="1">#NAME?</definedName>
    <definedName name="_xlpm.r" hidden="1" xlm="1">#NAME?</definedName>
    <definedName name="_xlpm.Range" hidden="1" xlm="1">#NAME?</definedName>
    <definedName name="_xlpm.rate" hidden="1" xlm="1">#NAME?</definedName>
    <definedName name="_xlpm.RB" hidden="1" xlm="1">#NAME?</definedName>
    <definedName name="_xlpm.rc" hidden="1" xlm="1">#NAME?</definedName>
    <definedName name="_xlpm.RCInc" hidden="1" xlm="1">#NAME?</definedName>
    <definedName name="_xlpm.rcn" hidden="1" xlm="1">#NAME?</definedName>
    <definedName name="_xlpm.rcnu" hidden="1" xlm="1">#NAME?</definedName>
    <definedName name="_xlpm.rcnum" hidden="1" xlm="1">#NAME?</definedName>
    <definedName name="_xlpm.rdist" hidden="1" xlm="1">#NAME?</definedName>
    <definedName name="_xlpm.Ref" hidden="1" xlm="1">#NAME?</definedName>
    <definedName name="_xlpm.replace" hidden="1" xlm="1">#NAME?</definedName>
    <definedName name="_xlpm.res" hidden="1" xlm="1">#NAME?</definedName>
    <definedName name="_xlpm.result" hidden="1" xlm="1">#NAME?</definedName>
    <definedName name="_xlpm.resultArray" hidden="1" xlm="1">#NAME?</definedName>
    <definedName name="_xlpm.return" hidden="1" xlm="1">#NAME?</definedName>
    <definedName name="_xlpm.return_array" hidden="1" xlm="1">#NAME?</definedName>
    <definedName name="_xlpm.return_type" hidden="1" xlm="1">#NAME?</definedName>
    <definedName name="_xlpm.RF" hidden="1" xlm="1">#NAME?</definedName>
    <definedName name="_xlpm.RLU" hidden="1" xlm="1">#NAME?</definedName>
    <definedName name="_xlpm.rng" hidden="1" xlm="1">#NAME?</definedName>
    <definedName name="_xlpm.rnum" hidden="1" xlm="1">#NAME?</definedName>
    <definedName name="_xlpm.row" hidden="1" xlm="1">#NAME?</definedName>
    <definedName name="_xlpm.RowArray" hidden="1" xlm="1">#NAME?</definedName>
    <definedName name="_xlpm.RowCnt" hidden="1" xlm="1">#NAME?</definedName>
    <definedName name="_xlpm.rowDelim" hidden="1" xlm="1">#NAME?</definedName>
    <definedName name="_xlpm.rowIndex" hidden="1" xlm="1">#NAME?</definedName>
    <definedName name="_xlpm.rowIndex1" hidden="1" xlm="1">#NAME?</definedName>
    <definedName name="_xlpm.rowIndex2" hidden="1" xlm="1">#NAME?</definedName>
    <definedName name="_xlpm.rowLen" hidden="1" xlm="1">#NAME?</definedName>
    <definedName name="_xlpm.RowMax" hidden="1" xlm="1">#NAME?</definedName>
    <definedName name="_xlpm.RowMin" hidden="1" xlm="1">#NAME?</definedName>
    <definedName name="_xlpm.RowOff" hidden="1" xlm="1">#NAME?</definedName>
    <definedName name="_xlpm.rows" hidden="1" xlm="1">#NAME?</definedName>
    <definedName name="_xlpm.rr" hidden="1" xlm="1">#NAME?</definedName>
    <definedName name="_xlpm.rws" hidden="1" xlm="1">#NAME?</definedName>
    <definedName name="_xlpm.s" hidden="1" xlm="1">#NAME?</definedName>
    <definedName name="_xlpm.search" hidden="1" xlm="1">#NAME?</definedName>
    <definedName name="_xlpm.SearchMode" hidden="1" xlm="1">#NAME?</definedName>
    <definedName name="_xlpm.Second" hidden="1" xlm="1">#NAME?</definedName>
    <definedName name="_xlpm.sheetname" hidden="1" xlm="1">#NAME?</definedName>
    <definedName name="_xlpm.Shft" hidden="1" xlm="1">#NAME?</definedName>
    <definedName name="_xlpm.shift" hidden="1" xlm="1">#NAME?</definedName>
    <definedName name="_xlpm.ShowAll_0" hidden="1" xlm="1">#NAME?</definedName>
    <definedName name="_xlpm.single_cell" hidden="1" xlm="1">#NAME?</definedName>
    <definedName name="_xlpm.size" hidden="1" xlm="1">#NAME?</definedName>
    <definedName name="_xlpm.SortedData" hidden="1" xlm="1">#NAME?</definedName>
    <definedName name="_xlpm.Srt" hidden="1" xlm="1">#NAME?</definedName>
    <definedName name="_xlpm.stack" hidden="1" xlm="1">#NAME?</definedName>
    <definedName name="_xlpm.stacker" hidden="1" xlm="1">#NAME?</definedName>
    <definedName name="_xlpm.start" hidden="1" xlm="1">#NAME?</definedName>
    <definedName name="_xlpm.start_date" hidden="1" xlm="1">#NAME?</definedName>
    <definedName name="_xlpm.startcell" hidden="1" xlm="1">#NAME?</definedName>
    <definedName name="_xlpm.startcol" hidden="1" xlm="1">#NAME?</definedName>
    <definedName name="_xlpm.starting_cell" hidden="1" xlm="1">#NAME?</definedName>
    <definedName name="_xlpm.startrow" hidden="1" xlm="1">#NAME?</definedName>
    <definedName name="_xlpm.stcl" hidden="1" xlm="1">#NAME?</definedName>
    <definedName name="_xlpm.string" hidden="1" xlm="1">#NAME?</definedName>
    <definedName name="_xlpm.string1" hidden="1" xlm="1">#NAME?</definedName>
    <definedName name="_xlpm.string2" hidden="1" xlm="1">#NAME?</definedName>
    <definedName name="_xlpm.stringLength" hidden="1" xlm="1">#NAME?</definedName>
    <definedName name="_xlpm.strw" hidden="1" xlm="1">#NAME?</definedName>
    <definedName name="_xlpm.substring" hidden="1" xlm="1">#NAME?</definedName>
    <definedName name="_xlpm.sum_distance_traveled" hidden="1" xlm="1">#NAME?</definedName>
    <definedName name="_xlpm.table_arrows" hidden="1" xlm="1">#NAME?</definedName>
    <definedName name="_xlpm.tarr" hidden="1" xlm="1">#NAME?</definedName>
    <definedName name="_xlpm.text" hidden="1" xlm="1">#NAME?</definedName>
    <definedName name="_xlpm.text_vector" hidden="1" xlm="1">#NAME?</definedName>
    <definedName name="_xlpm.TextLengthNoSpaces" hidden="1" xlm="1">#NAME?</definedName>
    <definedName name="_xlpm.Third" hidden="1" xlm="1">#NAME?</definedName>
    <definedName name="_xlpm.ToFind" hidden="1" xlm="1">#NAME?</definedName>
    <definedName name="_xlpm.trg" hidden="1" xlm="1">#NAME?</definedName>
    <definedName name="_xlpm.trimmed" hidden="1" xlm="1">#NAME?</definedName>
    <definedName name="_xlpm.Trimmedtext" hidden="1" xlm="1">#NAME?</definedName>
    <definedName name="_xlpm.TrimmedtextLength" hidden="1" xlm="1">#NAME?</definedName>
    <definedName name="_xlpm.type" hidden="1" xlm="1">#NAME?</definedName>
    <definedName name="_xlpm.u" hidden="1" xlm="1">#NAME?</definedName>
    <definedName name="_xlpm.UABC" hidden="1" xlm="1">#NAME?</definedName>
    <definedName name="_xlpm.UpABC" hidden="1" xlm="1">#NAME?</definedName>
    <definedName name="_xlpm.UpdatedDataSource" hidden="1" xlm="1">#NAME?</definedName>
    <definedName name="_xlpm.Upp" hidden="1" xlm="1">#NAME?</definedName>
    <definedName name="_xlpm.UppABC" hidden="1" xlm="1">#NAME?</definedName>
    <definedName name="_xlpm.Uppe" hidden="1" xlm="1">#NAME?</definedName>
    <definedName name="_xlpm.UppeABC" hidden="1" xlm="1">#NAME?</definedName>
    <definedName name="_xlpm.Upper" hidden="1" xlm="1">#NAME?</definedName>
    <definedName name="_xlpm.UpperABC" hidden="1" xlm="1">#NAME?</definedName>
    <definedName name="_xlpm.v" hidden="1" xlm="1">#NAME?</definedName>
    <definedName name="_xlpm.v_fixed" hidden="1" xlm="1">#NAME?</definedName>
    <definedName name="_xlpm.v_mod" hidden="1" xlm="1">#NAME?</definedName>
    <definedName name="_xlpm.val" hidden="1" xlm="1">#NAME?</definedName>
    <definedName name="_xlpm.vals" hidden="1" xlm="1">#NAME?</definedName>
    <definedName name="_xlpm.value" hidden="1" xlm="1">#NAME?</definedName>
    <definedName name="_xlpm.value_if_blank" hidden="1" xlm="1">#NAME?</definedName>
    <definedName name="_xlpm.value_if_omitted" hidden="1" xlm="1">#NAME?</definedName>
    <definedName name="_xlpm.valueList" hidden="1" xlm="1">#NAME?</definedName>
    <definedName name="_xlpm.values" hidden="1" xlm="1">#NAME?</definedName>
    <definedName name="_xlpm.vertical" hidden="1" xlm="1">#NAME?</definedName>
    <definedName name="_xlpm.vertical_mod" hidden="1" xlm="1">#NAME?</definedName>
    <definedName name="_xlpm.vertical_moves" hidden="1" xlm="1">#NAME?</definedName>
    <definedName name="_xlpm.WhiteSpaceSubstitution" hidden="1" xlm="1">#NAME?</definedName>
    <definedName name="_xlpm.width" hidden="1" xlm="1">#NAME?</definedName>
    <definedName name="_xlpm.Wrap" hidden="1" xlm="1">#NAME?</definedName>
    <definedName name="_xlpm.x" hidden="1" xlm="1">#NAME?</definedName>
    <definedName name="_xlpm.x_multiplier" hidden="1" xlm="1">#NAME?</definedName>
    <definedName name="_xlpm.xmove" hidden="1" xlm="1">#NAME?</definedName>
    <definedName name="_xlpm.xmoveunit" hidden="1" xlm="1">#NAME?</definedName>
    <definedName name="_xlpm.xmult" hidden="1" xlm="1">#NAME?</definedName>
    <definedName name="_xlpm.y" hidden="1" xlm="1">#NAME?</definedName>
    <definedName name="_xlpm.y_multiplier" hidden="1" xlm="1">#NAME?</definedName>
    <definedName name="_xlpm.ymove" hidden="1" xlm="1">#NAME?</definedName>
    <definedName name="_xlpm.ymoveunit" hidden="1" xlm="1">#NAME?</definedName>
    <definedName name="_xlpm.ymult" hidden="1" xlm="1">#NAME?</definedName>
    <definedName name="ADDRESSES_byDiarmuidEarly">_xlfn.LAMBDA(_xlpm.rng, ADDRESS(ROW(_xlpm.rng), COLUMN(_xlpm.rng), 4))</definedName>
    <definedName name="BiRow_byPeterBartholomew">_xlfn.LAMBDA(_xlpm.array,_xlpm.function,_xlfn.LET(_xlpm.\\LambdaName, "BiRow_byPeterBartholomew", _xlpm.\\Description, "Perform array function by row", _xlpm.\\Source, "attributed to Peter Bartholomew: https://techcommunity.microsoft.com/discussions/excelgeneral/recursive-lambda-implementation-of-excels-reduce-function-/3949754/replies/3952653#M207809", IF(ROWS(_xlpm.array) = 1, _xlpm.function(_xlpm.array), _xlfn.VSTACK(BiRow_byPeterBartholomew(_xlfn.TAKE(_xlpm.array, ROWS(_xlpm.array) / 2), _xlpm.function), BiRow_byPeterBartholomew(_xlfn.DROP(_xlpm.array, ROWS(_xlpm.array) / 2), _xlpm.function)))))</definedName>
    <definedName name="CaseInputs">_xlfn.LAMBDA(     _xlfn.LET(         _xlpm.questions, _xlfn._xlws.FILTER(INDIRECT("Case!$B:$EE"), ISNUMBER(INDIRECT("Case!$B:$B"))),         _xlpm.result, IF(_xlpm.questions=0, NA(), _xlpm.questions),         _xlpm.clean, _xlfn.HSTACK(_xlfn.TAKE(_xlpm.result,,3), _xlfn.TAKE(_xlpm.result,,-COLUMNS(_xlpm.result)+5)),         IFERROR(_xlpm.clean, "")     ) )</definedName>
    <definedName name="CellsAround_byBendeLeon" comment="Return cells around target cell">_xlfn.LAMBDA(_xlpm.Ref,_xlpm.ColOff,_xlpm.RowOff,_xlop.ColMin,_xlop.ColMax,_xlop.RowMin,_xlop.RowMax,_xlop.Flatten,_xlfn.LET(_xlpm.\\LambdaName, "CellsAround", _xlpm.\\Description, "Return cells around target cell", _xlpm.\\Source, "Ben deLeon", _xlpm.arr, _xlfn.LET(_xlpm.a, _xlfn.DROP(ColumnList(COLUMN(INDIRECT(_xlpm.Ref)) + _xlpm.ColOff), , IF(COLUMN(INDIRECT(_xlpm.Ref)) &lt;= _xlpm.ColOff, 0, COLUMN(INDIRECT(_xlpm.Ref)) - _xlpm.ColOff - 1)), _xlpm.b, ColumnNumber(_xlpm.a), _xlfn._xlws.FILTER(_xlpm.a, (_xlpm.b &gt;= IF(_xlfn.ISOMITTED(_xlpm.ColMin), 1, MAX(1, IF(ISNUMBER(_xlpm.ColMin), _xlpm.ColMin, ColumnNumber(_xlpm.ColMin))))) * (_xlpm.b &lt;= IF(_xlfn.ISOMITTED(_xlpm.ColMax), 1000, MIN(1000, IF(ISNUMBER(_xlpm.ColMax), _xlpm.ColMax, ColumnNumber(_xlpm.ColMax))))))) &amp; _xlfn.LET(_xlpm.a, _xlfn.SEQUENCE(_xlpm.RowOff * 2 + 1, , ROW(INDIRECT(_xlpm.Ref)) - _xlpm.RowOff), _xlfn._xlws.FILTER(_xlpm.a, (_xlpm.a &gt;= IF(_xlfn.ISOMITTED(_xlpm.RowMin), 1, MAX(1, _xlpm.RowMin))) * (_xlpm.a &lt;= IF(_xlfn.ISOMITTED(_xlpm.RowMax), 10000, MIN(10000, _xlpm.RowMax))))), IF(_xlpm.Flatten = TRUE, _xlfn.TOROW(_xlpm.arr), _xlpm.arr)))</definedName>
    <definedName name="COL">_xlfn.LAMBDA(_xlpm.x, IF(_xlfn.ISOMITTED(_xlpm.x), COLUMN(), COLUMN(_xlpm.x)))</definedName>
    <definedName name="COLROW">_xlfn.LAMBDA(_xlpm.cell_coordinates, _xlfn.TEXTSPLIT(COLUMN(INDIRECT(_xlpm.cell_coordinates)) &amp; ";" &amp; ROW(INDIRECT(_xlpm.cell_coordinates)), ";"))</definedName>
    <definedName name="CountChar_byLiannaGerrish" comment="Returns the number of times a character appears in the selected text string.  ">_xlfn.LAMBDA(_xlpm.text,_xlpm.c,_xlfn.LET(_xlpm.\\LambdaName, "CountChar_byLiannaGerrish", _xlpm.\\CommandName, "Count Characters in a String", _xlpm.\\Description, "Returns the number of times a character appears in the selected text string", _xlpm.\\Source, "Lianna Gerrish", _xlpm.Trimmedtext, TRIM(_xlpm.text), _xlpm.TrimmedtextLength, LEN(_xlpm.Trimmedtext), _xlpm.WhiteSpaceSubstitution, SUBSTITUTE(_xlpm.Trimmedtext, _xlpm.c, ""), _xlpm.TextLengthNoSpaces, LEN(_xlpm.WhiteSpaceSubstitution), _xlpm.TrimmedtextLength - _xlpm.TextLengthNoSpaces + 0))</definedName>
    <definedName name="DiffByRow_byJaqKennedy">_xlfn.LAMBDA(_xlpm.Input,_xlfn.LET(_xlpm.\\LambdaName, "DiffByRow", _xlpm.\\CommandName, "Difference of array columns by row", _xlpm.\\Description, "Returns first column - last column in array", _xlpm.\\Source, "Jaq Kennedy", _xlfn.TAKE(_xlpm.Input, , 1) - _xlfn.TAKE(_xlpm.Input, , -1)))</definedName>
    <definedName name="DROPCOL_byLiannaGerrish">_xlfn.LAMBDA(_xlpm.array,_xlpm.column,_xlfn.LET(_xlpm.\\LambdaName, "DROPCOL", _xlpm.\\CommandName, _xlpm.\\LambdaName, _xlpm.\\Description, "Drops a column from an array", _xlpm.\\Source, "Lianna", _xlfn.MAKEARRAY(ROWS(_xlpm.array), COLUMNS(_xlpm.array) - 1, _xlfn.LAMBDA(_xlpm.i,_xlpm.j, INDEX(_xlpm.array, _xlpm.i, IF(_xlpm.j &lt; _xlpm.column, _xlpm.j, _xlpm.j + 1))))))</definedName>
    <definedName name="EXTRACTCHAR_byHarryGross">_xlfn.LAMBDA(_xlpm.text, MID(_xlpm.text, _xlfn.SEQUENCE(, LEN(_xlpm.text), 1, 1), 1))</definedName>
    <definedName name="EXTRACTLETTERS_byHarryGross" comment="Extracts letters from a string">_xlfn.LAMBDA(_xlpm.text,_xlfn.REDUCE("", MID(_xlpm.text, _xlfn.SEQUENCE(LEN(_xlpm.text), 1), 1), _xlfn.LAMBDA(_xlpm.x,_xlpm.y, IF(ISNUMBER(VALUE(_xlpm.y)), _xlpm.x, _xlpm.x &amp; _xlpm.y))))</definedName>
    <definedName name="EXTRACTNUMBERS_byHarryGross">_xlfn.LAMBDA(_xlpm.cell,_xlfn.TEXTSPLIT(_xlpm.cell,_xlfn.TEXTSPLIT(_xlpm.cell,_xlfn.SEQUENCE(10,,0),,1),,1))</definedName>
    <definedName name="EZINDIRECT_byLiannaGerrish" comment="Indirect function with cell and optional sheet name">_xlfn.LAMBDA(_xlpm.cell,_xlop.sheetname,IF(_xlfn.ISOMITTED(_xlpm.sheetname), INDIRECT(_xlpm.cell), INDIRECT(_xlpm.sheetname &amp; "!" &amp; _xlpm.cell)))</definedName>
    <definedName name="FilterArray_byErikOehm">_xlfn.LAMBDA(_xlpm.data,_xlpm.column_indexes,_xlpm.filter_values,_xlfn.LET(_xlpm.\\LambdaName, "FilterArray", _xlfn._xlws.FILTER(_xlpm.data, _xlfn.BYROW(IsInList_byErikOehm(_xlfn.CHOOSECOLS(_xlpm.data, _xlpm.column_indexes), _xlpm.filter_values), _xlfn.LAMBDA(_xlpm.x, AND(_xlpm.x))))))</definedName>
    <definedName name="GRIDTOCOL_byLiannaGerrish">_xlfn.LAMBDA(_xlpm.grid,_xlop.ShowAll_0, _xlfn.LET(
   _xlpm.\\LambdaName, "GRIDTOCOL",
   _xlpm.items_grid, _xlfn.TOCOL(_xlpm.grid),
   _xlpm.addr_col, _xlfn.TOCOL(ADDRESSES_byDiarmuidEarly(_xlpm.grid)),
   _xlpm.rows, ROW(INDIRECT(_xlpm.addr_col)) * 1,
   _xlpm.cols, COLUMN(INDIRECT(_xlpm.addr_col)) * 1,
   _xlpm.rcnum, _xlfn.TOCOL(1000000 * _xlpm.rows + 1000 + _xlpm.cols),
   _xlpm.headers, _xlfn.HSTACK("Items", "Row #", "Column #", "Address", "RCRef"),
   _xlpm.data_grid, _xlfn.HSTACK(_xlpm.items_grid, _xlpm.rows, _xlpm.cols, _xlpm.addr_col, _xlpm.rcnum),
   IF(
      OR(_xlfn.ISOMITTED(_xlpm.ShowAll_0), _xlpm.ShowAll_0 &lt;&gt; 0),
      _xlfn.VSTACK(_xlpm.headers, _xlfn._xlws.FILTER(_xlpm.data_grid, _xlfn.CHOOSECOLS(_xlpm.data_grid, 1) &lt;&gt; 0)),
      _xlfn.VSTACK(_xlpm.headers, _xlpm.data_grid)
   )
))</definedName>
    <definedName name="IFBLANK">_xlfn.LAMBDA(_xlpm.value,_xlpm.value_if_blank, IF(ISBLANK(_xlpm.value), _xlpm.value_if_blank, _xlpm.value))</definedName>
    <definedName name="IsInList_byErikOehm">_xlfn.LAMBDA(_xlpm.array,_xlpm.list,_xlfn.LET(_xlpm.\\LambdaName, "IsInList", _xlfn.MAP(_xlpm.array, _xlfn.LAMBDA(_xlpm.x, OR(_xlpm.list = _xlpm.x)))))</definedName>
    <definedName name="Language">'Default Settings'!$C$13</definedName>
    <definedName name="Letters">_xlfn.LAMBDA(_xlop.Upp, _xlfn.LET(
   _xlpm.\\LambdaName, "Letters",
   _xlpm.\\CommandName, "Creates a list of letters",
   _xlpm.ABC, CHAR(_xlfn.SEQUENCE(26) + 64),
   IF((_xlpm.Upp = 1) + _xlfn.ISOMITTED((_xlpm.Upp)), _xlpm.ABC, LOWER(_xlpm.ABC))
))</definedName>
    <definedName name="LetterShift_byBendeLeon">_xlfn.LAMBDA(_xlpm.Input,_xlpm.Shft, _xlfn.LET(
   _xlpm.\\LambdaName, "LetterShift_byBendeLeon",
   _xlpm.\\CommandName, "Shifts letters",
   _xlpm.\\Source, "Ben de Leon",
   _xlpm.arr, _xlfn.UNICODE(EXTRACTCHAR_byHarryGross(_xlpm.Input)),
   _xlpm.NewChars, _xlfn.IFS(
      (_xlpm.arr &gt;= 65) * (_xlpm.arr &lt;= 90) = 1,
      MOD(_xlpm.arr - 65 + _xlpm.Shft, 26) + 65,
      (_xlpm.arr &gt;= 97) * (_xlpm.arr &lt;= 122) = 1,
      MOD(_xlpm.arr - 97 + _xlpm.Shft, 26) + 97,
      TRUE,
      _xlpm.arr
   ),
   _xlpm.Result, _xlfn.CONCAT(_xlfn.UNICHAR(_xlpm.NewChars)),
   _xlpm.Result
))</definedName>
    <definedName name="List_Separator">'Default Settings'!$C$11</definedName>
    <definedName name="LkpAdd">_xlfn.LAMBDA(_xlpm.ToFind,_xlpm.Range,_xlfn.LET(_xlpm.\\LambdaName, "LkpAdd", _xlpm.\\CommandName, "Lookup Address", _xlpm.\\Description, "Looks up address of cell(s) matching input", _xlpm.\\Source, "Jaq Kennedy", _xlfn.CHOOSECOLS(FilterArray_byErikOehm(GRIDTOCOL_byLiannaGerrish(_xlpm.Range), {1}, _xlpm.ToFind), {4})))</definedName>
    <definedName name="LkpRC">_xlfn.LAMBDA(_xlpm.ToFind,_xlpm.Range,_xlfn.LET(_xlpm.\\LambdaName, "LkpRC", _xlpm.\\CommandName, "Lookup RC coordinates ", _xlpm.\\Description, "Looks up RC coordinates of matching cell(s) in range", _xlfn.CHOOSECOLS(FilterArray_byErikOehm(GRIDTOCOL_byLiannaGerrish(_xlpm.Range), {1}, _xlpm.ToFind), {2,3})))</definedName>
    <definedName name="LkpRCByRow">_xlfn.LAMBDA(_xlpm.ToFind,_xlpm.Range,_xlfn.LET(_xlpm.\\LambdaName, "LkpRCByRow", _xlpm.\\CommandName, "Lookup Value by Row", _xlpm.\\Description, "Returns RC location of a list of values in a range", _xlpm.\\Source, "Jaq Kennedy", BiRow_byPeterBartholomew(_xlpm.ToFind, _xlfn.LAMBDA(_xlpm.a, IFERROR(_xlfn.CHOOSEROWS(LkpRC(_xlpm.a, _xlpm.Range), 1), {"",""})))))</definedName>
    <definedName name="MinMax_byJaqKennedy" comment="Returns array with min and max of a range">_xlfn.LAMBDA(_xlpm.Range,_xlfn.LET(_xlpm.\\LambdaName, "MinMax", _xlpm.\\CommandName, "Get Min and Max of Range", _xlpm._GetMin, MIN(_xlpm.Range), _xlpm._GetMax, MAX(_xlpm.Range), _xlpm._MinMax, _xlfn.VSTACK(_xlpm._GetMin, _xlpm._GetMax), _xlpm._MinMax))</definedName>
    <definedName name="RightAlignedArray_byJaqKennedy" comment="Aligns contents of array to the right - ignoring blanks">_xlfn.LAMBDA(_xlpm.input,_xlfn.LET(_xlpm.\\LambdaName, "RightAlignedArray", _xlpm.\\CommandName, "Align array to right", _xlpm.\\Description, "Aligns array to the right with blanks to left", _xlpm.\\Source, "Jaq Kennedy", _xlpm._ColsByRow, _xlfn.BYROW(_xlpm.input, _xleta.COUNT), _xlpm._Rows, ROWS(_xlpm.input), _xlpm._Cols, COLUMNS(_xlpm.input), _xlpm._ColIndex, IF(MOD(_xlfn.SEQUENCE(_xlpm._Rows, _xlpm._Cols) - 1, _xlpm._Cols) + 1 - _xlpm._Cols + _xlpm._ColsByRow &lt;= 0, -1, MOD(_xlfn.SEQUENCE(_xlpm._Rows, _xlpm._Cols) - 1, _xlpm._Cols) + 1 - _xlpm._Cols + _xlpm._ColsByRow), _xlpm._RowIndex, _xlfn.SEQUENCE(_xlpm._Rows), _xlpm._Result, IFERROR(INDEX(_xlpm.input, _xlpm._RowIndex, _xlpm._ColIndex), ""), _xlpm._Result))</definedName>
    <definedName name="ROWCOL">_xlfn.LAMBDA(_xlpm.cell_coordinates,_xlfn.TEXTSPLIT(ROW(INDIRECT(_xlpm.cell_coordinates)) &amp; ";" &amp; COLUMN(INDIRECT(_xlpm.cell_coordinates)), ";"))</definedName>
    <definedName name="TDay_byJaqKennedy" comment="Gets day of week as text - Monday = 1...Sunday = 7.  ">_xlfn.LAMBDA(_xlpm.NumList,_xlfn.LET(_xlpm.\\LambdaName, "TDay", _xlpm.\\CommandName, "Get day of week as text", _xlpm.\\Description, "Gets day of week as text - Monday = 1...Sunday = 7", _xlpm.\\Source, "Jaq Kennedy", TEXT(XMOD_byJaqKennedy(_xlpm.NumList + 1, 7), "Dddd")))</definedName>
    <definedName name="TEXTREVERSE">_xlfn.LAMBDA(_xlpm.string,_xlfn.LET(_xlpm.stringLength, LEN(_xlpm.string), _xlpm.substring, RIGHT(_xlpm.string, _xlpm.stringLength - 1), _xlpm.firstChar, LEFT(_xlpm.string, 1), IF(LEN(_xlpm.string) = 0, _xlpm.string, TEXTREVERSE(_xlpm.substring) &amp; _xlpm.firstChar)))</definedName>
    <definedName name="Thousands_Separator">'Default Settings'!$C$10</definedName>
    <definedName name="Use_System_Separators">'Default Settings'!$C$12</definedName>
    <definedName name="XLOOKUP2D_byBendeLeon">_xlfn.LAMBDA(_xlpm.DataSource,_xlpm.RLU,_xlpm.CLU,_xlop.RowArray,_xlop.ColumnArray,_xlop.MatchMode,_xlop.SearchMode,_xlop.IfNotFound, _xlfn.LET(
   _xlpm.\\LambdaName, "XLOOKUP2D_byBendeLeon",
   _xlpm.\\CommandName, "2D lookup",
   _xlpm.\\Source, "Ben de Leon",
   _xlpm.RCInc, IF(_xlfn.ISOMITTED(_xlpm.RowArray), 1, 0) + IF(_xlfn.ISOMITTED(_xlpm.RowArray), 2, 0),
   _xlpm.UpdatedDataSource, CHOOSE(
      _xlpm.RCInc + 1,
      _xlpm.DataSource,
      _xlfn.DROP(_xlpm.DataSource, , 1),
      _xlfn.DROP(_xlpm.DataSource, 1),
      _xlfn.DROP(_xlpm.DataSource, 1, 1)
   ),
   IFERROR(
      INDEX(
         _xlpm.UpdatedDataSource,
         _xlfn.XMATCH(
            _xlpm.RLU,
            IF(
               _xlfn.ISOMITTED(_xlpm.RowArray),
               _xlfn.DROP(_xlfn.TAKE(_xlpm.DataSource, , 1), 1),
               _xlfn.TAKE(_xlpm.RowArray, , 1)
            ),
            IF(_xlfn.ISOMITTED(_xlpm.MatchMode), 0, _xlpm.MatchMode),
            IF(_xlfn.ISOMITTED(_xlpm.SearchMode), 1, _xlpm.SearchMode)
         ),
         _xlfn.XMATCH(
            _xlpm.CLU,
            IF(
               _xlfn.ISOMITTED(_xlpm.ColumnArray),
               _xlfn.DROP(_xlfn.TAKE(_xlpm.DataSource, 1), , 1),
               _xlfn.TAKE(_xlpm.ColumnArray, 1)
            ),
            IF(_xlfn.ISOMITTED(_xlpm.MatchMode), 0, _xlpm.MatchMode),
            IF(_xlfn.ISOMITTED(_xlpm.SearchMode), 1, _xlpm.SearchMode)
         )
      ),
      IF(_xlfn.ISOMITTED(_xlpm.IfNotFound), NA(), _xlpm.IfNotFound)
   )
))</definedName>
    <definedName name="XMOD_byJaqKennedy" comment="Returns the MOD of a value where the maximum value returns the divisor instead of 0.  ">_xlfn.LAMBDA(_xlpm.value,_xlpm.divisor,_xlfn.LET(_xlpm.\\LambdaName, "XMOD", _xlpm.\\CommandName, "MOD with max value", _xlpm.\\Description, "Returns the MOD of a value where the maximum value returns the divisor instead of 0", _xlpm.\\Source, "Jaq Kennedy", MOD(_xlpm.value - 1, _xlpm.divisor) + 1))</definedName>
    <definedName name="ZigZag_byBendeLeon">_xlfn.LAMBDA(_xlpm.data,_xlop.CleanData,_xlop.Wrap,_xlfn.LET(_xlpm.\\LambdaName, "ZigZag", _xlpm.\\Description, "Zigs and zags", _xlpm.\\Source, "Ben deLeon", _xlpm.ClnData, BiRow_byPeterBartholomew(_xlpm.data, _xlfn.LAMBDA(_xlpm.arr, _xlfn.TOROW(_xlpm.arr, IF(OR(_xlfn.ISOMITTED(_xlpm.CleanData), _xlpm.CleanData = TRUE), 3, 0)))), _xlpm.RowCnt, ROWS(_xlpm.ClnData), _xlpm.ColCnt, COLUMNS(_xlpm.ClnData), _xlpm.Base10, 10 ^ ROUNDUP(LOG(_xlpm.ColCnt), 0), _xlpm.Srt, _xlfn.MAP(QUOTIENT(_xlfn.SEQUENCE(_xlpm.RowCnt, _xlpm.ColCnt, 0), _xlpm.ColCnt) * _xlpm.Base10, MOD(_xlfn.SEQUENCE(_xlpm.RowCnt, _xlpm.ColCnt, 0), _xlpm.ColCnt), MOD(_xlfn.SEQUENCE(_xlpm.RowCnt, _xlpm.ColCnt, _xlpm.ColCnt - 1, -1), _xlpm.ColCnt), _xlfn.LAMBDA(_xlpm.C,_xlpm.RF,_xlpm.RB, _xlpm.C + IF(ISODD(ROUNDDOWN(_xlpm.C / _xlpm.Base10, 0)), _xlpm.RB, _xlpm.RF))), _xlpm.SortedData, _xlfn.SORTBY(_xlfn.TOROW(_xlpm.ClnData), _xlfn.TOROW(_xlpm.Srt), 1), IF(_xlpm.Wrap = TRUE, _xlfn.WRAPROWS(_xlpm.SortedData, _xlpm.ColCnt), _xlpm.SortedData)))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4" l="1" a="1"/>
  <c r="B8" i="14" s="1"/>
  <c r="Q19" i="14" a="1"/>
  <c r="Q19" i="14"/>
  <c r="D8" i="14" a="1"/>
  <c r="B7" i="20"/>
  <c r="Q18" i="14" a="1"/>
  <c r="Q18" i="14" s="1"/>
  <c r="O17" i="14" a="1"/>
  <c r="H11" i="14" a="1"/>
  <c r="H11" i="14" s="1"/>
  <c r="H9" i="14" a="1"/>
  <c r="H9" i="14" s="1"/>
  <c r="H8" i="14" a="1"/>
  <c r="H8" i="14" s="1"/>
  <c r="I11" i="18"/>
  <c r="H11" i="18"/>
  <c r="H10" i="14" a="1"/>
  <c r="D8" i="14" l="1"/>
  <c r="I16" i="14" s="1" a="1"/>
  <c r="I16" i="14" s="1"/>
  <c r="O17" i="14"/>
  <c r="E19" i="14" s="1"/>
  <c r="R19" i="14" s="1"/>
  <c r="B6" i="14"/>
  <c r="E14" i="14" a="1"/>
  <c r="E14" i="14" s="1"/>
  <c r="H10" i="14"/>
  <c r="E22" i="14" s="1" a="1"/>
  <c r="E22" i="14" s="1"/>
  <c r="D6" i="14"/>
  <c r="H16" i="14" l="1" a="1"/>
  <c r="H16" i="14" s="1"/>
  <c r="Q24" i="14" a="1"/>
  <c r="Q24" i="14" s="1"/>
  <c r="E13" i="14" a="1"/>
  <c r="E13" i="14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<sst xmlns="http://schemas.openxmlformats.org/spreadsheetml/2006/main" count="690" uniqueCount="317">
  <si>
    <t>CompBot</t>
  </si>
  <si>
    <t>by Jaq Kennedy</t>
  </si>
  <si>
    <t>Robot Commands</t>
  </si>
  <si>
    <t>Lambdas Included</t>
  </si>
  <si>
    <t>Name</t>
  </si>
  <si>
    <t>Description</t>
  </si>
  <si>
    <t>Creator</t>
  </si>
  <si>
    <t>Harry Gross</t>
  </si>
  <si>
    <t>Splits out the characters in a string to an array</t>
  </si>
  <si>
    <t>Parameters</t>
  </si>
  <si>
    <t>Array friendly</t>
  </si>
  <si>
    <t>No</t>
  </si>
  <si>
    <t>"text" - string to be split</t>
  </si>
  <si>
    <t>Splits out the digits in a string to an array</t>
  </si>
  <si>
    <t>Create Blank Sheet</t>
  </si>
  <si>
    <t>Jaq Kennedy</t>
  </si>
  <si>
    <t>Creates a blank sheet named based on cell value (Sht otherwise)</t>
  </si>
  <si>
    <t>Output</t>
  </si>
  <si>
    <t>Load Lambdas</t>
  </si>
  <si>
    <t>Happy 45 ^ 2!</t>
  </si>
  <si>
    <t>Import Lambdas From</t>
  </si>
  <si>
    <t>Opens a browser to navigate to a workbook with the lambdas to load</t>
  </si>
  <si>
    <t>N/A</t>
  </si>
  <si>
    <t>"strWS" - sheet name (optional) set as value of active cell</t>
  </si>
  <si>
    <t>Launch Code</t>
  </si>
  <si>
    <t>ILF</t>
  </si>
  <si>
    <t>BS</t>
  </si>
  <si>
    <t>Opens a browser to navigate to a workbook with the lambdas to load. Use this as a one-off to set up your CompBot with your own lambdas.</t>
  </si>
  <si>
    <t>Import your lambdas from your own lambda library by clicking this icon or running the "Import Lambdas From" command</t>
  </si>
  <si>
    <t>Full Lambda List</t>
  </si>
  <si>
    <t>Documented Lambdas</t>
  </si>
  <si>
    <t xml:space="preserve"> </t>
  </si>
  <si>
    <t>Inputs</t>
  </si>
  <si>
    <t>IL</t>
  </si>
  <si>
    <t>Loads lambdas held in CompBot to the active workbook - easy load for competitions</t>
  </si>
  <si>
    <t>Backup Sheets in Workbook</t>
  </si>
  <si>
    <t>Create Level Sheets</t>
  </si>
  <si>
    <t>A</t>
  </si>
  <si>
    <t>B</t>
  </si>
  <si>
    <t>This cell</t>
  </si>
  <si>
    <t>And this cell</t>
  </si>
  <si>
    <t>Diarmuid Early</t>
  </si>
  <si>
    <t>Lianna Gerrish</t>
  </si>
  <si>
    <t>Returns the addresses of a range</t>
  </si>
  <si>
    <t>Input Range</t>
  </si>
  <si>
    <t>Yes</t>
  </si>
  <si>
    <t>Converts a grid to a single column with row number, column number, and address of each cell</t>
  </si>
  <si>
    <t>CL
CLS</t>
  </si>
  <si>
    <t>Default Settings</t>
  </si>
  <si>
    <t>Sets Default Settings as per the "Default Settings" sheet. 
Use this to reset Excel settings to your preferences. Base version is set up as per US English.</t>
  </si>
  <si>
    <t>As per "Default Settings" sheet</t>
  </si>
  <si>
    <t>DS</t>
  </si>
  <si>
    <t>Default Settings Header</t>
  </si>
  <si>
    <t>Decimal Separator</t>
  </si>
  <si>
    <t>Thousands Separator</t>
  </si>
  <si>
    <t>Use System Separators</t>
  </si>
  <si>
    <t>List Separator</t>
  </si>
  <si>
    <t>.</t>
  </si>
  <si>
    <t>,</t>
  </si>
  <si>
    <t>To update settings run command "Default Settings". Note this will not change Windows level settings, only Excel</t>
  </si>
  <si>
    <t>;</t>
  </si>
  <si>
    <t>Language</t>
  </si>
  <si>
    <t>English</t>
  </si>
  <si>
    <t>Afrikaans</t>
  </si>
  <si>
    <t>Example</t>
  </si>
  <si>
    <t>Does not update anything - for notification message only</t>
  </si>
  <si>
    <t>English (UK/US)</t>
  </si>
  <si>
    <t>Limited collection included with CompBot for demonstration. To add lambdas, view the Load Lambdas sheet or run "Import Lambdas From" Command</t>
  </si>
  <si>
    <t>Current list of CompBot Commands</t>
  </si>
  <si>
    <t>Create Data Table</t>
  </si>
  <si>
    <t>"strQ" - example number (optional) set as value of active cell if in format "Example*"</t>
  </si>
  <si>
    <t>DT
CDT</t>
  </si>
  <si>
    <t>Outputs populated columns B:D &amp; G:EE from "Case" sheet where B:B is numeric (i.e. for level rows)</t>
  </si>
  <si>
    <t>Lianna Gerrish / Helen Dupree</t>
  </si>
  <si>
    <t>Actual Lambdas List (UDF)</t>
  </si>
  <si>
    <t>Lambdas Listed in Info &amp; Examples</t>
  </si>
  <si>
    <t>Requires 'Case' sheet</t>
  </si>
  <si>
    <t>Notes</t>
  </si>
  <si>
    <t>NA</t>
  </si>
  <si>
    <t>Renames used range in sheets starting with text in active cell. Uses SanitizeRangeName function from "MEWC Robot" by Erik Oehm</t>
  </si>
  <si>
    <t>Name All Used Ranges</t>
  </si>
  <si>
    <t>NURS</t>
  </si>
  <si>
    <t>Renames used range in all sheets. Uses SanitizeRangeName function from "MEWC Robot" by Erik Oehm</t>
  </si>
  <si>
    <t>Erik Oehm</t>
  </si>
  <si>
    <t>Select cells in selection with same background color as active cell</t>
  </si>
  <si>
    <t>SBC</t>
  </si>
  <si>
    <t>Save Answers to Left</t>
  </si>
  <si>
    <t>SAL</t>
  </si>
  <si>
    <t>Active cell contains answers to copy</t>
  </si>
  <si>
    <t>Saves references to the selected cells in the green answer cells to the left on the same row. 
Then copies either answers or the formula below for paste into solution.</t>
  </si>
  <si>
    <t>TC</t>
  </si>
  <si>
    <t>IC</t>
  </si>
  <si>
    <t>Toggles calculation mode between manual and automatic. Status is set in StatusBar to not cause an interruption.</t>
  </si>
  <si>
    <t>Ensures Calc Mode is Automatic and then turns on iterative calculations.
Status is set in StatusBar to not cause an interruption.</t>
  </si>
  <si>
    <t>Creates a data table on the current sheet for level sheets "L#" or active cell = "Example#"
Turns on iterative calculations.</t>
  </si>
  <si>
    <t>Create Bonus Sheet</t>
  </si>
  <si>
    <t>CB
CBS</t>
  </si>
  <si>
    <t>BU</t>
  </si>
  <si>
    <t>Save Copy of File</t>
  </si>
  <si>
    <t>"strShtSuff" - suffix of file name (optional) set as value of active cell</t>
  </si>
  <si>
    <t>SA</t>
  </si>
  <si>
    <t>"strShtPref" - Prefix of sheet name to process</t>
  </si>
  <si>
    <t>Saves a copy of the file in the current location with the suffix "_Working" (for empty cell) or "_[[ActiveCell]]"</t>
  </si>
  <si>
    <t>refresh this UDF to see current list</t>
  </si>
  <si>
    <t>List of lambdas included with Comp Bot</t>
  </si>
  <si>
    <t>EXTRACTCHAR_byHarryGross</t>
  </si>
  <si>
    <t>ADDRESSES_byDiarmuidEarly</t>
  </si>
  <si>
    <t>CaseInputs</t>
  </si>
  <si>
    <t>EXTRACTNUMBERS_byHarryGross</t>
  </si>
  <si>
    <t>GRIDTOCOL_byLiannaGerrish</t>
  </si>
  <si>
    <t>Clear Lambdas</t>
  </si>
  <si>
    <t>Cleans workbook lambdas for upload to GitHub</t>
  </si>
  <si>
    <t>CL</t>
  </si>
  <si>
    <t>Sets up a case file by running the following VBA / commands together:
* Backup Sheets
* Create Level Sheets
* Create Bonus Sheet
* Create Case Input Sheet</t>
  </si>
  <si>
    <t>LkpAdd</t>
  </si>
  <si>
    <t>LkpRC</t>
  </si>
  <si>
    <t>Outputs cell address of cell(s) where [ToFind] is found in [Range]</t>
  </si>
  <si>
    <t>Outputs row and column of cell(s) where [ToFind] is found in [Range]</t>
  </si>
  <si>
    <t>[ToFind] - value to search for
[Range] - range to search in</t>
  </si>
  <si>
    <t>Returns a boolean for matches in an array to a list</t>
  </si>
  <si>
    <t>[array] - array to check
[list] - list of values to check against</t>
  </si>
  <si>
    <t>Filters an array based on a list</t>
  </si>
  <si>
    <t>[data] - array to check
[column_indexes] - columns to search
[list] - list of values to check against</t>
  </si>
  <si>
    <t>Letters</t>
  </si>
  <si>
    <t>0/1 for lower/upper</t>
  </si>
  <si>
    <t>CountChar_byLiannaGerrish</t>
  </si>
  <si>
    <t xml:space="preserve">Performs a mod where the top value returns the divisor, e.g. instead of using MOD(CODE(letter)-1,26)+1, use XMOD(CODE(letter),26) </t>
  </si>
  <si>
    <t>Right aligns an array, shifting blanks to the left instead of right</t>
  </si>
  <si>
    <t>"input" - array to be aligned</t>
  </si>
  <si>
    <t>List letters in the alphabet</t>
  </si>
  <si>
    <t>[case] (optional) 1 - uppercase, 0 - lowercase</t>
  </si>
  <si>
    <t>LkpRCByRow</t>
  </si>
  <si>
    <t>Outputs first row and column of cell(s) where [ToFind] is found in [Range], [ToFind] as an array input</t>
  </si>
  <si>
    <t>[ToFind] - array of values to search for
[Range] - range to search in</t>
  </si>
  <si>
    <t>IFBLANK</t>
  </si>
  <si>
    <t>Replaces values in array with specified output if blank</t>
  </si>
  <si>
    <t>Gets day of week as text from number 1-7 where 1=Mon</t>
  </si>
  <si>
    <t>[DayNum] - day of week from 1 for Monday to 7 for Sunday</t>
  </si>
  <si>
    <t>XLOOKUP2D_byBendeLeon</t>
  </si>
  <si>
    <t>Ben deLeon</t>
  </si>
  <si>
    <t>2D XLOOKUP</t>
  </si>
  <si>
    <t>LetterShift_byBendeLeon</t>
  </si>
  <si>
    <t>Shift letters by a given number</t>
  </si>
  <si>
    <t>Formula Robot</t>
  </si>
  <si>
    <t>D</t>
  </si>
  <si>
    <t>Auto Fill Down</t>
  </si>
  <si>
    <t>Command</t>
  </si>
  <si>
    <t>RTLV3</t>
  </si>
  <si>
    <t>SRC</t>
  </si>
  <si>
    <t>Sequence of Row Count</t>
  </si>
  <si>
    <t>Array Robot</t>
  </si>
  <si>
    <t>Ctrl-Shft-R</t>
  </si>
  <si>
    <t>Duplicate Array To Right</t>
  </si>
  <si>
    <t>FAL</t>
  </si>
  <si>
    <t>Find Above In Left</t>
  </si>
  <si>
    <t>MEWC Robot</t>
  </si>
  <si>
    <t>Ctrl-Shft-S
See "Eggy" command to get this bot</t>
  </si>
  <si>
    <t>Save Game Answer To Left</t>
  </si>
  <si>
    <t>CR</t>
  </si>
  <si>
    <t>Concatenate Array By Row</t>
  </si>
  <si>
    <t>SB1</t>
  </si>
  <si>
    <t>Substitute Blank for 1</t>
  </si>
  <si>
    <t>SB0</t>
  </si>
  <si>
    <t>Substitute Blank for 0</t>
  </si>
  <si>
    <t>KC</t>
  </si>
  <si>
    <t>Keep Columns Of Array</t>
  </si>
  <si>
    <t>DF</t>
  </si>
  <si>
    <t>Wrap in Drop First Row</t>
  </si>
  <si>
    <t>CON</t>
  </si>
  <si>
    <t>Wrap in Concat</t>
  </si>
  <si>
    <t>KR</t>
  </si>
  <si>
    <t>Keep Rows of Array</t>
  </si>
  <si>
    <t>TBSE</t>
  </si>
  <si>
    <t>Wrap with IFERROR TEXTBEFORE space</t>
  </si>
  <si>
    <t>Ctrl-Shft-G</t>
  </si>
  <si>
    <t>Full Setup Case</t>
  </si>
  <si>
    <t>Bot</t>
  </si>
  <si>
    <t>Type</t>
  </si>
  <si>
    <t>Case</t>
  </si>
  <si>
    <t>RTLV2</t>
  </si>
  <si>
    <t>Split By Character</t>
  </si>
  <si>
    <t>Wrap in UNICODE</t>
  </si>
  <si>
    <t>CODE</t>
  </si>
  <si>
    <t>If Error Then Blank</t>
  </si>
  <si>
    <t>EB</t>
  </si>
  <si>
    <t>Align Array to Right</t>
  </si>
  <si>
    <t>AR
Uses RightAlignedArray lambda</t>
  </si>
  <si>
    <t>Difference of Array Columns by Row</t>
  </si>
  <si>
    <t>DIFF
Uses DiffByRow lambda</t>
  </si>
  <si>
    <t>Negative Values</t>
  </si>
  <si>
    <t>NEG</t>
  </si>
  <si>
    <t>Lambda</t>
  </si>
  <si>
    <t>LkpRCbyRow(along# - array of values to lookup,People - range to look in)
Lambda by Jaq Kennedy</t>
  </si>
  <si>
    <t>Tday(along# + 1 - array of values to convert to a day in text format)</t>
  </si>
  <si>
    <t>Wrap in IFERROR with Space</t>
  </si>
  <si>
    <t>ERR</t>
  </si>
  <si>
    <t>LkpRCbyRow()</t>
  </si>
  <si>
    <t>TDay()</t>
  </si>
  <si>
    <t>If Error Then Zero (0)</t>
  </si>
  <si>
    <t>E0</t>
  </si>
  <si>
    <t>RTLV1</t>
  </si>
  <si>
    <t>LkpRC()</t>
  </si>
  <si>
    <t>LkpRCbyRow(G17 - value to lookup,YBR - range to look in)
Lambda by Jaq Kennedy</t>
  </si>
  <si>
    <t>LkpRCbyRow(H17 - value to lookup,YBR - range to look in)
Lambda by Jaq Kennedy</t>
  </si>
  <si>
    <t>Generate Lambda Statement</t>
  </si>
  <si>
    <t>Lambda Robot</t>
  </si>
  <si>
    <t>GL
Used to create dist lambda</t>
  </si>
  <si>
    <t>GRIDTOCOL_byLiannaGerrish(YBR - range to summarise)
Lambda by Lianna Gerrish</t>
  </si>
  <si>
    <t>Sort Array Asc</t>
  </si>
  <si>
    <t>KFR</t>
  </si>
  <si>
    <t>Keep First Row Of Array</t>
  </si>
  <si>
    <t>Level</t>
  </si>
  <si>
    <t>EXTRACTLETTERS_byHarryGross</t>
  </si>
  <si>
    <t>Splits out the letters in a string to an array</t>
  </si>
  <si>
    <t>COLROW</t>
  </si>
  <si>
    <t>ROWCOL</t>
  </si>
  <si>
    <t>from COLROW</t>
  </si>
  <si>
    <t>Returns column and row of an address string</t>
  </si>
  <si>
    <t>Returns row and column of an address string</t>
  </si>
  <si>
    <t>ZigZag_byBendeLeon</t>
  </si>
  <si>
    <t>Zigs and Zags</t>
  </si>
  <si>
    <t>Peter Bartholomew</t>
  </si>
  <si>
    <t>IsInList_byErikOehm</t>
  </si>
  <si>
    <t>BiRow_byPeterBartholomew</t>
  </si>
  <si>
    <t>for Thunking I Think</t>
  </si>
  <si>
    <t>FilterArray_byErikOehm</t>
  </si>
  <si>
    <t>DROPCOL_byLiannaGerrish</t>
  </si>
  <si>
    <t>[array] - array to amend
[column] - column to drop</t>
  </si>
  <si>
    <t>Drops a specified column from an array</t>
  </si>
  <si>
    <t>DiffByRow_byJaqKennedy</t>
  </si>
  <si>
    <t>Returns first column - last column in array</t>
  </si>
  <si>
    <t>[array] - array to get differences from</t>
  </si>
  <si>
    <t>TEXTREVERSE</t>
  </si>
  <si>
    <t>?</t>
  </si>
  <si>
    <t>Recursively reverse a string of characters</t>
  </si>
  <si>
    <t>[string] - string to reverse</t>
  </si>
  <si>
    <t>XMOD_byJaqKennedy</t>
  </si>
  <si>
    <t>[value] - value to MOD
[divisor] - divisor</t>
  </si>
  <si>
    <t>TDay_byJaqKennedy</t>
  </si>
  <si>
    <t>Indirect function with cell and optional sheet name</t>
  </si>
  <si>
    <t>EZINDIRECT_byLiannaGerrish</t>
  </si>
  <si>
    <t>[cell] - cell address to fetch
[sheetname] (optional) - name of sheet to fetch</t>
  </si>
  <si>
    <t>Returns array with min and max of a range</t>
  </si>
  <si>
    <t>MinMax_byJaqKennedy</t>
  </si>
  <si>
    <t>[range] - range to get min and max from</t>
  </si>
  <si>
    <t>Return cells around target cell</t>
  </si>
  <si>
    <t>CellsAround_byBendeLeon</t>
  </si>
  <si>
    <t>[ref] - cell reference
[coloff] - column offset
[rowoff] - row offset
see function for more</t>
  </si>
  <si>
    <t>COL</t>
  </si>
  <si>
    <t>Short version of COLUMN</t>
  </si>
  <si>
    <t>[cell] (optional) - cell to get column from</t>
  </si>
  <si>
    <t>RightAlignedArray_byJaqKennedy</t>
  </si>
  <si>
    <t>Import Lambda Library</t>
  </si>
  <si>
    <t>Aligns array to the right with blanks to left</t>
  </si>
  <si>
    <t>Create Case Inputs Sheet</t>
  </si>
  <si>
    <t>Goto Similar Background Color</t>
  </si>
  <si>
    <t>Lookup Value by Row</t>
  </si>
  <si>
    <t>Returns RC location of a list of values in a range</t>
  </si>
  <si>
    <t>Name Used Ranges</t>
  </si>
  <si>
    <t>Negative values. with errors as blank</t>
  </si>
  <si>
    <t>Rename Sheets</t>
  </si>
  <si>
    <t>Sequence of row count of array variable</t>
  </si>
  <si>
    <t>Substitute blank values for 0</t>
  </si>
  <si>
    <t>Substitute blank cells for 1</t>
  </si>
  <si>
    <t>Toggle Calculation Mode</t>
  </si>
  <si>
    <t>Toggle Iterative Calculation</t>
  </si>
  <si>
    <t>Wrap in ABS</t>
  </si>
  <si>
    <t>Wrap in abs.</t>
  </si>
  <si>
    <t>ABS</t>
  </si>
  <si>
    <t>Wrap in concat.</t>
  </si>
  <si>
    <t>Wrap in drop first row</t>
  </si>
  <si>
    <t>Wrap in IFERROR with space</t>
  </si>
  <si>
    <t>Wrap in iferror.</t>
  </si>
  <si>
    <t>Wrap in Take by Copied Cell Columns</t>
  </si>
  <si>
    <t>Wrap in take by copied cell columns.</t>
  </si>
  <si>
    <t>TCC</t>
  </si>
  <si>
    <t>Wrap in UNICHAR</t>
  </si>
  <si>
    <t>Wrap in unichar.</t>
  </si>
  <si>
    <t>Wrap in unicode.</t>
  </si>
  <si>
    <t>Wraps current formula with TEXTBEFORE space with IFERROR in case space doesn't exist</t>
  </si>
  <si>
    <t>AR</t>
  </si>
  <si>
    <t>Active cell contains array</t>
  </si>
  <si>
    <t>CIS
IS</t>
  </si>
  <si>
    <t>Active cell contains array with at least 2 columns</t>
  </si>
  <si>
    <t>DIFF
DBR</t>
  </si>
  <si>
    <t>Find above value(s) in left value(s).
Applies a FIND function to find cells where there is a match</t>
  </si>
  <si>
    <t>Cell above and to left of active cell should be populated</t>
  </si>
  <si>
    <t>Ctrl-Shift-G</t>
  </si>
  <si>
    <t>"list" - list of values to look up in a 2D range
"range" - range to look up</t>
  </si>
  <si>
    <t>RS</t>
  </si>
  <si>
    <t>INCLUDED IN "Full Setup Case"
Backs up all sheets in the active workbook</t>
  </si>
  <si>
    <t xml:space="preserve">INCLUDED IN "Full Setup Case"
Creates a sheet for bonus questions in the Case sheet. </t>
  </si>
  <si>
    <t>INCLUDED IN "Full Setup Case"
Creates a sheet for each level in the Case sheet. 
By default this excludes data tables. To add a data table run Create Data Table command below when in a "L#" sheet or when on an "Example#" cell.</t>
  </si>
  <si>
    <t>INCLUDED IN "Full Setup Case"
Creates a case inputs sheet with the inputs for the current case.
By default this loads all columns from column B onwards into an array (excl E:F). 
If run on a cell with non-blank value, this will find headers and return only those that are not standard columns for Points, Answers, etc. Question number will still be included.</t>
  </si>
  <si>
    <t>INCLUDED IN "Full Setup Case"
Rename multi-word sheet names</t>
  </si>
  <si>
    <t>Active cell array range becomes negative of current value</t>
  </si>
  <si>
    <t>LKP</t>
  </si>
  <si>
    <t>Returns a sequence from 1 to the number of rows in the array in the active cell</t>
  </si>
  <si>
    <t>Wraps in a SUBSTITUTE function replacing blanks with 0</t>
  </si>
  <si>
    <t>Wraps in a SUBSTITUTE function replacing blanks with 1</t>
  </si>
  <si>
    <t>Wraps in an ABS function</t>
  </si>
  <si>
    <t>Wraps in a CONCAT function</t>
  </si>
  <si>
    <t>CHAR</t>
  </si>
  <si>
    <t>Wraps in a DROP function to drop the first row</t>
  </si>
  <si>
    <t>Wraps in an IFERROR using a space for errors</t>
  </si>
  <si>
    <t>Wraps in a TAKE function to take the first x columns where x is on the clipboard</t>
  </si>
  <si>
    <t>Wraps in a UNICHAR function</t>
  </si>
  <si>
    <t>Wraps in a UNICODE function</t>
  </si>
  <si>
    <t>Wraps in a TEXTBEFORE using a space and allowing for errors where no spaces exist to return the full input</t>
  </si>
  <si>
    <t>Keep Cell of Array</t>
  </si>
  <si>
    <t>KTC</t>
  </si>
  <si>
    <t>Keeps the selected cell of an array</t>
  </si>
  <si>
    <t>Wraps in a CHOOSEROWS &amp; CHOOSECOLS to pick up the active cell</t>
  </si>
  <si>
    <t>Split Text by Delimiter Above</t>
  </si>
  <si>
    <t>Wrapps the current formula in a TRIM + TEXTSPLIT based on the delimiter in the cell above</t>
  </si>
  <si>
    <t>Above cell contains delimiter</t>
  </si>
  <si>
    <t>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</si>
</sst>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_(* #,##0.00_);_(* \(#,##0.00\);_(* &quot;-&quot;??_);_(@_)"/>
  </numFmts>
  <fonts count="11" x14ac:knownFonts="1">
    <font>
      <sz val="16"/>
      <color theme="1"/>
      <name val="Verdana"/>
      <family val="2"/>
    </font>
    <font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5"/>
      <color theme="3"/>
      <name val="Verdana"/>
      <family val="2"/>
    </font>
    <font>
      <b/>
      <sz val="13"/>
      <color theme="3"/>
      <name val="Verdana"/>
      <family val="2"/>
    </font>
    <font>
      <i/>
      <sz val="16"/>
      <color rgb="FF7F7F7F"/>
      <name val="Verdana"/>
      <family val="2"/>
    </font>
    <font>
      <sz val="16"/>
      <color theme="1"/>
      <name val="Verdana"/>
      <family val="2"/>
    </font>
    <font>
      <sz val="16"/>
      <color rgb="FF0000FF"/>
      <name val="Verdana"/>
      <family val="2"/>
    </font>
    <font>
      <sz val="20"/>
      <color theme="1"/>
      <name val="Aptos"/>
      <family val="2"/>
    </font>
    <font>
      <sz val="8"/>
      <name val="Verdana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34998626667073579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/>
      <top style="thin">
        <color indexed="64"/>
      </top>
      <bottom style="thick">
        <color theme="4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0" fontId="9" fillId="0" borderId="0"/>
    <xf numFmtId="0" fontId="3" fillId="0" borderId="0"/>
  </cellStyleXfs>
  <cellXfs count="26">
    <xf numFmtId="0" fontId="0" fillId="0" borderId="0" xfId="0"/>
    <xf numFmtId="0" fontId="4" fillId="0" borderId="1" xfId="1" applyAlignment="1">
      <alignment horizontal="centerContinuous"/>
    </xf>
    <xf numFmtId="0" fontId="6" fillId="0" borderId="0" xfId="3" applyAlignment="1">
      <alignment horizontal="centerContinuous"/>
    </xf>
    <xf numFmtId="0" fontId="5" fillId="0" borderId="2" xfId="2" applyAlignment="1">
      <alignment horizontal="centerContinuous"/>
    </xf>
    <xf numFmtId="0" fontId="0" fillId="0" borderId="0" xfId="0" quotePrefix="1"/>
    <xf numFmtId="0" fontId="0" fillId="0" borderId="0" xfId="0" applyAlignment="1">
      <alignment wrapText="1"/>
    </xf>
    <xf numFmtId="0" fontId="5" fillId="0" borderId="3" xfId="2" applyBorder="1" applyAlignment="1">
      <alignment horizontal="centerContinuous"/>
    </xf>
    <xf numFmtId="0" fontId="0" fillId="2" borderId="0" xfId="0" applyFill="1"/>
    <xf numFmtId="0" fontId="5" fillId="2" borderId="3" xfId="2" applyFill="1" applyBorder="1" applyAlignment="1">
      <alignment horizontal="centerContinuous"/>
    </xf>
    <xf numFmtId="0" fontId="4" fillId="0" borderId="1" xfId="1" applyAlignment="1">
      <alignment horizontal="centerContinuous" vertical="top"/>
    </xf>
    <xf numFmtId="0" fontId="6" fillId="0" borderId="0" xfId="3" applyAlignment="1">
      <alignment horizontal="centerContinuous" vertical="top"/>
    </xf>
    <xf numFmtId="0" fontId="5" fillId="0" borderId="2" xfId="2" applyAlignment="1">
      <alignment horizontal="centerContinuous" vertical="top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right"/>
    </xf>
    <xf numFmtId="0" fontId="0" fillId="0" borderId="4" xfId="0" applyBorder="1"/>
    <xf numFmtId="0" fontId="8" fillId="3" borderId="4" xfId="0" applyFont="1" applyFill="1" applyBorder="1"/>
    <xf numFmtId="164" fontId="0" fillId="0" borderId="0" xfId="4" applyFont="1"/>
    <xf numFmtId="0" fontId="6" fillId="0" borderId="0" xfId="3"/>
    <xf numFmtId="0" fontId="0" fillId="4" borderId="0" xfId="0" applyFill="1" applyAlignment="1">
      <alignment vertical="top" wrapText="1"/>
    </xf>
    <xf numFmtId="0" fontId="0" fillId="4" borderId="0" xfId="0" applyFill="1" applyAlignment="1">
      <alignment vertical="top"/>
    </xf>
    <xf numFmtId="0" fontId="3" fillId="0" borderId="0" xfId="6"/>
    <xf numFmtId="0" fontId="3" fillId="0" borderId="0" xfId="6" applyAlignment="1">
      <alignment wrapText="1"/>
    </xf>
    <xf numFmtId="0" fontId="2" fillId="0" borderId="0" xfId="6" applyFont="1"/>
    <xf numFmtId="0" fontId="2" fillId="0" borderId="0" xfId="6" applyFont="1" applyAlignment="1">
      <alignment wrapText="1"/>
    </xf>
    <xf numFmtId="0" fontId="1" fillId="0" borderId="0" xfId="6" applyFont="1"/>
  </cellXfs>
  <cellStyles count="7">
    <cellStyle name="Comma" xfId="4" builtinId="3"/>
    <cellStyle name="Explanatory Text" xfId="3" builtinId="53"/>
    <cellStyle name="Heading 1" xfId="1" builtinId="16"/>
    <cellStyle name="Heading 2" xfId="2" builtinId="17"/>
    <cellStyle name="Normal" xfId="0" builtinId="0"/>
    <cellStyle name="Normal 2" xfId="5" xr:uid="{53B8B56D-3D7E-4F7E-B529-7864F5AB8F8C}"/>
    <cellStyle name="Normal 3" xfId="6" xr:uid="{7783C125-C323-4B99-8562-C686E3DE3AD8}"/>
  </cellStyles>
  <dxfs count="17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alignment horizontal="general" vertical="bottom" textRotation="0" wrapText="1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vertical="top" textRotation="0" indent="0" justifyLastLine="0" shrinkToFit="0" readingOrder="0"/>
    </dxf>
    <dxf>
      <alignment horizontal="general" vertical="top" textRotation="0" wrapText="1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</dxfs>
  <tableStyles count="1" defaultTableStyle="TableStyleMedium1" defaultPivotStyle="PivotStyleLight16">
    <tableStyle name="Invisible" pivot="0" table="0" count="0" xr9:uid="{07CA7B3B-BEF1-4752-9AB6-251FF4D39D2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ustomXml" Target="../customXml/item2.xml"/><Relationship Id="rId18" Type="http://schemas.openxmlformats.org/officeDocument/2006/relationships/customXml" Target="../customXml/item7.xml"/><Relationship Id="rId26" Type="http://schemas.openxmlformats.org/officeDocument/2006/relationships/customXml" Target="../customXml/item15.xml"/><Relationship Id="rId21" Type="http://schemas.openxmlformats.org/officeDocument/2006/relationships/customXml" Target="../customXml/item10.xml"/><Relationship Id="rId34" Type="http://schemas.openxmlformats.org/officeDocument/2006/relationships/customXml" Target="../customXml/item2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17" Type="http://schemas.openxmlformats.org/officeDocument/2006/relationships/customXml" Target="../customXml/item6.xml"/><Relationship Id="rId25" Type="http://schemas.openxmlformats.org/officeDocument/2006/relationships/customXml" Target="../customXml/item14.xml"/><Relationship Id="rId33" Type="http://schemas.openxmlformats.org/officeDocument/2006/relationships/customXml" Target="../customXml/item22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5.xml"/><Relationship Id="rId20" Type="http://schemas.openxmlformats.org/officeDocument/2006/relationships/customXml" Target="../customXml/item9.xml"/><Relationship Id="rId29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24" Type="http://schemas.openxmlformats.org/officeDocument/2006/relationships/customXml" Target="../customXml/item13.xml"/><Relationship Id="rId32" Type="http://schemas.openxmlformats.org/officeDocument/2006/relationships/customXml" Target="../customXml/item21.xml"/><Relationship Id="rId37" Type="http://schemas.openxmlformats.org/officeDocument/2006/relationships/customXml" Target="../customXml/item26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23" Type="http://schemas.openxmlformats.org/officeDocument/2006/relationships/customXml" Target="../customXml/item12.xml"/><Relationship Id="rId28" Type="http://schemas.openxmlformats.org/officeDocument/2006/relationships/customXml" Target="../customXml/item17.xml"/><Relationship Id="rId36" Type="http://schemas.openxmlformats.org/officeDocument/2006/relationships/customXml" Target="../customXml/item25.xml"/><Relationship Id="rId10" Type="http://schemas.openxmlformats.org/officeDocument/2006/relationships/sheetMetadata" Target="metadata.xml"/><Relationship Id="rId19" Type="http://schemas.openxmlformats.org/officeDocument/2006/relationships/customXml" Target="../customXml/item8.xml"/><Relationship Id="rId31" Type="http://schemas.openxmlformats.org/officeDocument/2006/relationships/customXml" Target="../customXml/item20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Relationship Id="rId22" Type="http://schemas.openxmlformats.org/officeDocument/2006/relationships/customXml" Target="../customXml/item11.xml"/><Relationship Id="rId27" Type="http://schemas.openxmlformats.org/officeDocument/2006/relationships/customXml" Target="../customXml/item16.xml"/><Relationship Id="rId30" Type="http://schemas.openxmlformats.org/officeDocument/2006/relationships/customXml" Target="../customXml/item19.xml"/><Relationship Id="rId35" Type="http://schemas.openxmlformats.org/officeDocument/2006/relationships/customXml" Target="../customXml/item24.xml"/><Relationship Id="rId8" Type="http://schemas.openxmlformats.org/officeDocument/2006/relationships/styles" Target="styles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1590675</xdr:colOff>
      <xdr:row>5</xdr:row>
      <xdr:rowOff>152400</xdr:rowOff>
    </xdr:from>
    <xdr:to>
      <xdr:col>3</xdr:col>
      <xdr:colOff>2505075</xdr:colOff>
      <xdr:row>9</xdr:row>
      <xdr:rowOff>66675</xdr:rowOff>
    </xdr:to>
    <xdr:pic macro="[0]!ImportLambdasFrom">
      <xdr:nvPicPr>
        <xdr:cNvPr id="3" name="Graphic 2" descr="Folder Search with solid fill">
          <a:extLst>
            <a:ext uri="{FF2B5EF4-FFF2-40B4-BE49-F238E27FC236}">
              <a16:creationId xmlns:a16="http://schemas.microsoft.com/office/drawing/2014/main" id="{A149C987-E87F-44C3-EFAB-13184C5E7E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219825" y="1409700"/>
          <a:ext cx="914400" cy="9144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E802B9B-08EB-4C44-ADCD-CE545C09BA4B}" name="CompBotCommands" displayName="CompBotCommands" ref="B8:F45" totalsRowShown="0" headerRowDxfId="16" dataDxfId="15">
  <autoFilter ref="B8:F45" xr:uid="{0094C780-BB06-4D44-A3B5-11A203AC5962}"/>
  <sortState xmlns:xlrd2="http://schemas.microsoft.com/office/spreadsheetml/2017/richdata2" ref="B9:F45">
    <sortCondition ref="B8:B45"/>
  </sortState>
  <tableColumns count="5">
    <tableColumn id="1" xr3:uid="{E0991380-7C68-4019-8397-222B470C1582}" name="Name" dataDxfId="14"/>
    <tableColumn id="2" xr3:uid="{1D428C75-77DF-45DA-912B-098A1ABAC5AD}" name="Creator" dataDxfId="13"/>
    <tableColumn id="3" xr3:uid="{A6B3CCED-8990-4FBA-ACFB-9A1799381525}" name="Description" dataDxfId="12"/>
    <tableColumn id="4" xr3:uid="{476E0F6A-DE40-44D5-A6AE-77D5D1C4F9C6}" name="Parameters" dataDxfId="11"/>
    <tableColumn id="5" xr3:uid="{1906B3F5-C5BE-47F5-9821-1B5225407536}" name="Launch Code" dataDxfId="1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558CB64-4555-4E76-9388-CC0298969050}" name="Lambdas" displayName="Lambdas" ref="B8:F38" totalsRowShown="0" headerRowDxfId="9" dataDxfId="8">
  <autoFilter ref="B8:F38" xr:uid="{A558CB64-4555-4E76-9388-CC0298969050}"/>
  <tableColumns count="5">
    <tableColumn id="1" xr3:uid="{C7B661F8-E847-4A13-A5CD-4111AD54A043}" name="Name" dataDxfId="7"/>
    <tableColumn id="2" xr3:uid="{402102D7-5F04-4A93-A427-CDD8E9743522}" name="Creator" dataDxfId="6"/>
    <tableColumn id="3" xr3:uid="{29C5C72F-191A-47D7-A0A3-65C070A08FBB}" name="Description" dataDxfId="5"/>
    <tableColumn id="4" xr3:uid="{2F739A7B-0273-48EB-80E8-8D0D97BADC77}" name="Parameters" dataDxfId="4"/>
    <tableColumn id="5" xr3:uid="{AA688AE3-B095-461C-B6E9-13454B67819F}" name="Array friendly" dataDxfId="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62841AF-C078-46E5-98E5-0DBC8B538EEB}" name="ImportLambdaCommand" displayName="ImportLambdaCommand" ref="B13:E14" totalsRowShown="0">
  <autoFilter ref="B13:E14" xr:uid="{062841AF-C078-46E5-98E5-0DBC8B538EEB}"/>
  <tableColumns count="4">
    <tableColumn id="1" xr3:uid="{B7A8EBE5-4AA7-4017-9E01-3C21991FBCE0}" name="Name"/>
    <tableColumn id="2" xr3:uid="{1D3AFEAB-85C7-4BA0-A61C-6A270805FD0C}" name="Creator"/>
    <tableColumn id="3" xr3:uid="{EE4BFA1A-37AC-43B0-A9CE-62FBC1007399}" name="Description" dataDxfId="2"/>
    <tableColumn id="4" xr3:uid="{8D1BA30C-9144-4469-AEE1-00A653AFC79F}" name="Parameters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271F562-C497-4C97-8A83-2DC396F656C0}" name="CompBot_Speedrun_Steps" displayName="CompBot_Speedrun_Steps" ref="B2:G61" totalsRowShown="0">
  <autoFilter ref="B2:G61" xr:uid="{34AF53D5-485D-4EE0-83A6-8753432441C8}"/>
  <tableColumns count="6">
    <tableColumn id="1" xr3:uid="{72541FCB-FBC6-4FEB-900C-B4DFF7966C4B}" name="Case"/>
    <tableColumn id="2" xr3:uid="{10CA4B4C-9ED5-4889-AD6A-B8EF111A530D}" name="Level"/>
    <tableColumn id="3" xr3:uid="{BB891B21-5990-4D57-BF36-015289B7A725}" name="Type"/>
    <tableColumn id="4" xr3:uid="{53C4AD17-FA78-4213-851A-E3B3A1BC04CB}" name="Name"/>
    <tableColumn id="5" xr3:uid="{5C175970-9B61-41D2-A9D7-BFF5C506D483}" name="Notes"/>
    <tableColumn id="6" xr3:uid="{C3BB5949-9D3D-4F00-B5BE-B46153C18FD8}" name="Bot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5" row="11">
    <wetp:webextensionref xmlns:r="http://schemas.openxmlformats.org/officeDocument/2006/relationships" r:id="rId1"/>
  </wetp:taskpane>
  <wetp:taskpane dockstate="right" visibility="0" width="525" row="12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D2C48E40-3AEE-49B9-942C-1F6046BC2B99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DB75D044-D14C-46B9-B18F-FB21AE37D1B1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331CFE6-4B1A-46AA-B887-DC7B6265EA7D}">
  <we:reference id="wa200001584" version="2.8.1.5" store="en-US" storeType="OMEX"/>
  <we:alternateReferences>
    <we:reference id="WA200001584" version="2.8.1.5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34E3B-00EF-47A9-90C0-A9D4FFD6B695}">
  <sheetPr codeName="Sheet2"/>
  <dimension ref="B2:J45"/>
  <sheetViews>
    <sheetView showGridLines="0" tabSelected="1" zoomScale="55" zoomScaleNormal="55" workbookViewId="0">
      <pane xSplit="3" ySplit="8" topLeftCell="D9" activePane="bottomRight" state="frozen"/>
      <selection pane="topRight" activeCell="D1" sqref="D1"/>
      <selection pane="bottomLeft" activeCell="A19" sqref="A19"/>
      <selection pane="bottomRight" activeCell="C9" sqref="C9"/>
    </sheetView>
  </sheetViews>
  <sheetFormatPr defaultRowHeight="19.5" x14ac:dyDescent="0.35"/>
  <cols>
    <col min="1" max="1" width="2.1484375" customWidth="1"/>
    <col min="2" max="2" width="30.546875" style="12" bestFit="1" customWidth="1"/>
    <col min="3" max="3" width="17.84765625" style="12" customWidth="1"/>
    <col min="4" max="4" width="55.3984375" style="12" bestFit="1" customWidth="1"/>
    <col min="5" max="5" width="30.8984375" style="12" customWidth="1"/>
    <col min="6" max="6" width="15" style="12" bestFit="1" customWidth="1"/>
    <col min="7" max="10" width="1.75" customWidth="1"/>
  </cols>
  <sheetData>
    <row r="2" spans="2:10" ht="20" thickBot="1" x14ac:dyDescent="0.4">
      <c r="B2" s="9" t="s">
        <v>0</v>
      </c>
      <c r="C2" s="9"/>
      <c r="D2" s="9"/>
      <c r="E2" s="9"/>
      <c r="F2" s="9"/>
      <c r="G2" s="1"/>
      <c r="H2" s="1"/>
      <c r="I2" s="1"/>
      <c r="J2" s="1"/>
    </row>
    <row r="3" spans="2:10" ht="20" thickTop="1" x14ac:dyDescent="0.35">
      <c r="B3" s="10" t="s">
        <v>1</v>
      </c>
      <c r="C3" s="10"/>
      <c r="D3" s="10"/>
      <c r="E3" s="10"/>
      <c r="F3" s="10"/>
      <c r="G3" s="2"/>
      <c r="H3" s="2"/>
      <c r="I3" s="2"/>
      <c r="J3" s="2"/>
    </row>
    <row r="5" spans="2:10" ht="20" thickBot="1" x14ac:dyDescent="0.4">
      <c r="B5" s="11" t="s">
        <v>2</v>
      </c>
      <c r="C5" s="11"/>
      <c r="D5" s="11"/>
      <c r="E5" s="11"/>
      <c r="F5" s="11"/>
      <c r="G5" s="3"/>
      <c r="H5" s="3"/>
      <c r="I5" s="3"/>
      <c r="J5" s="3"/>
    </row>
    <row r="6" spans="2:10" ht="20" thickTop="1" x14ac:dyDescent="0.35">
      <c r="B6" s="10" t="s">
        <v>68</v>
      </c>
      <c r="C6" s="10"/>
      <c r="D6" s="10"/>
      <c r="E6" s="10"/>
      <c r="F6" s="10"/>
      <c r="G6" s="2"/>
      <c r="H6" s="2"/>
      <c r="I6" s="2"/>
      <c r="J6" s="2"/>
    </row>
    <row r="7" spans="2:10" x14ac:dyDescent="0.35">
      <c r="B7" s="12">
        <f>ROWS(CompBotCommands[])</f>
        <v>37</v>
      </c>
    </row>
    <row r="8" spans="2:10" x14ac:dyDescent="0.35">
      <c r="B8" s="12" t="s">
        <v>4</v>
      </c>
      <c r="C8" s="12" t="s">
        <v>6</v>
      </c>
      <c r="D8" s="12" t="s">
        <v>5</v>
      </c>
      <c r="E8" s="12" t="s">
        <v>9</v>
      </c>
      <c r="F8" s="12" t="s">
        <v>24</v>
      </c>
    </row>
    <row r="9" spans="2:10" x14ac:dyDescent="0.35">
      <c r="B9" s="13" t="s">
        <v>185</v>
      </c>
      <c r="C9" s="12" t="s">
        <v>15</v>
      </c>
      <c r="D9" s="13" t="s">
        <v>253</v>
      </c>
      <c r="E9" s="13" t="s">
        <v>281</v>
      </c>
      <c r="F9" s="12" t="s">
        <v>280</v>
      </c>
    </row>
    <row r="10" spans="2:10" ht="39" x14ac:dyDescent="0.35">
      <c r="B10" s="19" t="s">
        <v>35</v>
      </c>
      <c r="C10" s="20" t="s">
        <v>15</v>
      </c>
      <c r="D10" s="19" t="s">
        <v>290</v>
      </c>
      <c r="E10" s="19" t="s">
        <v>22</v>
      </c>
      <c r="F10" s="20" t="s">
        <v>97</v>
      </c>
    </row>
    <row r="11" spans="2:10" x14ac:dyDescent="0.35">
      <c r="B11" s="13" t="s">
        <v>110</v>
      </c>
      <c r="C11" s="12" t="s">
        <v>15</v>
      </c>
      <c r="D11" s="13" t="s">
        <v>111</v>
      </c>
      <c r="E11" s="13" t="s">
        <v>22</v>
      </c>
      <c r="F11" s="13" t="s">
        <v>112</v>
      </c>
    </row>
    <row r="12" spans="2:10" ht="39" x14ac:dyDescent="0.35">
      <c r="B12" s="13" t="s">
        <v>14</v>
      </c>
      <c r="C12" s="12" t="s">
        <v>15</v>
      </c>
      <c r="D12" s="13" t="s">
        <v>16</v>
      </c>
      <c r="E12" s="13" t="s">
        <v>23</v>
      </c>
      <c r="F12" s="12" t="s">
        <v>26</v>
      </c>
    </row>
    <row r="13" spans="2:10" ht="39" x14ac:dyDescent="0.35">
      <c r="B13" s="19" t="s">
        <v>95</v>
      </c>
      <c r="C13" s="20" t="s">
        <v>15</v>
      </c>
      <c r="D13" s="19" t="s">
        <v>291</v>
      </c>
      <c r="E13" s="19" t="s">
        <v>22</v>
      </c>
      <c r="F13" s="19" t="s">
        <v>96</v>
      </c>
    </row>
    <row r="14" spans="2:10" ht="136.5" x14ac:dyDescent="0.35">
      <c r="B14" s="19" t="s">
        <v>254</v>
      </c>
      <c r="C14" s="20" t="s">
        <v>15</v>
      </c>
      <c r="D14" s="19" t="s">
        <v>293</v>
      </c>
      <c r="E14" s="19" t="s">
        <v>22</v>
      </c>
      <c r="F14" s="19" t="s">
        <v>282</v>
      </c>
    </row>
    <row r="15" spans="2:10" ht="58.5" x14ac:dyDescent="0.35">
      <c r="B15" s="13" t="s">
        <v>69</v>
      </c>
      <c r="C15" s="12" t="s">
        <v>15</v>
      </c>
      <c r="D15" s="13" t="s">
        <v>94</v>
      </c>
      <c r="E15" s="13" t="s">
        <v>70</v>
      </c>
      <c r="F15" s="13" t="s">
        <v>71</v>
      </c>
    </row>
    <row r="16" spans="2:10" ht="97.5" x14ac:dyDescent="0.35">
      <c r="B16" s="19" t="s">
        <v>36</v>
      </c>
      <c r="C16" s="20" t="s">
        <v>15</v>
      </c>
      <c r="D16" s="19" t="s">
        <v>292</v>
      </c>
      <c r="E16" s="19" t="s">
        <v>22</v>
      </c>
      <c r="F16" s="19" t="s">
        <v>47</v>
      </c>
    </row>
    <row r="17" spans="2:6" ht="58.5" x14ac:dyDescent="0.35">
      <c r="B17" s="13" t="s">
        <v>48</v>
      </c>
      <c r="C17" s="12" t="s">
        <v>15</v>
      </c>
      <c r="D17" s="13" t="s">
        <v>49</v>
      </c>
      <c r="E17" s="13" t="s">
        <v>50</v>
      </c>
      <c r="F17" s="12" t="s">
        <v>51</v>
      </c>
    </row>
    <row r="18" spans="2:6" ht="52.5" customHeight="1" x14ac:dyDescent="0.35">
      <c r="B18" s="12" t="s">
        <v>187</v>
      </c>
      <c r="C18" s="12" t="s">
        <v>15</v>
      </c>
      <c r="D18" s="13" t="s">
        <v>230</v>
      </c>
      <c r="E18" s="13" t="s">
        <v>283</v>
      </c>
      <c r="F18" s="13" t="s">
        <v>284</v>
      </c>
    </row>
    <row r="19" spans="2:6" ht="52.5" customHeight="1" x14ac:dyDescent="0.35">
      <c r="B19" s="12" t="s">
        <v>154</v>
      </c>
      <c r="C19" s="12" t="s">
        <v>15</v>
      </c>
      <c r="D19" s="13" t="s">
        <v>285</v>
      </c>
      <c r="E19" s="13" t="s">
        <v>286</v>
      </c>
      <c r="F19" s="12" t="s">
        <v>153</v>
      </c>
    </row>
    <row r="20" spans="2:6" ht="117" x14ac:dyDescent="0.35">
      <c r="B20" s="13" t="s">
        <v>175</v>
      </c>
      <c r="C20" s="12" t="s">
        <v>15</v>
      </c>
      <c r="D20" s="13" t="s">
        <v>113</v>
      </c>
      <c r="E20" s="13" t="s">
        <v>22</v>
      </c>
      <c r="F20" s="12" t="s">
        <v>287</v>
      </c>
    </row>
    <row r="21" spans="2:6" x14ac:dyDescent="0.35">
      <c r="B21" s="13" t="s">
        <v>255</v>
      </c>
      <c r="C21" s="12" t="s">
        <v>83</v>
      </c>
      <c r="D21" s="13" t="s">
        <v>84</v>
      </c>
      <c r="E21" s="13" t="s">
        <v>22</v>
      </c>
      <c r="F21" s="12" t="s">
        <v>85</v>
      </c>
    </row>
    <row r="22" spans="2:6" ht="39" x14ac:dyDescent="0.35">
      <c r="B22" s="13" t="s">
        <v>252</v>
      </c>
      <c r="C22" s="12" t="s">
        <v>15</v>
      </c>
      <c r="D22" s="13" t="s">
        <v>34</v>
      </c>
      <c r="E22" s="13" t="s">
        <v>22</v>
      </c>
      <c r="F22" s="12" t="s">
        <v>33</v>
      </c>
    </row>
    <row r="23" spans="2:6" ht="58.5" x14ac:dyDescent="0.35">
      <c r="B23" s="13" t="s">
        <v>20</v>
      </c>
      <c r="C23" s="12" t="s">
        <v>15</v>
      </c>
      <c r="D23" s="13" t="s">
        <v>27</v>
      </c>
      <c r="E23" s="13" t="s">
        <v>22</v>
      </c>
      <c r="F23" s="12" t="s">
        <v>25</v>
      </c>
    </row>
    <row r="24" spans="2:6" ht="58.5" x14ac:dyDescent="0.35">
      <c r="B24" s="13" t="s">
        <v>309</v>
      </c>
      <c r="C24" s="12" t="s">
        <v>15</v>
      </c>
      <c r="D24" s="13" t="s">
        <v>311</v>
      </c>
      <c r="E24" s="13" t="s">
        <v>312</v>
      </c>
      <c r="F24" s="12" t="s">
        <v>310</v>
      </c>
    </row>
    <row r="25" spans="2:6" ht="58.5" x14ac:dyDescent="0.35">
      <c r="B25" s="12" t="s">
        <v>256</v>
      </c>
      <c r="C25" s="12" t="s">
        <v>15</v>
      </c>
      <c r="D25" s="13" t="s">
        <v>257</v>
      </c>
      <c r="E25" s="13" t="s">
        <v>288</v>
      </c>
      <c r="F25" s="12" t="s">
        <v>296</v>
      </c>
    </row>
    <row r="26" spans="2:6" ht="39" x14ac:dyDescent="0.35">
      <c r="B26" s="13" t="s">
        <v>80</v>
      </c>
      <c r="C26" s="12" t="s">
        <v>15</v>
      </c>
      <c r="D26" s="13" t="s">
        <v>82</v>
      </c>
      <c r="E26" s="13" t="s">
        <v>22</v>
      </c>
      <c r="F26" s="12" t="s">
        <v>78</v>
      </c>
    </row>
    <row r="27" spans="2:6" ht="58.5" x14ac:dyDescent="0.35">
      <c r="B27" s="13" t="s">
        <v>258</v>
      </c>
      <c r="C27" s="12" t="s">
        <v>15</v>
      </c>
      <c r="D27" s="13" t="s">
        <v>79</v>
      </c>
      <c r="E27" s="13" t="s">
        <v>101</v>
      </c>
      <c r="F27" s="12" t="s">
        <v>81</v>
      </c>
    </row>
    <row r="28" spans="2:6" ht="39" x14ac:dyDescent="0.35">
      <c r="B28" s="12" t="s">
        <v>189</v>
      </c>
      <c r="C28" s="12" t="s">
        <v>15</v>
      </c>
      <c r="D28" s="13" t="s">
        <v>259</v>
      </c>
      <c r="E28" s="13" t="s">
        <v>295</v>
      </c>
      <c r="F28" s="12" t="s">
        <v>190</v>
      </c>
    </row>
    <row r="29" spans="2:6" ht="39" x14ac:dyDescent="0.35">
      <c r="B29" s="20" t="s">
        <v>260</v>
      </c>
      <c r="C29" s="20" t="s">
        <v>15</v>
      </c>
      <c r="D29" s="19" t="s">
        <v>294</v>
      </c>
      <c r="E29" s="19" t="s">
        <v>22</v>
      </c>
      <c r="F29" s="19" t="s">
        <v>289</v>
      </c>
    </row>
    <row r="30" spans="2:6" ht="78" x14ac:dyDescent="0.35">
      <c r="B30" s="13" t="s">
        <v>86</v>
      </c>
      <c r="C30" s="12" t="s">
        <v>83</v>
      </c>
      <c r="D30" s="13" t="s">
        <v>89</v>
      </c>
      <c r="E30" s="13" t="s">
        <v>88</v>
      </c>
      <c r="F30" s="12" t="s">
        <v>87</v>
      </c>
    </row>
    <row r="31" spans="2:6" ht="39" x14ac:dyDescent="0.35">
      <c r="B31" s="13" t="s">
        <v>98</v>
      </c>
      <c r="C31" s="12" t="s">
        <v>15</v>
      </c>
      <c r="D31" s="13" t="s">
        <v>102</v>
      </c>
      <c r="E31" s="13" t="s">
        <v>99</v>
      </c>
      <c r="F31" s="12" t="s">
        <v>100</v>
      </c>
    </row>
    <row r="32" spans="2:6" ht="58.5" x14ac:dyDescent="0.35">
      <c r="B32" s="13" t="s">
        <v>149</v>
      </c>
      <c r="C32" s="12" t="s">
        <v>15</v>
      </c>
      <c r="D32" s="13" t="s">
        <v>261</v>
      </c>
      <c r="E32" s="13" t="s">
        <v>297</v>
      </c>
      <c r="F32" s="12" t="s">
        <v>148</v>
      </c>
    </row>
    <row r="33" spans="2:6" ht="39" x14ac:dyDescent="0.35">
      <c r="B33" s="13" t="s">
        <v>313</v>
      </c>
      <c r="C33" s="12" t="s">
        <v>15</v>
      </c>
      <c r="D33" s="13" t="s">
        <v>314</v>
      </c>
      <c r="E33" s="13" t="s">
        <v>315</v>
      </c>
      <c r="F33" s="12" t="s">
        <v>316</v>
      </c>
    </row>
    <row r="34" spans="2:6" ht="39" x14ac:dyDescent="0.35">
      <c r="B34" s="13" t="s">
        <v>163</v>
      </c>
      <c r="C34" s="12" t="s">
        <v>15</v>
      </c>
      <c r="D34" s="13" t="s">
        <v>262</v>
      </c>
      <c r="E34" s="13" t="s">
        <v>298</v>
      </c>
      <c r="F34" s="12" t="s">
        <v>162</v>
      </c>
    </row>
    <row r="35" spans="2:6" ht="39" x14ac:dyDescent="0.35">
      <c r="B35" s="13" t="s">
        <v>161</v>
      </c>
      <c r="C35" s="12" t="s">
        <v>15</v>
      </c>
      <c r="D35" s="13" t="s">
        <v>263</v>
      </c>
      <c r="E35" s="13" t="s">
        <v>299</v>
      </c>
      <c r="F35" s="12" t="s">
        <v>160</v>
      </c>
    </row>
    <row r="36" spans="2:6" ht="39" x14ac:dyDescent="0.35">
      <c r="B36" s="13" t="s">
        <v>264</v>
      </c>
      <c r="C36" s="12" t="s">
        <v>15</v>
      </c>
      <c r="D36" s="13" t="s">
        <v>92</v>
      </c>
      <c r="E36" s="13"/>
      <c r="F36" s="12" t="s">
        <v>90</v>
      </c>
    </row>
    <row r="37" spans="2:6" ht="58.5" x14ac:dyDescent="0.35">
      <c r="B37" s="13" t="s">
        <v>265</v>
      </c>
      <c r="C37" s="12" t="s">
        <v>15</v>
      </c>
      <c r="D37" s="13" t="s">
        <v>93</v>
      </c>
      <c r="E37" s="13"/>
      <c r="F37" s="12" t="s">
        <v>91</v>
      </c>
    </row>
    <row r="38" spans="2:6" x14ac:dyDescent="0.35">
      <c r="B38" s="13" t="s">
        <v>266</v>
      </c>
      <c r="C38" s="12" t="s">
        <v>15</v>
      </c>
      <c r="D38" s="13" t="s">
        <v>267</v>
      </c>
      <c r="E38" s="13" t="s">
        <v>300</v>
      </c>
      <c r="F38" s="12" t="s">
        <v>268</v>
      </c>
    </row>
    <row r="39" spans="2:6" x14ac:dyDescent="0.35">
      <c r="B39" s="13" t="s">
        <v>169</v>
      </c>
      <c r="C39" s="12" t="s">
        <v>15</v>
      </c>
      <c r="D39" s="13" t="s">
        <v>269</v>
      </c>
      <c r="E39" s="13" t="s">
        <v>301</v>
      </c>
      <c r="F39" s="12" t="s">
        <v>168</v>
      </c>
    </row>
    <row r="40" spans="2:6" ht="39" x14ac:dyDescent="0.35">
      <c r="B40" s="13" t="s">
        <v>167</v>
      </c>
      <c r="C40" s="12" t="s">
        <v>15</v>
      </c>
      <c r="D40" s="13" t="s">
        <v>270</v>
      </c>
      <c r="E40" s="13" t="s">
        <v>303</v>
      </c>
      <c r="F40" s="12" t="s">
        <v>166</v>
      </c>
    </row>
    <row r="41" spans="2:6" ht="39" x14ac:dyDescent="0.35">
      <c r="B41" s="13" t="s">
        <v>271</v>
      </c>
      <c r="C41" s="12" t="s">
        <v>15</v>
      </c>
      <c r="D41" s="13" t="s">
        <v>272</v>
      </c>
      <c r="E41" s="13" t="s">
        <v>304</v>
      </c>
      <c r="F41" s="12" t="s">
        <v>195</v>
      </c>
    </row>
    <row r="42" spans="2:6" ht="58.5" x14ac:dyDescent="0.35">
      <c r="B42" s="13" t="s">
        <v>273</v>
      </c>
      <c r="C42" s="12" t="s">
        <v>15</v>
      </c>
      <c r="D42" s="13" t="s">
        <v>274</v>
      </c>
      <c r="E42" s="13" t="s">
        <v>305</v>
      </c>
      <c r="F42" s="12" t="s">
        <v>275</v>
      </c>
    </row>
    <row r="43" spans="2:6" x14ac:dyDescent="0.35">
      <c r="B43" s="13" t="s">
        <v>276</v>
      </c>
      <c r="C43" s="12" t="s">
        <v>15</v>
      </c>
      <c r="D43" s="13" t="s">
        <v>277</v>
      </c>
      <c r="E43" s="13" t="s">
        <v>306</v>
      </c>
      <c r="F43" s="12" t="s">
        <v>302</v>
      </c>
    </row>
    <row r="44" spans="2:6" x14ac:dyDescent="0.35">
      <c r="B44" s="13" t="s">
        <v>181</v>
      </c>
      <c r="C44" s="12" t="s">
        <v>15</v>
      </c>
      <c r="D44" s="13" t="s">
        <v>278</v>
      </c>
      <c r="E44" s="13" t="s">
        <v>307</v>
      </c>
      <c r="F44" s="12" t="s">
        <v>182</v>
      </c>
    </row>
    <row r="45" spans="2:6" ht="78" x14ac:dyDescent="0.35">
      <c r="B45" s="13" t="s">
        <v>173</v>
      </c>
      <c r="C45" s="12" t="s">
        <v>15</v>
      </c>
      <c r="D45" s="13" t="s">
        <v>279</v>
      </c>
      <c r="E45" s="13" t="s">
        <v>308</v>
      </c>
      <c r="F45" s="12" t="s">
        <v>172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D3A34-71C7-4DC2-9014-0F23075467A6}">
  <sheetPr codeName="Sheet3"/>
  <dimension ref="B5:M13"/>
  <sheetViews>
    <sheetView showGridLines="0" workbookViewId="0">
      <pane ySplit="5" topLeftCell="A6" activePane="bottomLeft" state="frozenSplit"/>
      <selection pane="bottomLeft" activeCell="A6" sqref="A6"/>
    </sheetView>
  </sheetViews>
  <sheetFormatPr defaultRowHeight="19.5" x14ac:dyDescent="0.35"/>
  <cols>
    <col min="1" max="1" width="1.69921875" customWidth="1"/>
    <col min="2" max="2" width="20" bestFit="1" customWidth="1"/>
    <col min="3" max="3" width="11.1484375" bestFit="1" customWidth="1"/>
    <col min="4" max="4" width="3.046875" customWidth="1"/>
    <col min="5" max="5" width="14.046875" bestFit="1" customWidth="1"/>
    <col min="6" max="6" width="11.1484375" bestFit="1" customWidth="1"/>
    <col min="7" max="7" width="1.44921875" customWidth="1"/>
    <col min="8" max="8" width="10" customWidth="1"/>
    <col min="9" max="9" width="10.3984375" bestFit="1" customWidth="1"/>
    <col min="10" max="10" width="18.44921875" bestFit="1" customWidth="1"/>
  </cols>
  <sheetData>
    <row r="5" spans="2:13" ht="20" thickBot="1" x14ac:dyDescent="0.4">
      <c r="B5" s="1" t="s">
        <v>52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2:13" ht="20" thickTop="1" x14ac:dyDescent="0.35">
      <c r="B6" s="2" t="s">
        <v>59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</row>
    <row r="8" spans="2:13" x14ac:dyDescent="0.35">
      <c r="E8" t="s">
        <v>66</v>
      </c>
      <c r="F8" t="s">
        <v>63</v>
      </c>
      <c r="H8" t="s">
        <v>64</v>
      </c>
    </row>
    <row r="9" spans="2:13" x14ac:dyDescent="0.35">
      <c r="B9" s="14" t="s">
        <v>53</v>
      </c>
      <c r="C9" s="16" t="s">
        <v>57</v>
      </c>
      <c r="E9" s="15" t="s">
        <v>57</v>
      </c>
      <c r="F9" s="15" t="s">
        <v>58</v>
      </c>
      <c r="H9" s="17">
        <v>1000.23</v>
      </c>
    </row>
    <row r="10" spans="2:13" x14ac:dyDescent="0.35">
      <c r="B10" s="14" t="s">
        <v>54</v>
      </c>
      <c r="C10" s="16" t="s">
        <v>58</v>
      </c>
      <c r="E10" s="15" t="s">
        <v>58</v>
      </c>
      <c r="F10" s="15" t="s">
        <v>31</v>
      </c>
      <c r="H10" s="17">
        <v>1000.23</v>
      </c>
    </row>
    <row r="11" spans="2:13" x14ac:dyDescent="0.35">
      <c r="B11" s="14" t="s">
        <v>56</v>
      </c>
      <c r="C11" s="16" t="s">
        <v>58</v>
      </c>
      <c r="E11" s="15" t="s">
        <v>58</v>
      </c>
      <c r="F11" s="15" t="s">
        <v>60</v>
      </c>
      <c r="H11" t="str">
        <f>_xlfn.CONCAT(D9,E9,F9)</f>
        <v>.,</v>
      </c>
      <c r="I11" t="str">
        <f ca="1">_xlfn.FORMULATEXT(H11)</f>
        <v>=CONCAT(D9,E9,F9)</v>
      </c>
    </row>
    <row r="12" spans="2:13" x14ac:dyDescent="0.35">
      <c r="B12" s="14" t="s">
        <v>55</v>
      </c>
      <c r="C12" s="16" t="b">
        <v>1</v>
      </c>
      <c r="E12" s="15" t="b">
        <v>1</v>
      </c>
      <c r="F12" s="15" t="b">
        <v>0</v>
      </c>
    </row>
    <row r="13" spans="2:13" x14ac:dyDescent="0.35">
      <c r="B13" s="14" t="s">
        <v>61</v>
      </c>
      <c r="C13" s="16" t="s">
        <v>62</v>
      </c>
      <c r="E13" s="15" t="s">
        <v>62</v>
      </c>
      <c r="F13" s="15" t="s">
        <v>63</v>
      </c>
      <c r="H13" s="18" t="s">
        <v>65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2C283-8BFF-48F4-994B-00D1D8B34BBC}">
  <sheetPr codeName="Sheet1"/>
  <dimension ref="B2:J38"/>
  <sheetViews>
    <sheetView showGridLines="0" zoomScale="55" zoomScaleNormal="55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RowHeight="19.5" x14ac:dyDescent="0.35"/>
  <cols>
    <col min="1" max="1" width="2.1484375" customWidth="1"/>
    <col min="2" max="2" width="30.546875" style="12" bestFit="1" customWidth="1"/>
    <col min="3" max="3" width="17.84765625" style="12" customWidth="1"/>
    <col min="4" max="4" width="55.3984375" style="12" bestFit="1" customWidth="1"/>
    <col min="5" max="5" width="35.25" style="12" bestFit="1" customWidth="1"/>
    <col min="6" max="6" width="15" style="12" bestFit="1" customWidth="1"/>
    <col min="7" max="10" width="1.75" customWidth="1"/>
  </cols>
  <sheetData>
    <row r="2" spans="2:10" ht="20" thickBot="1" x14ac:dyDescent="0.4">
      <c r="B2" s="9" t="s">
        <v>0</v>
      </c>
      <c r="C2" s="9"/>
      <c r="D2" s="9"/>
      <c r="E2" s="9"/>
      <c r="F2" s="9"/>
      <c r="G2" s="1"/>
      <c r="H2" s="1"/>
      <c r="I2" s="1"/>
      <c r="J2" s="1"/>
    </row>
    <row r="3" spans="2:10" ht="20" thickTop="1" x14ac:dyDescent="0.35">
      <c r="B3" s="10" t="s">
        <v>1</v>
      </c>
      <c r="C3" s="10"/>
      <c r="D3" s="10"/>
      <c r="E3" s="10"/>
      <c r="F3" s="10"/>
      <c r="G3" s="2"/>
      <c r="H3" s="2"/>
      <c r="I3" s="2"/>
      <c r="J3" s="2"/>
    </row>
    <row r="5" spans="2:10" ht="20" thickBot="1" x14ac:dyDescent="0.4">
      <c r="B5" s="11" t="s">
        <v>3</v>
      </c>
      <c r="C5" s="11"/>
      <c r="D5" s="11"/>
      <c r="E5" s="11"/>
      <c r="F5" s="11"/>
      <c r="G5" s="3"/>
      <c r="H5" s="3"/>
      <c r="I5" s="3"/>
      <c r="J5" s="3"/>
    </row>
    <row r="6" spans="2:10" ht="20" thickTop="1" x14ac:dyDescent="0.35">
      <c r="B6" s="10" t="s">
        <v>67</v>
      </c>
      <c r="C6" s="10"/>
      <c r="D6" s="10"/>
      <c r="E6" s="10"/>
      <c r="F6" s="10"/>
      <c r="G6" s="2"/>
      <c r="H6" s="2"/>
      <c r="I6" s="2"/>
      <c r="J6" s="2"/>
    </row>
    <row r="8" spans="2:10" x14ac:dyDescent="0.35">
      <c r="B8" s="12" t="s">
        <v>4</v>
      </c>
      <c r="C8" s="12" t="s">
        <v>6</v>
      </c>
      <c r="D8" s="12" t="s">
        <v>5</v>
      </c>
      <c r="E8" s="12" t="s">
        <v>9</v>
      </c>
      <c r="F8" s="12" t="s">
        <v>10</v>
      </c>
    </row>
    <row r="9" spans="2:10" x14ac:dyDescent="0.35">
      <c r="B9" s="12" t="s">
        <v>105</v>
      </c>
      <c r="C9" s="12" t="s">
        <v>7</v>
      </c>
      <c r="D9" s="12" t="s">
        <v>8</v>
      </c>
      <c r="E9" s="12" t="s">
        <v>12</v>
      </c>
      <c r="F9" s="12" t="s">
        <v>11</v>
      </c>
    </row>
    <row r="10" spans="2:10" x14ac:dyDescent="0.35">
      <c r="B10" s="12" t="s">
        <v>212</v>
      </c>
      <c r="C10" s="12" t="s">
        <v>7</v>
      </c>
      <c r="D10" s="12" t="s">
        <v>213</v>
      </c>
      <c r="E10" s="12" t="s">
        <v>12</v>
      </c>
      <c r="F10" s="12" t="s">
        <v>11</v>
      </c>
    </row>
    <row r="11" spans="2:10" x14ac:dyDescent="0.35">
      <c r="B11" s="12" t="s">
        <v>108</v>
      </c>
      <c r="C11" s="12" t="s">
        <v>7</v>
      </c>
      <c r="D11" s="12" t="s">
        <v>13</v>
      </c>
      <c r="E11" s="12" t="s">
        <v>12</v>
      </c>
      <c r="F11" s="12" t="s">
        <v>11</v>
      </c>
    </row>
    <row r="12" spans="2:10" x14ac:dyDescent="0.35">
      <c r="B12" s="12" t="s">
        <v>106</v>
      </c>
      <c r="C12" s="12" t="s">
        <v>41</v>
      </c>
      <c r="D12" s="12" t="s">
        <v>43</v>
      </c>
      <c r="E12" s="12" t="s">
        <v>44</v>
      </c>
      <c r="F12" s="12" t="s">
        <v>45</v>
      </c>
    </row>
    <row r="13" spans="2:10" ht="39" x14ac:dyDescent="0.35">
      <c r="B13" s="12" t="s">
        <v>109</v>
      </c>
      <c r="C13" s="12" t="s">
        <v>42</v>
      </c>
      <c r="D13" s="13" t="s">
        <v>46</v>
      </c>
      <c r="E13" s="12" t="s">
        <v>44</v>
      </c>
      <c r="F13" s="12" t="s">
        <v>45</v>
      </c>
    </row>
    <row r="14" spans="2:10" ht="39" x14ac:dyDescent="0.35">
      <c r="B14" s="12" t="s">
        <v>107</v>
      </c>
      <c r="C14" s="13" t="s">
        <v>73</v>
      </c>
      <c r="D14" s="13" t="s">
        <v>72</v>
      </c>
      <c r="E14" s="12" t="s">
        <v>22</v>
      </c>
      <c r="F14" s="12" t="s">
        <v>45</v>
      </c>
    </row>
    <row r="15" spans="2:10" ht="39" x14ac:dyDescent="0.35">
      <c r="B15" s="12" t="s">
        <v>114</v>
      </c>
      <c r="C15" s="13" t="s">
        <v>15</v>
      </c>
      <c r="D15" s="13" t="s">
        <v>116</v>
      </c>
      <c r="E15" s="13" t="s">
        <v>118</v>
      </c>
      <c r="F15" s="12" t="s">
        <v>45</v>
      </c>
    </row>
    <row r="16" spans="2:10" ht="39" x14ac:dyDescent="0.35">
      <c r="B16" s="12" t="s">
        <v>115</v>
      </c>
      <c r="C16" s="13" t="s">
        <v>15</v>
      </c>
      <c r="D16" s="13" t="s">
        <v>117</v>
      </c>
      <c r="E16" s="13" t="s">
        <v>118</v>
      </c>
      <c r="F16" s="12" t="s">
        <v>45</v>
      </c>
    </row>
    <row r="17" spans="2:6" ht="39" x14ac:dyDescent="0.35">
      <c r="B17" s="12" t="s">
        <v>222</v>
      </c>
      <c r="C17" s="13" t="s">
        <v>83</v>
      </c>
      <c r="D17" s="13" t="s">
        <v>119</v>
      </c>
      <c r="E17" s="13" t="s">
        <v>120</v>
      </c>
      <c r="F17" s="12" t="s">
        <v>45</v>
      </c>
    </row>
    <row r="18" spans="2:6" ht="58.5" x14ac:dyDescent="0.35">
      <c r="B18" s="12" t="s">
        <v>225</v>
      </c>
      <c r="C18" s="13" t="s">
        <v>83</v>
      </c>
      <c r="D18" s="13" t="s">
        <v>121</v>
      </c>
      <c r="E18" s="13" t="s">
        <v>122</v>
      </c>
      <c r="F18" s="12" t="s">
        <v>45</v>
      </c>
    </row>
    <row r="19" spans="2:6" ht="39" x14ac:dyDescent="0.35">
      <c r="B19" s="12" t="s">
        <v>123</v>
      </c>
      <c r="C19" s="12" t="s">
        <v>15</v>
      </c>
      <c r="D19" s="12" t="s">
        <v>129</v>
      </c>
      <c r="E19" s="13" t="s">
        <v>130</v>
      </c>
      <c r="F19" s="12" t="s">
        <v>11</v>
      </c>
    </row>
    <row r="20" spans="2:6" x14ac:dyDescent="0.35">
      <c r="B20" s="12" t="s">
        <v>125</v>
      </c>
      <c r="C20" s="12" t="s">
        <v>42</v>
      </c>
    </row>
    <row r="21" spans="2:6" ht="58.5" x14ac:dyDescent="0.35">
      <c r="B21" s="12" t="s">
        <v>236</v>
      </c>
      <c r="C21" s="12" t="s">
        <v>15</v>
      </c>
      <c r="D21" s="13" t="s">
        <v>126</v>
      </c>
      <c r="E21" s="13" t="s">
        <v>237</v>
      </c>
    </row>
    <row r="22" spans="2:6" x14ac:dyDescent="0.35">
      <c r="B22" s="12" t="s">
        <v>251</v>
      </c>
      <c r="C22" s="12" t="s">
        <v>15</v>
      </c>
      <c r="D22" s="12" t="s">
        <v>127</v>
      </c>
      <c r="E22" s="12" t="s">
        <v>128</v>
      </c>
      <c r="F22" s="12" t="s">
        <v>45</v>
      </c>
    </row>
    <row r="23" spans="2:6" ht="39" x14ac:dyDescent="0.35">
      <c r="B23" t="s">
        <v>131</v>
      </c>
      <c r="C23" s="12" t="s">
        <v>15</v>
      </c>
      <c r="D23" s="12" t="s">
        <v>132</v>
      </c>
      <c r="E23" s="13" t="s">
        <v>133</v>
      </c>
      <c r="F23" s="12" t="s">
        <v>45</v>
      </c>
    </row>
    <row r="24" spans="2:6" x14ac:dyDescent="0.35">
      <c r="B24" s="12" t="s">
        <v>134</v>
      </c>
      <c r="C24" s="12" t="s">
        <v>83</v>
      </c>
      <c r="D24" s="12" t="s">
        <v>135</v>
      </c>
      <c r="F24" s="12" t="s">
        <v>45</v>
      </c>
    </row>
    <row r="25" spans="2:6" ht="39" x14ac:dyDescent="0.35">
      <c r="B25" s="12" t="s">
        <v>238</v>
      </c>
      <c r="C25" s="12" t="s">
        <v>15</v>
      </c>
      <c r="D25" s="12" t="s">
        <v>136</v>
      </c>
      <c r="E25" s="13" t="s">
        <v>137</v>
      </c>
      <c r="F25" s="12" t="s">
        <v>45</v>
      </c>
    </row>
    <row r="26" spans="2:6" x14ac:dyDescent="0.35">
      <c r="B26" s="12" t="s">
        <v>138</v>
      </c>
      <c r="C26" s="12" t="s">
        <v>139</v>
      </c>
      <c r="D26" s="12" t="s">
        <v>140</v>
      </c>
    </row>
    <row r="27" spans="2:6" x14ac:dyDescent="0.35">
      <c r="B27" s="12" t="s">
        <v>141</v>
      </c>
      <c r="C27" s="12" t="s">
        <v>139</v>
      </c>
      <c r="D27" s="12" t="s">
        <v>142</v>
      </c>
    </row>
    <row r="28" spans="2:6" x14ac:dyDescent="0.35">
      <c r="B28" s="12" t="s">
        <v>214</v>
      </c>
      <c r="C28" s="12" t="s">
        <v>42</v>
      </c>
      <c r="D28" s="12" t="s">
        <v>217</v>
      </c>
      <c r="F28" s="12" t="s">
        <v>11</v>
      </c>
    </row>
    <row r="29" spans="2:6" x14ac:dyDescent="0.35">
      <c r="B29" s="12" t="s">
        <v>215</v>
      </c>
      <c r="C29" s="12" t="s">
        <v>216</v>
      </c>
      <c r="D29" s="12" t="s">
        <v>218</v>
      </c>
      <c r="F29" s="12" t="s">
        <v>11</v>
      </c>
    </row>
    <row r="30" spans="2:6" x14ac:dyDescent="0.35">
      <c r="B30" s="12" t="s">
        <v>219</v>
      </c>
      <c r="C30" s="12" t="s">
        <v>139</v>
      </c>
      <c r="D30" s="12" t="s">
        <v>220</v>
      </c>
      <c r="F30" s="12" t="s">
        <v>45</v>
      </c>
    </row>
    <row r="31" spans="2:6" x14ac:dyDescent="0.35">
      <c r="B31" s="12" t="s">
        <v>223</v>
      </c>
      <c r="C31" s="12" t="s">
        <v>221</v>
      </c>
      <c r="D31" s="12" t="s">
        <v>224</v>
      </c>
      <c r="F31" s="12" t="s">
        <v>45</v>
      </c>
    </row>
    <row r="32" spans="2:6" ht="39" x14ac:dyDescent="0.35">
      <c r="B32" s="12" t="s">
        <v>226</v>
      </c>
      <c r="C32" s="12" t="s">
        <v>42</v>
      </c>
      <c r="D32" s="12" t="s">
        <v>228</v>
      </c>
      <c r="E32" s="13" t="s">
        <v>227</v>
      </c>
      <c r="F32" s="12" t="s">
        <v>11</v>
      </c>
    </row>
    <row r="33" spans="2:6" x14ac:dyDescent="0.35">
      <c r="B33" s="12" t="s">
        <v>229</v>
      </c>
      <c r="C33" s="12" t="s">
        <v>15</v>
      </c>
      <c r="D33" s="12" t="s">
        <v>230</v>
      </c>
      <c r="E33" s="12" t="s">
        <v>231</v>
      </c>
      <c r="F33" s="12" t="s">
        <v>45</v>
      </c>
    </row>
    <row r="34" spans="2:6" x14ac:dyDescent="0.35">
      <c r="B34" s="12" t="s">
        <v>232</v>
      </c>
      <c r="C34" s="12" t="s">
        <v>233</v>
      </c>
      <c r="D34" s="12" t="s">
        <v>234</v>
      </c>
      <c r="E34" s="12" t="s">
        <v>235</v>
      </c>
      <c r="F34" s="12" t="s">
        <v>11</v>
      </c>
    </row>
    <row r="35" spans="2:6" ht="58.5" x14ac:dyDescent="0.35">
      <c r="B35" s="12" t="s">
        <v>240</v>
      </c>
      <c r="C35" s="12" t="s">
        <v>42</v>
      </c>
      <c r="D35" s="12" t="s">
        <v>239</v>
      </c>
      <c r="E35" s="13" t="s">
        <v>241</v>
      </c>
    </row>
    <row r="36" spans="2:6" x14ac:dyDescent="0.35">
      <c r="B36" s="12" t="s">
        <v>243</v>
      </c>
      <c r="C36" s="12" t="s">
        <v>15</v>
      </c>
      <c r="D36" s="12" t="s">
        <v>242</v>
      </c>
      <c r="E36" s="12" t="s">
        <v>244</v>
      </c>
      <c r="F36" s="12" t="s">
        <v>11</v>
      </c>
    </row>
    <row r="37" spans="2:6" ht="78" x14ac:dyDescent="0.35">
      <c r="B37" s="12" t="s">
        <v>246</v>
      </c>
      <c r="C37" s="12" t="s">
        <v>139</v>
      </c>
      <c r="D37" s="12" t="s">
        <v>245</v>
      </c>
      <c r="E37" s="13" t="s">
        <v>247</v>
      </c>
      <c r="F37" s="12" t="s">
        <v>11</v>
      </c>
    </row>
    <row r="38" spans="2:6" x14ac:dyDescent="0.35">
      <c r="B38" s="12" t="s">
        <v>248</v>
      </c>
      <c r="C38" s="12" t="s">
        <v>15</v>
      </c>
      <c r="D38" s="12" t="s">
        <v>249</v>
      </c>
      <c r="E38" s="12" t="s">
        <v>250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880AA-F0A0-44D2-8330-FA1FAA37C5BD}">
  <sheetPr codeName="Sheet14"/>
  <dimension ref="B4:V45"/>
  <sheetViews>
    <sheetView showGridLines="0" zoomScale="55" zoomScaleNormal="55" workbookViewId="0">
      <pane ySplit="5" topLeftCell="A6" activePane="bottomLeft" state="frozenSplit"/>
      <selection pane="bottomLeft" activeCell="B8" sqref="B8"/>
    </sheetView>
  </sheetViews>
  <sheetFormatPr defaultRowHeight="19.5" x14ac:dyDescent="0.35"/>
  <cols>
    <col min="1" max="1" width="1.69921875" customWidth="1"/>
    <col min="2" max="2" width="28.75" bestFit="1" customWidth="1"/>
    <col min="3" max="3" width="2.44921875" customWidth="1"/>
    <col min="4" max="4" width="34.1484375" bestFit="1" customWidth="1"/>
    <col min="5" max="6" width="12.69921875" bestFit="1" customWidth="1"/>
    <col min="7" max="7" width="18.59765625" bestFit="1" customWidth="1"/>
    <col min="8" max="8" width="19.1484375" bestFit="1" customWidth="1"/>
    <col min="9" max="9" width="8.046875" bestFit="1" customWidth="1"/>
    <col min="10" max="10" width="8.8984375" bestFit="1" customWidth="1"/>
    <col min="11" max="11" width="7.296875" bestFit="1" customWidth="1"/>
    <col min="12" max="15" width="1.75" bestFit="1" customWidth="1"/>
    <col min="16" max="16" width="3.1484375" bestFit="1" customWidth="1"/>
    <col min="17" max="17" width="3.69921875" bestFit="1" customWidth="1"/>
    <col min="18" max="18" width="4.296875" bestFit="1" customWidth="1"/>
    <col min="19" max="19" width="4.1484375" bestFit="1" customWidth="1"/>
    <col min="20" max="20" width="1.75" bestFit="1" customWidth="1"/>
    <col min="21" max="21" width="1.75" customWidth="1"/>
    <col min="22" max="22" width="1.75" bestFit="1" customWidth="1"/>
  </cols>
  <sheetData>
    <row r="4" spans="2:22" x14ac:dyDescent="0.35">
      <c r="B4" s="18" t="s">
        <v>103</v>
      </c>
      <c r="D4" s="18" t="s">
        <v>104</v>
      </c>
    </row>
    <row r="5" spans="2:22" ht="20" thickBot="1" x14ac:dyDescent="0.4">
      <c r="B5" s="1" t="s">
        <v>74</v>
      </c>
      <c r="C5" s="1"/>
      <c r="D5" s="1" t="s">
        <v>75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2:22" ht="20" thickTop="1" x14ac:dyDescent="0.35">
      <c r="B6">
        <f>COUNTA(_xlfn.ANCHORARRAY(B8))</f>
        <v>30</v>
      </c>
      <c r="C6" s="7"/>
      <c r="D6">
        <f>COUNTA(_xlfn.ANCHORARRAY(D8))</f>
        <v>30</v>
      </c>
    </row>
    <row r="7" spans="2:22" ht="20" thickBot="1" x14ac:dyDescent="0.4">
      <c r="B7" s="6" t="s">
        <v>29</v>
      </c>
      <c r="C7" s="8" t="s">
        <v>31</v>
      </c>
      <c r="D7" s="6" t="s">
        <v>30</v>
      </c>
      <c r="E7" s="6" t="s">
        <v>32</v>
      </c>
      <c r="F7" s="6"/>
      <c r="G7" s="6" t="s">
        <v>77</v>
      </c>
      <c r="H7" s="6" t="s">
        <v>17</v>
      </c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 t="s">
        <v>31</v>
      </c>
    </row>
    <row r="8" spans="2:22" ht="20" thickTop="1" x14ac:dyDescent="0.35">
      <c r="B8" t="str" cm="1">
        <f t="array" ref="B8:B37">TRANSPOSE(ListLambdas())</f>
        <v>ADDRESSES_byDiarmuidEarly</v>
      </c>
      <c r="D8" t="str" cm="1">
        <f t="array" ref="D8:D37">Lambdas[Name]</f>
        <v>EXTRACTCHAR_byHarryGross</v>
      </c>
      <c r="E8" t="s">
        <v>19</v>
      </c>
      <c r="H8" t="str" cm="1">
        <f t="array" ref="H8:T8">EXTRACTCHAR_byHarryGross(E8)</f>
        <v>H</v>
      </c>
      <c r="I8" t="str">
        <v>a</v>
      </c>
      <c r="J8" t="str">
        <v>p</v>
      </c>
      <c r="K8" t="str">
        <v>p</v>
      </c>
      <c r="L8" t="str">
        <v>y</v>
      </c>
      <c r="M8" t="str">
        <v xml:space="preserve"> </v>
      </c>
      <c r="N8" t="str">
        <v>4</v>
      </c>
      <c r="O8" t="str">
        <v>5</v>
      </c>
      <c r="P8" t="str">
        <v xml:space="preserve"> </v>
      </c>
      <c r="Q8" t="str">
        <v>^</v>
      </c>
      <c r="R8" t="str">
        <v xml:space="preserve"> </v>
      </c>
      <c r="S8" t="str">
        <v>2</v>
      </c>
      <c r="T8" t="str">
        <v>!</v>
      </c>
    </row>
    <row r="9" spans="2:22" x14ac:dyDescent="0.35">
      <c r="B9" t="str">
        <v>BiRow_byPeterBartholomew</v>
      </c>
      <c r="D9" t="str">
        <v>EXTRACTLETTERS_byHarryGross</v>
      </c>
      <c r="E9" t="s">
        <v>19</v>
      </c>
      <c r="H9" t="str" cm="1">
        <f t="array" ref="H9:I9">EXTRACTNUMBERS_byHarryGross(E9)</f>
        <v>45</v>
      </c>
      <c r="I9" t="str">
        <v>2</v>
      </c>
    </row>
    <row r="10" spans="2:22" x14ac:dyDescent="0.35">
      <c r="B10" t="str">
        <v>CaseInputs</v>
      </c>
      <c r="D10" t="str">
        <v>EXTRACTNUMBERS_byHarryGross</v>
      </c>
      <c r="E10" t="s">
        <v>39</v>
      </c>
      <c r="F10" t="s">
        <v>40</v>
      </c>
      <c r="H10" t="str" cm="1">
        <f t="array" ref="H10:I10">ADDRESSES_byDiarmuidEarly(E10:F10)</f>
        <v>E10</v>
      </c>
      <c r="I10" t="str">
        <v>F10</v>
      </c>
    </row>
    <row r="11" spans="2:22" x14ac:dyDescent="0.35">
      <c r="B11" t="str">
        <v>CellsAround_byBendeLeon</v>
      </c>
      <c r="D11" t="str">
        <v>ADDRESSES_byDiarmuidEarly</v>
      </c>
      <c r="E11" t="s">
        <v>37</v>
      </c>
      <c r="F11" t="s">
        <v>38</v>
      </c>
      <c r="H11" t="str" cm="1">
        <f t="array" aca="1" ref="H11:L13" ca="1">GRIDTOCOL_byLiannaGerrish(E11:F11,1)</f>
        <v>Items</v>
      </c>
      <c r="I11" t="str">
        <f ca="1"/>
        <v>Row #</v>
      </c>
      <c r="J11" t="str">
        <f ca="1"/>
        <v>Column #</v>
      </c>
      <c r="K11" t="str">
        <f ca="1"/>
        <v>Address</v>
      </c>
      <c r="L11" t="str">
        <f ca="1"/>
        <v>RCRef</v>
      </c>
    </row>
    <row r="12" spans="2:22" x14ac:dyDescent="0.35">
      <c r="B12" t="str">
        <v>COL</v>
      </c>
      <c r="D12" t="str">
        <v>GRIDTOCOL_byLiannaGerrish</v>
      </c>
      <c r="G12" s="18" t="s">
        <v>76</v>
      </c>
      <c r="H12" t="str">
        <f ca="1"/>
        <v>A</v>
      </c>
      <c r="I12">
        <f ca="1"/>
        <v>11</v>
      </c>
      <c r="J12">
        <f ca="1"/>
        <v>5</v>
      </c>
      <c r="K12" t="str">
        <f ca="1"/>
        <v>E11</v>
      </c>
      <c r="L12">
        <f ca="1"/>
        <v>11001005</v>
      </c>
    </row>
    <row r="13" spans="2:22" x14ac:dyDescent="0.35">
      <c r="B13" t="str">
        <v>COLROW</v>
      </c>
      <c r="D13" t="str">
        <v>CaseInputs</v>
      </c>
      <c r="E13" t="str" cm="1">
        <f t="array" aca="1" ref="E13" ca="1">LkpAdd(F11,H8:V14)</f>
        <v>H13</v>
      </c>
      <c r="H13" t="str">
        <f ca="1"/>
        <v>B</v>
      </c>
      <c r="I13">
        <f ca="1"/>
        <v>11</v>
      </c>
      <c r="J13">
        <f ca="1"/>
        <v>6</v>
      </c>
      <c r="K13" t="str">
        <f ca="1"/>
        <v>F11</v>
      </c>
      <c r="L13">
        <f ca="1"/>
        <v>11001006</v>
      </c>
    </row>
    <row r="14" spans="2:22" x14ac:dyDescent="0.35">
      <c r="B14" t="str">
        <v>CountChar_byLiannaGerrish</v>
      </c>
      <c r="D14" t="str">
        <v>LkpAdd</v>
      </c>
      <c r="E14" cm="1">
        <f t="array" aca="1" ref="E14:F14" ca="1">LkpRC(F11,H8:V14)</f>
        <v>13</v>
      </c>
      <c r="F14">
        <f ca="1"/>
        <v>8</v>
      </c>
    </row>
    <row r="15" spans="2:22" x14ac:dyDescent="0.35">
      <c r="B15" t="str">
        <v>DiffByRow_byJaqKennedy</v>
      </c>
      <c r="D15" t="str">
        <v>LkpRC</v>
      </c>
    </row>
    <row r="16" spans="2:22" x14ac:dyDescent="0.35">
      <c r="B16" t="str">
        <v>DROPCOL_byLiannaGerrish</v>
      </c>
      <c r="D16" t="str">
        <v>IsInList_byErikOehm</v>
      </c>
      <c r="H16" t="b" cm="1">
        <f t="array" ref="H16:H45">IsInList_byErikOehm(_xlfn.ANCHORARRAY(B8),_xlfn.ANCHORARRAY(D8))</f>
        <v>1</v>
      </c>
      <c r="I16" t="str" cm="1">
        <f t="array" aca="1" ref="I16" ca="1">IFERROR(FilterArray(_xlfn.ANCHORARRAY(B8), 1,_xlfn.ANCHORARRAY( D8)),"None found")</f>
        <v>None found</v>
      </c>
    </row>
    <row r="17" spans="2:18" x14ac:dyDescent="0.35">
      <c r="B17" t="str">
        <v>EXTRACTCHAR_byHarryGross</v>
      </c>
      <c r="D17" t="str">
        <v>FilterArray_byErikOehm</v>
      </c>
      <c r="E17">
        <v>1</v>
      </c>
      <c r="G17" s="18" t="s">
        <v>124</v>
      </c>
      <c r="H17" t="b">
        <v>1</v>
      </c>
      <c r="O17" t="str" cm="1">
        <f t="array" ref="O17:O42">Letters(E17)</f>
        <v>A</v>
      </c>
    </row>
    <row r="18" spans="2:18" x14ac:dyDescent="0.35">
      <c r="B18" t="str">
        <v>EXTRACTLETTERS_byHarryGross</v>
      </c>
      <c r="D18" t="str">
        <v>Letters</v>
      </c>
      <c r="H18" t="b">
        <v>1</v>
      </c>
      <c r="O18" t="str">
        <v>B</v>
      </c>
      <c r="Q18" cm="1">
        <f t="array" ref="Q18">CountChar_byLiannaGerrish(D10,"S")</f>
        <v>1</v>
      </c>
    </row>
    <row r="19" spans="2:18" x14ac:dyDescent="0.35">
      <c r="B19" t="str">
        <v>EXTRACTNUMBERS_byHarryGross</v>
      </c>
      <c r="D19" t="str">
        <v>CountChar_byLiannaGerrish</v>
      </c>
      <c r="E19">
        <f>CODE(O19)-(CODE(O17)-1)+47</f>
        <v>50</v>
      </c>
      <c r="F19">
        <v>26</v>
      </c>
      <c r="H19" t="b">
        <v>1</v>
      </c>
      <c r="O19" t="str">
        <v>C</v>
      </c>
      <c r="Q19" cm="1">
        <f t="array" ref="Q19">XMOD_byJaqKennedy(E19,F19)</f>
        <v>24</v>
      </c>
      <c r="R19" t="str">
        <f>CHAR(Q19+CODE(O17)-1)</f>
        <v>X</v>
      </c>
    </row>
    <row r="20" spans="2:18" x14ac:dyDescent="0.35">
      <c r="B20" t="str">
        <v>EZINDIRECT_byLiannaGerrish</v>
      </c>
      <c r="D20" t="str">
        <v>XMOD_byJaqKennedy</v>
      </c>
      <c r="H20" t="b">
        <v>1</v>
      </c>
      <c r="O20" t="str">
        <v>D</v>
      </c>
    </row>
    <row r="21" spans="2:18" x14ac:dyDescent="0.35">
      <c r="B21" t="str">
        <v>FilterArray_byErikOehm</v>
      </c>
      <c r="D21" t="str">
        <v>RightAlignedArray_byJaqKennedy</v>
      </c>
      <c r="H21" t="b">
        <v>1</v>
      </c>
      <c r="O21" t="str">
        <v>E</v>
      </c>
    </row>
    <row r="22" spans="2:18" x14ac:dyDescent="0.35">
      <c r="B22" t="str">
        <v>GRIDTOCOL_byLiannaGerrish</v>
      </c>
      <c r="D22" t="str">
        <v>LkpRCByRow</v>
      </c>
      <c r="E22" cm="1">
        <f t="array" aca="1" ref="E22:F23" ca="1">LkpRCByRow(O17:O18, $H$8:$V$14)</f>
        <v>8</v>
      </c>
      <c r="F22">
        <f ca="1"/>
        <v>9</v>
      </c>
      <c r="H22" t="b">
        <v>1</v>
      </c>
      <c r="O22" t="str">
        <v>F</v>
      </c>
    </row>
    <row r="23" spans="2:18" x14ac:dyDescent="0.35">
      <c r="B23" t="str">
        <v>IFBLANK</v>
      </c>
      <c r="D23" t="str">
        <v>IFBLANK</v>
      </c>
      <c r="E23">
        <f ca="1"/>
        <v>13</v>
      </c>
      <c r="F23">
        <f ca="1"/>
        <v>8</v>
      </c>
      <c r="H23" t="b">
        <v>1</v>
      </c>
      <c r="O23" t="str">
        <v>G</v>
      </c>
    </row>
    <row r="24" spans="2:18" x14ac:dyDescent="0.35">
      <c r="B24" t="str">
        <v>IsInList_byErikOehm</v>
      </c>
      <c r="D24" t="str">
        <v>TDay_byJaqKennedy</v>
      </c>
      <c r="H24" t="b">
        <v>1</v>
      </c>
      <c r="O24" t="str">
        <v>H</v>
      </c>
      <c r="Q24" t="str" cm="1">
        <f t="array" ref="Q24">XLOOKUP2D_byBendeLeon(H8:V14,"E10","a")</f>
        <v>F10</v>
      </c>
    </row>
    <row r="25" spans="2:18" x14ac:dyDescent="0.35">
      <c r="B25" t="str">
        <v>Letters</v>
      </c>
      <c r="D25" t="str">
        <v>XLOOKUP2D_byBendeLeon</v>
      </c>
      <c r="H25" t="b">
        <v>1</v>
      </c>
      <c r="O25" t="str">
        <v>I</v>
      </c>
    </row>
    <row r="26" spans="2:18" x14ac:dyDescent="0.35">
      <c r="B26" t="str">
        <v>LetterShift_byBendeLeon</v>
      </c>
      <c r="D26" t="str">
        <v>LetterShift_byBendeLeon</v>
      </c>
      <c r="H26" t="b">
        <v>1</v>
      </c>
      <c r="O26" t="str">
        <v>J</v>
      </c>
    </row>
    <row r="27" spans="2:18" x14ac:dyDescent="0.35">
      <c r="B27" t="str">
        <v>LkpAdd</v>
      </c>
      <c r="D27" t="str">
        <v>COLROW</v>
      </c>
      <c r="H27" t="b">
        <v>1</v>
      </c>
      <c r="O27" t="str">
        <v>K</v>
      </c>
    </row>
    <row r="28" spans="2:18" x14ac:dyDescent="0.35">
      <c r="B28" t="str">
        <v>LkpRC</v>
      </c>
      <c r="D28" t="str">
        <v>ROWCOL</v>
      </c>
      <c r="H28" t="b">
        <v>1</v>
      </c>
      <c r="O28" t="str">
        <v>L</v>
      </c>
    </row>
    <row r="29" spans="2:18" x14ac:dyDescent="0.35">
      <c r="B29" t="str">
        <v>LkpRCByRow</v>
      </c>
      <c r="D29" t="str">
        <v>ZigZag_byBendeLeon</v>
      </c>
      <c r="H29" t="b">
        <v>1</v>
      </c>
      <c r="O29" t="str">
        <v>M</v>
      </c>
    </row>
    <row r="30" spans="2:18" x14ac:dyDescent="0.35">
      <c r="B30" t="str">
        <v>MinMax_byJaqKennedy</v>
      </c>
      <c r="D30" t="str">
        <v>BiRow_byPeterBartholomew</v>
      </c>
      <c r="H30" t="b">
        <v>1</v>
      </c>
      <c r="O30" t="str">
        <v>N</v>
      </c>
    </row>
    <row r="31" spans="2:18" x14ac:dyDescent="0.35">
      <c r="B31" t="str">
        <v>RightAlignedArray_byJaqKennedy</v>
      </c>
      <c r="D31" t="str">
        <v>DROPCOL_byLiannaGerrish</v>
      </c>
      <c r="H31" t="b">
        <v>1</v>
      </c>
      <c r="O31" t="str">
        <v>O</v>
      </c>
    </row>
    <row r="32" spans="2:18" x14ac:dyDescent="0.35">
      <c r="B32" t="str">
        <v>ROWCOL</v>
      </c>
      <c r="D32" t="str">
        <v>DiffByRow_byJaqKennedy</v>
      </c>
      <c r="H32" t="b">
        <v>1</v>
      </c>
      <c r="O32" t="str">
        <v>P</v>
      </c>
    </row>
    <row r="33" spans="2:15" x14ac:dyDescent="0.35">
      <c r="B33" t="str">
        <v>TDay_byJaqKennedy</v>
      </c>
      <c r="D33" t="str">
        <v>TEXTREVERSE</v>
      </c>
      <c r="H33" t="b">
        <v>1</v>
      </c>
      <c r="O33" t="str">
        <v>Q</v>
      </c>
    </row>
    <row r="34" spans="2:15" x14ac:dyDescent="0.35">
      <c r="B34" t="str">
        <v>TEXTREVERSE</v>
      </c>
      <c r="D34" t="str">
        <v>EZINDIRECT_byLiannaGerrish</v>
      </c>
      <c r="H34" t="b">
        <v>1</v>
      </c>
      <c r="O34" t="str">
        <v>R</v>
      </c>
    </row>
    <row r="35" spans="2:15" x14ac:dyDescent="0.35">
      <c r="B35" t="str">
        <v>XLOOKUP2D_byBendeLeon</v>
      </c>
      <c r="D35" t="str">
        <v>MinMax_byJaqKennedy</v>
      </c>
      <c r="H35" t="b">
        <v>1</v>
      </c>
      <c r="O35" t="str">
        <v>S</v>
      </c>
    </row>
    <row r="36" spans="2:15" x14ac:dyDescent="0.35">
      <c r="B36" t="str">
        <v>XMOD_byJaqKennedy</v>
      </c>
      <c r="D36" t="str">
        <v>CellsAround_byBendeLeon</v>
      </c>
      <c r="H36" t="b">
        <v>1</v>
      </c>
      <c r="O36" t="str">
        <v>T</v>
      </c>
    </row>
    <row r="37" spans="2:15" x14ac:dyDescent="0.35">
      <c r="B37" t="str">
        <v>ZigZag_byBendeLeon</v>
      </c>
      <c r="D37" t="str">
        <v>COL</v>
      </c>
      <c r="H37" t="b">
        <v>1</v>
      </c>
      <c r="O37" t="str">
        <v>U</v>
      </c>
    </row>
    <row r="38" spans="2:15" x14ac:dyDescent="0.35">
      <c r="H38" t="b">
        <v>1</v>
      </c>
      <c r="O38" t="str">
        <v>V</v>
      </c>
    </row>
    <row r="39" spans="2:15" x14ac:dyDescent="0.35">
      <c r="H39" t="b">
        <v>1</v>
      </c>
      <c r="O39" t="str">
        <v>W</v>
      </c>
    </row>
    <row r="40" spans="2:15" x14ac:dyDescent="0.35">
      <c r="H40" t="b">
        <v>1</v>
      </c>
      <c r="O40" t="str">
        <v>X</v>
      </c>
    </row>
    <row r="41" spans="2:15" x14ac:dyDescent="0.35">
      <c r="H41" t="b">
        <v>1</v>
      </c>
      <c r="O41" t="str">
        <v>Y</v>
      </c>
    </row>
    <row r="42" spans="2:15" x14ac:dyDescent="0.35">
      <c r="H42" t="b">
        <v>1</v>
      </c>
      <c r="O42" t="str">
        <v>Z</v>
      </c>
    </row>
    <row r="43" spans="2:15" x14ac:dyDescent="0.35">
      <c r="H43" t="b">
        <v>1</v>
      </c>
    </row>
    <row r="44" spans="2:15" x14ac:dyDescent="0.35">
      <c r="H44" t="b">
        <v>1</v>
      </c>
    </row>
    <row r="45" spans="2:15" x14ac:dyDescent="0.35">
      <c r="H45" t="b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7DF97-5C72-4E67-A3A9-E79227034A6D}">
  <sheetPr codeName="Sheet15"/>
  <dimension ref="B5:J14"/>
  <sheetViews>
    <sheetView showGridLines="0" workbookViewId="0">
      <pane ySplit="5" topLeftCell="A6" activePane="bottomLeft" state="frozenSplit"/>
      <selection pane="bottomLeft" activeCell="A6" sqref="A6"/>
    </sheetView>
  </sheetViews>
  <sheetFormatPr defaultRowHeight="19.5" x14ac:dyDescent="0.35"/>
  <cols>
    <col min="1" max="1" width="1.69921875" customWidth="1"/>
    <col min="2" max="2" width="24.44921875" bestFit="1" customWidth="1"/>
    <col min="3" max="3" width="11.25" bestFit="1" customWidth="1"/>
    <col min="4" max="4" width="36" customWidth="1"/>
    <col min="5" max="5" width="12.44921875" bestFit="1" customWidth="1"/>
    <col min="6" max="10" width="4.25" customWidth="1"/>
  </cols>
  <sheetData>
    <row r="5" spans="2:10" ht="20" thickBot="1" x14ac:dyDescent="0.4">
      <c r="B5" s="1" t="s">
        <v>18</v>
      </c>
      <c r="C5" s="1"/>
      <c r="D5" s="1"/>
      <c r="E5" s="1"/>
      <c r="F5" s="1"/>
      <c r="G5" s="1"/>
      <c r="H5" s="1"/>
      <c r="I5" s="1"/>
      <c r="J5" s="1"/>
    </row>
    <row r="6" spans="2:10" ht="20" thickTop="1" x14ac:dyDescent="0.35">
      <c r="B6" s="2" t="s">
        <v>28</v>
      </c>
      <c r="C6" s="2"/>
      <c r="D6" s="2"/>
      <c r="E6" s="2"/>
      <c r="F6" s="2"/>
      <c r="G6" s="2"/>
      <c r="H6" s="2"/>
      <c r="I6" s="2"/>
      <c r="J6" s="2"/>
    </row>
    <row r="7" spans="2:10" x14ac:dyDescent="0.35">
      <c r="B7" s="4"/>
    </row>
    <row r="8" spans="2:10" x14ac:dyDescent="0.35">
      <c r="B8" s="4"/>
    </row>
    <row r="9" spans="2:10" x14ac:dyDescent="0.35">
      <c r="B9" s="4"/>
    </row>
    <row r="10" spans="2:10" x14ac:dyDescent="0.35">
      <c r="B10" s="4"/>
    </row>
    <row r="11" spans="2:10" ht="20" thickBot="1" x14ac:dyDescent="0.4">
      <c r="B11" s="3" t="s">
        <v>2</v>
      </c>
      <c r="C11" s="3"/>
      <c r="D11" s="3"/>
      <c r="E11" s="3"/>
      <c r="F11" s="3"/>
      <c r="G11" s="3"/>
      <c r="H11" s="3"/>
      <c r="I11" s="3"/>
      <c r="J11" s="3"/>
    </row>
    <row r="12" spans="2:10" ht="20" thickTop="1" x14ac:dyDescent="0.35"/>
    <row r="13" spans="2:10" x14ac:dyDescent="0.35">
      <c r="B13" t="s">
        <v>4</v>
      </c>
      <c r="C13" t="s">
        <v>6</v>
      </c>
      <c r="D13" t="s">
        <v>5</v>
      </c>
      <c r="E13" t="s">
        <v>9</v>
      </c>
    </row>
    <row r="14" spans="2:10" ht="39" x14ac:dyDescent="0.35">
      <c r="B14" t="s">
        <v>20</v>
      </c>
      <c r="C14" t="s">
        <v>15</v>
      </c>
      <c r="D14" s="5" t="s">
        <v>21</v>
      </c>
      <c r="E14" t="s">
        <v>22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6B522-6C81-46AC-ABBE-73F2754A70DB}">
  <sheetPr codeName="Sheet4"/>
  <dimension ref="B2:G61"/>
  <sheetViews>
    <sheetView showGridLines="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D3" sqref="D3"/>
    </sheetView>
  </sheetViews>
  <sheetFormatPr defaultRowHeight="18.5" x14ac:dyDescent="0.45"/>
  <cols>
    <col min="1" max="1" width="8.796875" style="21"/>
    <col min="2" max="2" width="4.75" style="21" bestFit="1" customWidth="1"/>
    <col min="3" max="3" width="4.84765625" style="21" bestFit="1" customWidth="1"/>
    <col min="4" max="4" width="6.44921875" style="21" bestFit="1" customWidth="1"/>
    <col min="5" max="5" width="22.546875" style="21" bestFit="1" customWidth="1"/>
    <col min="6" max="6" width="20.296875" style="21" bestFit="1" customWidth="1"/>
    <col min="7" max="7" width="8.75" style="21" bestFit="1" customWidth="1"/>
    <col min="8" max="16384" width="8.796875" style="21"/>
  </cols>
  <sheetData>
    <row r="2" spans="2:7" x14ac:dyDescent="0.45">
      <c r="B2" s="21" t="s">
        <v>178</v>
      </c>
      <c r="C2" s="23" t="s">
        <v>211</v>
      </c>
      <c r="D2" s="21" t="s">
        <v>177</v>
      </c>
      <c r="E2" s="21" t="s">
        <v>4</v>
      </c>
      <c r="F2" s="21" t="s">
        <v>77</v>
      </c>
      <c r="G2" s="21" t="s">
        <v>176</v>
      </c>
    </row>
    <row r="3" spans="2:7" ht="55.5" x14ac:dyDescent="0.45">
      <c r="B3" s="21" t="s">
        <v>200</v>
      </c>
      <c r="C3" s="21">
        <v>5</v>
      </c>
      <c r="D3" s="21" t="s">
        <v>191</v>
      </c>
      <c r="E3" s="23" t="s">
        <v>201</v>
      </c>
      <c r="F3" s="24" t="s">
        <v>202</v>
      </c>
      <c r="G3" s="23" t="s">
        <v>0</v>
      </c>
    </row>
    <row r="4" spans="2:7" ht="55.5" x14ac:dyDescent="0.45">
      <c r="B4" s="21" t="s">
        <v>200</v>
      </c>
      <c r="C4" s="21">
        <v>5</v>
      </c>
      <c r="D4" s="21" t="s">
        <v>191</v>
      </c>
      <c r="E4" s="23" t="s">
        <v>201</v>
      </c>
      <c r="F4" s="24" t="s">
        <v>203</v>
      </c>
      <c r="G4" s="23" t="s">
        <v>0</v>
      </c>
    </row>
    <row r="5" spans="2:7" ht="37" x14ac:dyDescent="0.45">
      <c r="B5" s="21" t="s">
        <v>200</v>
      </c>
      <c r="C5" s="21">
        <v>5</v>
      </c>
      <c r="D5" s="21" t="s">
        <v>146</v>
      </c>
      <c r="E5" s="21" t="s">
        <v>204</v>
      </c>
      <c r="F5" s="24" t="s">
        <v>206</v>
      </c>
      <c r="G5" s="23" t="s">
        <v>205</v>
      </c>
    </row>
    <row r="6" spans="2:7" x14ac:dyDescent="0.45">
      <c r="B6" s="21" t="s">
        <v>200</v>
      </c>
      <c r="C6" s="21">
        <v>5</v>
      </c>
      <c r="D6" s="21" t="s">
        <v>146</v>
      </c>
      <c r="E6" s="21" t="s">
        <v>145</v>
      </c>
      <c r="F6" s="21" t="s">
        <v>144</v>
      </c>
      <c r="G6" s="21" t="s">
        <v>143</v>
      </c>
    </row>
    <row r="7" spans="2:7" ht="55.5" x14ac:dyDescent="0.45">
      <c r="B7" s="21" t="s">
        <v>200</v>
      </c>
      <c r="C7" s="21">
        <v>6</v>
      </c>
      <c r="D7" s="21" t="s">
        <v>191</v>
      </c>
      <c r="E7" s="23" t="s">
        <v>109</v>
      </c>
      <c r="F7" s="24" t="s">
        <v>207</v>
      </c>
      <c r="G7" s="23" t="s">
        <v>0</v>
      </c>
    </row>
    <row r="8" spans="2:7" x14ac:dyDescent="0.45">
      <c r="B8" s="21" t="s">
        <v>200</v>
      </c>
      <c r="C8" s="21">
        <v>6</v>
      </c>
      <c r="D8" s="21" t="s">
        <v>146</v>
      </c>
      <c r="E8" s="21" t="s">
        <v>167</v>
      </c>
      <c r="F8" s="21" t="s">
        <v>166</v>
      </c>
      <c r="G8" s="21" t="s">
        <v>0</v>
      </c>
    </row>
    <row r="9" spans="2:7" x14ac:dyDescent="0.45">
      <c r="B9" s="21" t="s">
        <v>200</v>
      </c>
      <c r="C9" s="21">
        <v>6</v>
      </c>
      <c r="D9" s="21" t="s">
        <v>146</v>
      </c>
      <c r="E9" s="21" t="s">
        <v>165</v>
      </c>
      <c r="F9" s="21" t="s">
        <v>164</v>
      </c>
      <c r="G9" s="21" t="s">
        <v>150</v>
      </c>
    </row>
    <row r="10" spans="2:7" ht="37" x14ac:dyDescent="0.45">
      <c r="B10" s="21" t="s">
        <v>200</v>
      </c>
      <c r="C10" s="21">
        <v>6</v>
      </c>
      <c r="D10" s="21" t="s">
        <v>146</v>
      </c>
      <c r="E10" s="21" t="s">
        <v>204</v>
      </c>
      <c r="F10" s="24" t="s">
        <v>206</v>
      </c>
      <c r="G10" s="23" t="s">
        <v>205</v>
      </c>
    </row>
    <row r="11" spans="2:7" x14ac:dyDescent="0.45">
      <c r="B11" s="21" t="s">
        <v>200</v>
      </c>
      <c r="C11" s="21">
        <v>6</v>
      </c>
      <c r="D11" s="21" t="s">
        <v>146</v>
      </c>
      <c r="E11" s="23" t="s">
        <v>208</v>
      </c>
      <c r="F11" s="23" t="s">
        <v>100</v>
      </c>
      <c r="G11" s="23" t="s">
        <v>150</v>
      </c>
    </row>
    <row r="12" spans="2:7" x14ac:dyDescent="0.45">
      <c r="B12" s="21" t="s">
        <v>200</v>
      </c>
      <c r="C12" s="21">
        <v>6</v>
      </c>
      <c r="D12" s="21" t="s">
        <v>146</v>
      </c>
      <c r="E12" s="23" t="s">
        <v>210</v>
      </c>
      <c r="F12" s="23" t="s">
        <v>209</v>
      </c>
      <c r="G12" s="23" t="s">
        <v>150</v>
      </c>
    </row>
    <row r="13" spans="2:7" x14ac:dyDescent="0.45">
      <c r="B13" s="21" t="s">
        <v>200</v>
      </c>
      <c r="C13" s="21">
        <v>6</v>
      </c>
      <c r="D13" s="21" t="s">
        <v>146</v>
      </c>
      <c r="E13" s="21" t="s">
        <v>145</v>
      </c>
      <c r="F13" s="21" t="s">
        <v>144</v>
      </c>
      <c r="G13" s="21" t="s">
        <v>143</v>
      </c>
    </row>
    <row r="14" spans="2:7" x14ac:dyDescent="0.45">
      <c r="B14" s="21" t="s">
        <v>179</v>
      </c>
      <c r="C14" s="21">
        <v>7</v>
      </c>
      <c r="D14" s="21" t="s">
        <v>146</v>
      </c>
      <c r="E14" s="21" t="s">
        <v>175</v>
      </c>
      <c r="F14" s="21" t="s">
        <v>174</v>
      </c>
      <c r="G14" s="21" t="s">
        <v>0</v>
      </c>
    </row>
    <row r="15" spans="2:7" x14ac:dyDescent="0.45">
      <c r="B15" s="21" t="s">
        <v>179</v>
      </c>
      <c r="C15" s="21">
        <v>7</v>
      </c>
      <c r="D15" s="21" t="s">
        <v>146</v>
      </c>
      <c r="E15" s="21" t="s">
        <v>173</v>
      </c>
      <c r="F15" s="21" t="s">
        <v>172</v>
      </c>
      <c r="G15" s="21" t="s">
        <v>0</v>
      </c>
    </row>
    <row r="16" spans="2:7" x14ac:dyDescent="0.45">
      <c r="B16" s="21" t="s">
        <v>179</v>
      </c>
      <c r="C16" s="21">
        <v>7</v>
      </c>
      <c r="D16" s="21" t="s">
        <v>146</v>
      </c>
      <c r="E16" s="21" t="s">
        <v>180</v>
      </c>
      <c r="F16" s="21" t="s">
        <v>85</v>
      </c>
      <c r="G16" s="21" t="s">
        <v>150</v>
      </c>
    </row>
    <row r="17" spans="2:7" x14ac:dyDescent="0.45">
      <c r="B17" s="21" t="s">
        <v>179</v>
      </c>
      <c r="C17" s="21">
        <v>7</v>
      </c>
      <c r="D17" s="21" t="s">
        <v>146</v>
      </c>
      <c r="E17" s="21" t="s">
        <v>181</v>
      </c>
      <c r="F17" s="21" t="s">
        <v>182</v>
      </c>
      <c r="G17" s="21" t="s">
        <v>0</v>
      </c>
    </row>
    <row r="18" spans="2:7" x14ac:dyDescent="0.45">
      <c r="B18" s="21" t="s">
        <v>179</v>
      </c>
      <c r="C18" s="21">
        <v>7</v>
      </c>
      <c r="D18" s="21" t="s">
        <v>146</v>
      </c>
      <c r="E18" s="21" t="s">
        <v>183</v>
      </c>
      <c r="F18" s="21" t="s">
        <v>184</v>
      </c>
      <c r="G18" s="21" t="s">
        <v>150</v>
      </c>
    </row>
    <row r="19" spans="2:7" ht="37" x14ac:dyDescent="0.45">
      <c r="B19" s="21" t="s">
        <v>179</v>
      </c>
      <c r="C19" s="21">
        <v>7</v>
      </c>
      <c r="D19" s="21" t="s">
        <v>146</v>
      </c>
      <c r="E19" s="21" t="s">
        <v>185</v>
      </c>
      <c r="F19" s="22" t="s">
        <v>186</v>
      </c>
      <c r="G19" s="21" t="s">
        <v>0</v>
      </c>
    </row>
    <row r="20" spans="2:7" x14ac:dyDescent="0.45">
      <c r="B20" s="21" t="s">
        <v>179</v>
      </c>
      <c r="C20" s="21">
        <v>7</v>
      </c>
      <c r="D20" s="21" t="s">
        <v>146</v>
      </c>
      <c r="E20" s="21" t="s">
        <v>165</v>
      </c>
      <c r="F20" s="21" t="s">
        <v>164</v>
      </c>
      <c r="G20" s="21" t="s">
        <v>150</v>
      </c>
    </row>
    <row r="21" spans="2:7" ht="37" x14ac:dyDescent="0.45">
      <c r="B21" s="21" t="s">
        <v>179</v>
      </c>
      <c r="C21" s="21">
        <v>7</v>
      </c>
      <c r="D21" s="21" t="s">
        <v>146</v>
      </c>
      <c r="E21" s="21" t="s">
        <v>187</v>
      </c>
      <c r="F21" s="22" t="s">
        <v>188</v>
      </c>
      <c r="G21" s="21" t="s">
        <v>0</v>
      </c>
    </row>
    <row r="22" spans="2:7" x14ac:dyDescent="0.45">
      <c r="B22" s="21" t="s">
        <v>179</v>
      </c>
      <c r="C22" s="21">
        <v>7</v>
      </c>
      <c r="D22" s="21" t="s">
        <v>146</v>
      </c>
      <c r="E22" s="21" t="s">
        <v>189</v>
      </c>
      <c r="F22" s="21" t="s">
        <v>190</v>
      </c>
      <c r="G22" s="21" t="s">
        <v>0</v>
      </c>
    </row>
    <row r="23" spans="2:7" ht="37" x14ac:dyDescent="0.45">
      <c r="B23" s="21" t="s">
        <v>179</v>
      </c>
      <c r="C23" s="21">
        <v>7</v>
      </c>
      <c r="D23" s="21" t="s">
        <v>191</v>
      </c>
      <c r="E23" s="21" t="s">
        <v>197</v>
      </c>
      <c r="F23" s="22" t="s">
        <v>193</v>
      </c>
      <c r="G23" s="21" t="s">
        <v>0</v>
      </c>
    </row>
    <row r="24" spans="2:7" x14ac:dyDescent="0.45">
      <c r="B24" s="21" t="s">
        <v>179</v>
      </c>
      <c r="C24" s="21">
        <v>7</v>
      </c>
      <c r="D24" s="21" t="s">
        <v>146</v>
      </c>
      <c r="E24" s="21" t="s">
        <v>180</v>
      </c>
      <c r="F24" s="21" t="s">
        <v>85</v>
      </c>
      <c r="G24" s="21" t="s">
        <v>150</v>
      </c>
    </row>
    <row r="25" spans="2:7" x14ac:dyDescent="0.45">
      <c r="B25" s="21" t="s">
        <v>179</v>
      </c>
      <c r="C25" s="21">
        <v>7</v>
      </c>
      <c r="D25" s="21" t="s">
        <v>146</v>
      </c>
      <c r="E25" s="21" t="s">
        <v>165</v>
      </c>
      <c r="F25" s="21" t="s">
        <v>164</v>
      </c>
      <c r="G25" s="21" t="s">
        <v>150</v>
      </c>
    </row>
    <row r="26" spans="2:7" x14ac:dyDescent="0.45">
      <c r="B26" s="21" t="s">
        <v>179</v>
      </c>
      <c r="C26" s="21">
        <v>7</v>
      </c>
      <c r="D26" s="21" t="s">
        <v>146</v>
      </c>
      <c r="E26" s="21" t="s">
        <v>181</v>
      </c>
      <c r="F26" s="21" t="s">
        <v>182</v>
      </c>
      <c r="G26" s="21" t="s">
        <v>0</v>
      </c>
    </row>
    <row r="27" spans="2:7" x14ac:dyDescent="0.45">
      <c r="B27" s="21" t="s">
        <v>179</v>
      </c>
      <c r="C27" s="21">
        <v>7</v>
      </c>
      <c r="D27" s="21" t="s">
        <v>146</v>
      </c>
      <c r="E27" s="21" t="s">
        <v>152</v>
      </c>
      <c r="F27" s="21" t="s">
        <v>151</v>
      </c>
      <c r="G27" s="21" t="s">
        <v>150</v>
      </c>
    </row>
    <row r="28" spans="2:7" x14ac:dyDescent="0.45">
      <c r="B28" s="21" t="s">
        <v>179</v>
      </c>
      <c r="C28" s="21">
        <v>7</v>
      </c>
      <c r="D28" s="21" t="s">
        <v>146</v>
      </c>
      <c r="E28" s="21" t="s">
        <v>180</v>
      </c>
      <c r="F28" s="21" t="s">
        <v>85</v>
      </c>
      <c r="G28" s="21" t="s">
        <v>150</v>
      </c>
    </row>
    <row r="29" spans="2:7" x14ac:dyDescent="0.45">
      <c r="B29" s="21" t="s">
        <v>179</v>
      </c>
      <c r="C29" s="21">
        <v>7</v>
      </c>
      <c r="D29" s="21" t="s">
        <v>146</v>
      </c>
      <c r="E29" s="21" t="s">
        <v>165</v>
      </c>
      <c r="F29" s="21" t="s">
        <v>164</v>
      </c>
      <c r="G29" s="21" t="s">
        <v>150</v>
      </c>
    </row>
    <row r="30" spans="2:7" x14ac:dyDescent="0.45">
      <c r="B30" s="21" t="s">
        <v>179</v>
      </c>
      <c r="C30" s="21">
        <v>7</v>
      </c>
      <c r="D30" s="21" t="s">
        <v>146</v>
      </c>
      <c r="E30" s="21" t="s">
        <v>181</v>
      </c>
      <c r="F30" s="21" t="s">
        <v>182</v>
      </c>
      <c r="G30" s="21" t="s">
        <v>0</v>
      </c>
    </row>
    <row r="31" spans="2:7" ht="74" x14ac:dyDescent="0.45">
      <c r="B31" s="21" t="s">
        <v>179</v>
      </c>
      <c r="C31" s="21">
        <v>7</v>
      </c>
      <c r="D31" s="21" t="s">
        <v>191</v>
      </c>
      <c r="E31" s="21" t="s">
        <v>196</v>
      </c>
      <c r="F31" s="22" t="s">
        <v>192</v>
      </c>
      <c r="G31" s="21" t="s">
        <v>0</v>
      </c>
    </row>
    <row r="32" spans="2:7" x14ac:dyDescent="0.45">
      <c r="B32" s="21" t="s">
        <v>179</v>
      </c>
      <c r="C32" s="21">
        <v>7</v>
      </c>
      <c r="D32" s="21" t="s">
        <v>146</v>
      </c>
      <c r="E32" s="21" t="s">
        <v>165</v>
      </c>
      <c r="F32" s="21" t="s">
        <v>164</v>
      </c>
      <c r="G32" s="21" t="s">
        <v>150</v>
      </c>
    </row>
    <row r="33" spans="2:7" x14ac:dyDescent="0.45">
      <c r="B33" s="21" t="s">
        <v>179</v>
      </c>
      <c r="C33" s="21">
        <v>7</v>
      </c>
      <c r="D33" s="21" t="s">
        <v>146</v>
      </c>
      <c r="E33" s="21" t="s">
        <v>152</v>
      </c>
      <c r="F33" s="21" t="s">
        <v>151</v>
      </c>
      <c r="G33" s="21" t="s">
        <v>150</v>
      </c>
    </row>
    <row r="34" spans="2:7" x14ac:dyDescent="0.45">
      <c r="B34" s="21" t="s">
        <v>179</v>
      </c>
      <c r="C34" s="21">
        <v>7</v>
      </c>
      <c r="D34" s="21" t="s">
        <v>146</v>
      </c>
      <c r="E34" s="21" t="s">
        <v>180</v>
      </c>
      <c r="F34" s="21" t="s">
        <v>85</v>
      </c>
      <c r="G34" s="21" t="s">
        <v>150</v>
      </c>
    </row>
    <row r="35" spans="2:7" x14ac:dyDescent="0.45">
      <c r="B35" s="21" t="s">
        <v>179</v>
      </c>
      <c r="C35" s="21">
        <v>7</v>
      </c>
      <c r="D35" s="21" t="s">
        <v>146</v>
      </c>
      <c r="E35" s="21" t="s">
        <v>181</v>
      </c>
      <c r="F35" s="21" t="s">
        <v>182</v>
      </c>
      <c r="G35" s="21" t="s">
        <v>0</v>
      </c>
    </row>
    <row r="36" spans="2:7" x14ac:dyDescent="0.45">
      <c r="B36" s="21" t="s">
        <v>179</v>
      </c>
      <c r="C36" s="21">
        <v>7</v>
      </c>
      <c r="D36" s="21" t="s">
        <v>146</v>
      </c>
      <c r="E36" s="21" t="s">
        <v>194</v>
      </c>
      <c r="F36" s="21" t="s">
        <v>195</v>
      </c>
      <c r="G36" s="21" t="s">
        <v>0</v>
      </c>
    </row>
    <row r="37" spans="2:7" x14ac:dyDescent="0.45">
      <c r="B37" s="21" t="s">
        <v>179</v>
      </c>
      <c r="C37" s="21">
        <v>7</v>
      </c>
      <c r="D37" s="21" t="s">
        <v>146</v>
      </c>
      <c r="E37" s="21" t="s">
        <v>159</v>
      </c>
      <c r="F37" s="21" t="s">
        <v>158</v>
      </c>
      <c r="G37" s="21" t="s">
        <v>150</v>
      </c>
    </row>
    <row r="38" spans="2:7" x14ac:dyDescent="0.45">
      <c r="B38" s="21" t="s">
        <v>179</v>
      </c>
      <c r="C38" s="21">
        <v>7</v>
      </c>
      <c r="D38" s="21" t="s">
        <v>146</v>
      </c>
      <c r="E38" s="21" t="s">
        <v>198</v>
      </c>
      <c r="F38" s="21" t="s">
        <v>199</v>
      </c>
      <c r="G38" s="21" t="s">
        <v>150</v>
      </c>
    </row>
    <row r="39" spans="2:7" x14ac:dyDescent="0.45">
      <c r="B39" s="21" t="s">
        <v>179</v>
      </c>
      <c r="C39" s="21">
        <v>7</v>
      </c>
      <c r="D39" s="21" t="s">
        <v>146</v>
      </c>
      <c r="E39" s="21" t="s">
        <v>145</v>
      </c>
      <c r="F39" s="21" t="s">
        <v>144</v>
      </c>
      <c r="G39" s="21" t="s">
        <v>143</v>
      </c>
    </row>
    <row r="40" spans="2:7" x14ac:dyDescent="0.45">
      <c r="B40" s="21" t="s">
        <v>147</v>
      </c>
      <c r="C40" s="21">
        <v>4</v>
      </c>
      <c r="D40" s="21" t="s">
        <v>146</v>
      </c>
      <c r="E40" s="21" t="s">
        <v>175</v>
      </c>
      <c r="F40" s="21" t="s">
        <v>174</v>
      </c>
      <c r="G40" s="21" t="s">
        <v>0</v>
      </c>
    </row>
    <row r="41" spans="2:7" x14ac:dyDescent="0.45">
      <c r="B41" s="25" t="s">
        <v>147</v>
      </c>
      <c r="C41" s="21">
        <v>4</v>
      </c>
      <c r="D41" s="21" t="s">
        <v>146</v>
      </c>
      <c r="E41" s="25" t="s">
        <v>309</v>
      </c>
      <c r="F41" s="25" t="s">
        <v>310</v>
      </c>
      <c r="G41" s="25" t="s">
        <v>0</v>
      </c>
    </row>
    <row r="42" spans="2:7" x14ac:dyDescent="0.45">
      <c r="B42" s="25" t="s">
        <v>147</v>
      </c>
      <c r="C42" s="21">
        <v>4</v>
      </c>
      <c r="D42" s="21" t="s">
        <v>146</v>
      </c>
      <c r="E42" s="21" t="s">
        <v>313</v>
      </c>
      <c r="F42" s="25" t="s">
        <v>316</v>
      </c>
      <c r="G42" s="25" t="s">
        <v>0</v>
      </c>
    </row>
    <row r="43" spans="2:7" x14ac:dyDescent="0.45">
      <c r="B43" s="25" t="s">
        <v>147</v>
      </c>
      <c r="C43" s="21">
        <v>5</v>
      </c>
      <c r="D43" s="21" t="s">
        <v>146</v>
      </c>
      <c r="E43" s="21" t="s">
        <v>173</v>
      </c>
      <c r="F43" s="21" t="s">
        <v>172</v>
      </c>
      <c r="G43" s="21" t="s">
        <v>0</v>
      </c>
    </row>
    <row r="44" spans="2:7" x14ac:dyDescent="0.45">
      <c r="B44" s="21" t="s">
        <v>147</v>
      </c>
      <c r="C44" s="21">
        <v>5</v>
      </c>
      <c r="D44" s="21" t="s">
        <v>146</v>
      </c>
      <c r="E44" s="21" t="s">
        <v>165</v>
      </c>
      <c r="F44" s="21" t="s">
        <v>164</v>
      </c>
      <c r="G44" s="21" t="s">
        <v>150</v>
      </c>
    </row>
    <row r="45" spans="2:7" x14ac:dyDescent="0.45">
      <c r="B45" s="21" t="s">
        <v>147</v>
      </c>
      <c r="C45" s="21">
        <v>5</v>
      </c>
      <c r="D45" s="21" t="s">
        <v>146</v>
      </c>
      <c r="E45" s="21" t="s">
        <v>171</v>
      </c>
      <c r="F45" s="21" t="s">
        <v>170</v>
      </c>
      <c r="G45" s="21" t="s">
        <v>150</v>
      </c>
    </row>
    <row r="46" spans="2:7" x14ac:dyDescent="0.45">
      <c r="B46" s="21" t="s">
        <v>147</v>
      </c>
      <c r="C46" s="21">
        <v>5</v>
      </c>
      <c r="D46" s="21" t="s">
        <v>146</v>
      </c>
      <c r="E46" s="21" t="s">
        <v>154</v>
      </c>
      <c r="F46" s="21" t="s">
        <v>153</v>
      </c>
      <c r="G46" s="21" t="s">
        <v>0</v>
      </c>
    </row>
    <row r="47" spans="2:7" x14ac:dyDescent="0.45">
      <c r="B47" s="21" t="s">
        <v>147</v>
      </c>
      <c r="C47" s="21">
        <v>5</v>
      </c>
      <c r="D47" s="21" t="s">
        <v>146</v>
      </c>
      <c r="E47" s="21" t="s">
        <v>169</v>
      </c>
      <c r="F47" s="21" t="s">
        <v>168</v>
      </c>
      <c r="G47" s="21" t="s">
        <v>0</v>
      </c>
    </row>
    <row r="48" spans="2:7" x14ac:dyDescent="0.45">
      <c r="B48" s="21" t="s">
        <v>147</v>
      </c>
      <c r="C48" s="21">
        <v>5</v>
      </c>
      <c r="D48" s="21" t="s">
        <v>146</v>
      </c>
      <c r="E48" s="21" t="s">
        <v>167</v>
      </c>
      <c r="F48" s="21" t="s">
        <v>166</v>
      </c>
      <c r="G48" s="21" t="s">
        <v>0</v>
      </c>
    </row>
    <row r="49" spans="2:7" x14ac:dyDescent="0.45">
      <c r="B49" s="21" t="s">
        <v>147</v>
      </c>
      <c r="C49" s="21">
        <v>5</v>
      </c>
      <c r="D49" s="21" t="s">
        <v>146</v>
      </c>
      <c r="E49" s="21" t="s">
        <v>152</v>
      </c>
      <c r="F49" s="21" t="s">
        <v>151</v>
      </c>
      <c r="G49" s="21" t="s">
        <v>150</v>
      </c>
    </row>
    <row r="50" spans="2:7" x14ac:dyDescent="0.45">
      <c r="B50" s="21" t="s">
        <v>147</v>
      </c>
      <c r="C50" s="21">
        <v>5</v>
      </c>
      <c r="D50" s="21" t="s">
        <v>146</v>
      </c>
      <c r="E50" s="21" t="s">
        <v>165</v>
      </c>
      <c r="F50" s="21" t="s">
        <v>164</v>
      </c>
      <c r="G50" s="21" t="s">
        <v>150</v>
      </c>
    </row>
    <row r="51" spans="2:7" x14ac:dyDescent="0.45">
      <c r="B51" s="21" t="s">
        <v>147</v>
      </c>
      <c r="C51" s="21">
        <v>5</v>
      </c>
      <c r="D51" s="21" t="s">
        <v>146</v>
      </c>
      <c r="E51" s="21" t="s">
        <v>152</v>
      </c>
      <c r="F51" s="21" t="s">
        <v>151</v>
      </c>
      <c r="G51" s="21" t="s">
        <v>150</v>
      </c>
    </row>
    <row r="52" spans="2:7" x14ac:dyDescent="0.45">
      <c r="B52" s="21" t="s">
        <v>147</v>
      </c>
      <c r="C52" s="21">
        <v>5</v>
      </c>
      <c r="D52" s="21" t="s">
        <v>146</v>
      </c>
      <c r="E52" s="21" t="s">
        <v>165</v>
      </c>
      <c r="F52" s="21" t="s">
        <v>164</v>
      </c>
      <c r="G52" s="21" t="s">
        <v>150</v>
      </c>
    </row>
    <row r="53" spans="2:7" x14ac:dyDescent="0.45">
      <c r="B53" s="21" t="s">
        <v>147</v>
      </c>
      <c r="C53" s="21">
        <v>5</v>
      </c>
      <c r="D53" s="21" t="s">
        <v>146</v>
      </c>
      <c r="E53" s="21" t="s">
        <v>163</v>
      </c>
      <c r="F53" s="21" t="s">
        <v>162</v>
      </c>
      <c r="G53" s="21" t="s">
        <v>0</v>
      </c>
    </row>
    <row r="54" spans="2:7" x14ac:dyDescent="0.45">
      <c r="B54" s="21" t="s">
        <v>147</v>
      </c>
      <c r="C54" s="21">
        <v>5</v>
      </c>
      <c r="D54" s="21" t="s">
        <v>146</v>
      </c>
      <c r="E54" s="21" t="s">
        <v>161</v>
      </c>
      <c r="F54" s="21" t="s">
        <v>160</v>
      </c>
      <c r="G54" s="21" t="s">
        <v>0</v>
      </c>
    </row>
    <row r="55" spans="2:7" x14ac:dyDescent="0.45">
      <c r="B55" s="21" t="s">
        <v>147</v>
      </c>
      <c r="C55" s="21">
        <v>5</v>
      </c>
      <c r="D55" s="21" t="s">
        <v>146</v>
      </c>
      <c r="E55" s="21" t="s">
        <v>159</v>
      </c>
      <c r="F55" s="21" t="s">
        <v>158</v>
      </c>
      <c r="G55" s="21" t="s">
        <v>150</v>
      </c>
    </row>
    <row r="56" spans="2:7" x14ac:dyDescent="0.45">
      <c r="B56" s="21" t="s">
        <v>147</v>
      </c>
      <c r="C56" s="21">
        <v>5</v>
      </c>
      <c r="D56" s="21" t="s">
        <v>146</v>
      </c>
      <c r="E56" s="21" t="s">
        <v>145</v>
      </c>
      <c r="F56" s="21" t="s">
        <v>144</v>
      </c>
      <c r="G56" s="21" t="s">
        <v>143</v>
      </c>
    </row>
    <row r="57" spans="2:7" ht="55.5" x14ac:dyDescent="0.45">
      <c r="B57" s="21" t="s">
        <v>147</v>
      </c>
      <c r="C57" s="21">
        <v>5</v>
      </c>
      <c r="D57" s="21" t="s">
        <v>146</v>
      </c>
      <c r="E57" s="21" t="s">
        <v>157</v>
      </c>
      <c r="F57" s="22" t="s">
        <v>156</v>
      </c>
      <c r="G57" s="21" t="s">
        <v>155</v>
      </c>
    </row>
    <row r="58" spans="2:7" x14ac:dyDescent="0.45">
      <c r="B58" s="21" t="s">
        <v>147</v>
      </c>
      <c r="C58" s="21">
        <v>6</v>
      </c>
      <c r="D58" s="21" t="s">
        <v>146</v>
      </c>
      <c r="E58" s="21" t="s">
        <v>154</v>
      </c>
      <c r="F58" s="21" t="s">
        <v>153</v>
      </c>
      <c r="G58" s="21" t="s">
        <v>0</v>
      </c>
    </row>
    <row r="59" spans="2:7" x14ac:dyDescent="0.45">
      <c r="B59" s="21" t="s">
        <v>147</v>
      </c>
      <c r="C59" s="21">
        <v>6</v>
      </c>
      <c r="D59" s="21" t="s">
        <v>146</v>
      </c>
      <c r="E59" s="21" t="s">
        <v>152</v>
      </c>
      <c r="F59" s="21" t="s">
        <v>151</v>
      </c>
      <c r="G59" s="21" t="s">
        <v>150</v>
      </c>
    </row>
    <row r="60" spans="2:7" x14ac:dyDescent="0.45">
      <c r="B60" s="21" t="s">
        <v>147</v>
      </c>
      <c r="C60" s="21">
        <v>6</v>
      </c>
      <c r="D60" s="21" t="s">
        <v>146</v>
      </c>
      <c r="E60" s="21" t="s">
        <v>149</v>
      </c>
      <c r="F60" s="21" t="s">
        <v>148</v>
      </c>
      <c r="G60" s="21" t="s">
        <v>0</v>
      </c>
    </row>
    <row r="61" spans="2:7" x14ac:dyDescent="0.45">
      <c r="B61" s="21" t="s">
        <v>147</v>
      </c>
      <c r="C61" s="21">
        <v>6</v>
      </c>
      <c r="D61" s="21" t="s">
        <v>146</v>
      </c>
      <c r="E61" s="21" t="s">
        <v>145</v>
      </c>
      <c r="F61" s="21" t="s">
        <v>144</v>
      </c>
      <c r="G61" s="21" t="s">
        <v>143</v>
      </c>
    </row>
  </sheetData>
  <phoneticPr fontId="10" type="noConversion"/>
  <conditionalFormatting sqref="B44:G61 B3:G42">
    <cfRule type="expression" dxfId="1" priority="1">
      <formula>(($B3&lt;&gt;$B2)+($C3&lt;&gt;$C2))</formula>
    </cfRule>
  </conditionalFormatting>
  <conditionalFormatting sqref="B43:G43">
    <cfRule type="expression" dxfId="0" priority="5">
      <formula>(($B43&lt;&gt;$B40)+($C43&lt;&gt;$C40))</formula>
    </cfRule>
  </conditionalFormatting>
  <dataValidations count="1">
    <dataValidation type="list" allowBlank="1" showInputMessage="1" showErrorMessage="1" sqref="D3:D61" xr:uid="{DD21DE72-22E8-46E0-8FCA-AC6C5081F1BD}">
      <formula1>"Command,Lambda"</formula1>
    </dataValidation>
  </dataValidation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item1.xml><?xml version="1.0" encoding="utf-8"?>
<Text><![CDATA[
/*Aligns contents of array to the right - ignoring blanks*/
RightAlignedArray_byJaqKennedy = LAMBDA(input,LET(\\LambdaName, "RightAlignedArray", \\CommandName, "Align array to right", \\Description, "Aligns array to the right with blanks to left", \\Source, "Jaq Kennedy", _ColsByRow, BYROW(input, COUNT), _Rows, ROWS(input), _Cols, COLUMNS(input), _ColIndex, IF(MOD(SEQUENCE(_Rows, _Cols) - 1, _Cols) + 1 - _Cols + _ColsByRow <= 0, -1, MOD(SEQUENCE(_Rows, _Cols) - 1, _Cols) + 1 - _Cols + _ColsByRow), _RowIndex, SEQUENCE(_Rows), _Result, IFERROR(INDEX(input, _RowIndex, _ColIndex), ""), _Result));
]]></Text>
</file>

<file path=customXml/item2.xml><?xml version="1.0" encoding="utf-8"?>
<Text><![CDATA[
LkpRCByRow = LAMBDA(ToFind,Range,LET(\\LambdaName, "LkpRCByRow", \\CommandName, "Lookup Value by Row", \\Description, "Returns RC location of a list of values in a range", \\Source, "Jaq Kennedy", BiRow_byPeterBartholomew(ToFind, LAMBDA(a, IFERROR(CHOOSEROWS(LkpRC(a, Range), 1), {"",""})))));
]]></Text>
</file>

<file path=customXml/item3.xml><?xml version="1.0" encoding="utf-8"?>
<Text><![CDATA[
IFBLANK = LAMBDA(value,value_if_blank, IF(ISBLANK(value), value_if_blank, value));
]]></Text>
</file>

<file path=customXml/item4.xml><?xml version="1.0" encoding="utf-8"?>
<Text><![CDATA[
GRIDTOCOL_byLiannaGerrish = LAMBDA(grid,[ShowAll_0], LET(
   \\LambdaName, "GRIDTOCOL",
   items_grid, TOCOL(grid),
   addr_col, TOCOL(ADDRESSES_byDiarmuidEarly(grid)),
   rows, ROW(INDIRECT(addr_col)) * 1,
   cols, COLUMN(INDIRECT(addr_col)) * 1,
   rcnum, TOCOL(1000000 * rows + 1000 + cols),
   headers, HSTACK("Items", "Row #", "Column #", "Address", "RCRef"),
   data_grid, HSTACK(items_grid, rows, cols, addr_col, rcnum),
   IF(
      OR(ISOMITTED(ShowAll_0), ShowAll_0 <> 0),
      VSTACK(headers, FILTER(data_grid, CHOOSECOLS(data_grid, 1) <> 0)),
      VSTACK(headers, data_grid)
   )
));
]]></Text>
</file>

<file path=customXml/item5.xml><?xml version="1.0" encoding="utf-8"?>
<Text><![CDATA[
]]></Text>
</file>

<file path=customXml/item6.xml><?xml version="1.0" encoding="utf-8"?>
<Text><![CDATA[
LkpRC = LAMBDA(ToFind,Range,LET(\\LambdaName, "LkpRC", \\CommandName, "Lookup RC coordinates ", \\Description, "Looks up RC coordinates of matching cell(s) in range", CHOOSECOLS(FilterArray_byErikOehm(GRIDTOCOL_byLiannaGerrish(Range), {1}, ToFind), {2,3})));
]]></Text>
</file>

<file path=customXml/item7.xml>�� 
</file>

<file path=customXml/item8.xml><?xml version="1.0" encoding="utf-8"?>
<Text><![CDATA[
FilterArray_byErikOehm = LAMBDA(data,column_indexes,filter_values,LET(\\LambdaName, "FilterArray", FILTER(data, BYROW(IsInList_byErikOehm(CHOOSECOLS(data, column_indexes), filter_values), LAMBDA(x, AND(x))))));
]]></Text>
</file>

<file path=customXml/item9.xml><?xml version="1.0" encoding="utf-8"?>
<Text><![CDATA[
GRIDTOCOL_byLiannaGerrish = LAMBDA(grid,[ShowAll_0], LET(
   \\LambdaName, "GRIDTOCOL",
   items_grid, TOCOL(grid),
   addr_col, TOCOL(ADDRESSES_byDiarmuidEarly(grid)),
   rows, ROW(INDIRECT(addr_col)) * 1,
   cols, COLUMN(INDIRECT(addr_col)) * 1,
   rcnum, TOCOL(1000000 * rows + 1000 + cols),
   headers, HSTACK("Items", "Row #", "Column #", "Address", "RCRef"),
   data_grid, HSTACK(items_grid, rows, cols, addr_col, rcnum),
   IF(
      OR(ISOMITTED(ShowAll_0), ShowAll_0 <> 0),
      VSTACK(headers, FILTER(data_grid, CHOOSECOLS(data_grid, 1) <> 0)),
      VSTACK(headers, data_grid)
   )
));
]]></Text>
</file>

<file path=customXml/item10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Cj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11.xml><?xml version="1.0" encoding="utf-8"?>
<Text><![CDATA[
LkpRCByRow = LAMBDA(ToFind,Range,LET(\\LambdaName, "LkpRCByRow", \\CommandName, "Lookup Value by Row", \\Description, "Returns RC location of a list of values in a range", \\Source, "Jaq Kennedy", BiRow_byPeterBartholomew(ToFind, LAMBDA(a, IFERROR(CHOOSEROWS(LkpRC(a, Range), 1), {"",""})))));
]]></Text>
</file>

<file path=customXml/item12.xml><?xml version="1.0" encoding="utf-8"?>
<writeIndexDataTable>
  <xs:schema xmlns="" xmlns:xs="http://www.w3.org/2001/XMLSchema" xmlns:msdata="urn:schemas-microsoft-com:xml-msdata" id="writeIndexDataTable">
    <xs:element name="write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ItemSub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21/04/2025 11:00:05 +01:00</LastUpdated>
    <CustomXmlPartGuid>{B29441DE-9450-4C77-8FDD-71E30398E5D5}</CustomXmlPartGuid>
  </CustomXmlPartIndex>
  <CustomXmlPartIndex>
    <CollectionName>HotkeyCommands</CollectionName>
    <ItemName>ADDRESSES_byDiarmuidEarly.lambda</ItemName>
    <ItemDescription/>
    <ItemType>Text</ItemType>
    <ItemSubtype/>
    <LastUpdated>21/04/2025 11:00:05 +01:00</LastUpdated>
    <CustomXmlPartGuid>{BA2A756B-CCFF-4D9F-9086-30B75FE80E63}</CustomXmlPartGuid>
  </CustomXmlPartIndex>
  <CustomXmlPartIndex>
    <CollectionName>HotkeyCommands</CollectionName>
    <ItemName>BiRow_byPeterBartholomew.lambda</ItemName>
    <ItemDescription/>
    <ItemType>Text</ItemType>
    <ItemSubtype/>
    <LastUpdated>21/04/2025 11:00:05 +01:00</LastUpdated>
    <CustomXmlPartGuid>{85C0B66C-80EA-473B-810E-3F8477191A87}</CustomXmlPartGuid>
  </CustomXmlPartIndex>
  <CustomXmlPartIndex>
    <CollectionName>HotkeyCommands</CollectionName>
    <ItemName>DiffByRow_byJaqKennedy.lambda</ItemName>
    <ItemDescription/>
    <ItemType>Text</ItemType>
    <ItemSubtype/>
    <LastUpdated>21/04/2025 11:00:05 +01:00</LastUpdated>
    <CustomXmlPartGuid>{79C38505-B4DC-4293-8697-7DBF85E41979}</CustomXmlPartGuid>
  </CustomXmlPartIndex>
  <CustomXmlPartIndex>
    <CollectionName>HotkeyCommands</CollectionName>
    <ItemName>FilterArray_byErikOehm.lambda</ItemName>
    <ItemDescription/>
    <ItemType>Text</ItemType>
    <ItemSubtype/>
    <LastUpdated>21/04/2025 11:00:05 +01:00</LastUpdated>
    <CustomXmlPartGuid>{05268766-9FF0-4B10-843A-48604AB44403}</CustomXmlPartGuid>
  </CustomXmlPartIndex>
  <CustomXmlPartIndex>
    <CollectionName>HotkeyCommands</CollectionName>
    <ItemName>GRIDTOCOL_byLiannaGerrish.lambda</ItemName>
    <ItemDescription/>
    <ItemType>Text</ItemType>
    <ItemSubtype/>
    <LastUpdated>21/04/2025 11:00:05 +01:00</LastUpdated>
    <CustomXmlPartGuid>{A7D3DD68-9D1C-490D-83E8-EA073A4DAEAB}</CustomXmlPartGuid>
  </CustomXmlPartIndex>
  <CustomXmlPartIndex>
    <CollectionName>HotkeyCommands</CollectionName>
    <ItemName>IFBLANK.lambda</ItemName>
    <ItemDescription/>
    <ItemType>Text</ItemType>
    <ItemSubtype/>
    <LastUpdated>21/04/2025 11:00:05 +01:00</LastUpdated>
    <CustomXmlPartGuid>{51825235-BDD4-45E9-9DF5-0C5C86BC4E6C}</CustomXmlPartGuid>
  </CustomXmlPartIndex>
  <CustomXmlPartIndex>
    <CollectionName>HotkeyCommands</CollectionName>
    <ItemName>IsInList_byErikOehm.lambda</ItemName>
    <ItemDescription/>
    <ItemType>Text</ItemType>
    <ItemSubtype/>
    <LastUpdated>21/04/2025 11:00:05 +01:00</LastUpdated>
    <CustomXmlPartGuid>{410B1BC6-485F-4569-BA90-F8AF9BFC5329}</CustomXmlPartGuid>
  </CustomXmlPartIndex>
  <CustomXmlPartIndex>
    <CollectionName>HotkeyCommands</CollectionName>
    <ItemName>LkpRC.lambda</ItemName>
    <ItemDescription/>
    <ItemType>Text</ItemType>
    <ItemSubtype/>
    <LastUpdated>21/04/2025 11:00:05 +01:00</LastUpdated>
    <CustomXmlPartGuid>{E888EC11-1EFE-45C6-8C22-9CA4F5AB9AD9}</CustomXmlPartGuid>
  </CustomXmlPartIndex>
  <CustomXmlPartIndex>
    <CollectionName>HotkeyCommands</CollectionName>
    <ItemName>LkpRCByRow.lambda</ItemName>
    <ItemDescription/>
    <ItemType>Text</ItemType>
    <ItemSubtype/>
    <LastUpdated>21/04/2025 11:00:05 +01:00</LastUpdated>
    <CustomXmlPartGuid>{E330786D-6DC9-4669-97BA-097810B0DBC8}</CustomXmlPartGuid>
  </CustomXmlPartIndex>
  <CustomXmlPartIndex>
    <CollectionName>HotkeyCommands</CollectionName>
    <ItemName>RightAlignedArray_byJaqKennedy.lambda</ItemName>
    <ItemDescription/>
    <ItemType>Text</ItemType>
    <ItemSubtype/>
    <LastUpdated>21/04/2025 11:00:05 +01:00</LastUpdated>
    <CustomXmlPartGuid>{1B41C6AB-50E0-406D-9C57-5DB9E67B067E}</CustomXmlPartGuid>
  </CustomXmlPartIndex>
</writeIndexDataTable>
</file>

<file path=customXml/item13.xml><?xml version="1.0" encoding="utf-8"?>
<Text><![CDATA[
BiRow_byPeterBartholomew = LAMBDA(array,function,LET(\\LambdaName, "BiRow_byPeterBartholomew", \\Description, "Perform array function by row", \\Source, "attributed to Peter Bartholomew: https://techcommunity.microsoft.com/discussions/excelgeneral/recursive-lambda-implementation-of-excels-reduce-function-/3949754/replies/3952653#M207809", IF(ROWS(array) = 1, function(array), VSTACK(BiRow_byPeterBartholomew(TAKE(array, ROWS(array) / 2), function), BiRow_byPeterBartholomew(DROP(array, ROWS(array) / 2), function)))));
]]></Text>
</file>

<file path=customXml/item14.xml><?xml version="1.0" encoding="utf-8"?>
<Text><![CDATA[
IFBLANK = LAMBDA(value,value_if_blank, IF(ISBLANK(value), value_if_blank, value));
]]></Text>
</file>

<file path=customXml/item15.xml><?xml version="1.0" encoding="utf-8"?>
<Text><![CDATA[
ADDRESSES_byDiarmuidEarly = LAMBDA(rng, ADDRESS(ROW(rng), COLUMN(rng), 4));
]]></Text>
</file>

<file path=customXml/item16.xml><?xml version="1.0" encoding="utf-8"?>
<Text><![CDATA[
IsInList =     LAMBDA(array,list,LET(
   \\LambdaName, "IsInList",
MAP(array,LAMBDA(x,OR(list=x))))
);
]]></Text>
</file>

<file path=customXml/item17.xml><?xml version="1.0" encoding="utf-8"?>
<JSON><![CDATA[
{
  "Commands": [
    {
      "Name": "Align Array to Right",
      "Description": "Aligns array to the right with blanks to left",
      "Type": "ExcelFormulaCommand",
      "LaunchCodes": [
        "ar"
      ],
      "Formula": "=RightAlignedArray_byJaqKennedy(IFBLANK([[ActiveCell::Formula]],\"\"))",
      "Tags": [
        "WrapWith"
      ],
      "FormulaDependencies": [
        "RightAlignedArray_byJaqKennedy.lambda",
        "IFBLANK.lambda"
      ]
    },
    {
      "Name": "Backup Sheets in Workbook",
      "Description": "Copy all sheets in workbook for backup",
      "Type": "VBAMacroCommand",
      "LaunchCodes": [
        "BU"
      ],
      "MacroExpression": "modCaseSetup.Backup()",
      "Tags": [
        "Prep"
      ],
      "MacroWorkbookConnection": "ThisWorkbook"
    },
    {
      "Name": "Clear Lambdas",
      "Description": "Clear lambdas that aren't in Lambdas table - for Comp Bot maintenance",
      "Type": "VBAMacroCommand",
      "LaunchCodes": [
        "CL"
      ],
      "MacroExpression": "modLambdas.ClearLambdas()",
      "Tags": [
        "Maintenance"
      ]
    },
    {
      "Name": "Create Blank Sheet",
      "Description": "Creates a blank sheet named based on cell value (Sht otherwise)",
      "Type": "VBAMacroCommand",
      "LaunchCodes": [
        "BS",
        "CBS",
        "S"
      ],
      "MacroExpression": "modMisc.CreateBlankSheet([[ActiveCell]])",
      "Tags": [
        "Prep"
      ],
      "MacroWorkbookConnection": "ThisWorkbook"
    },
    {
      "Name": "Create Bonus Sheet",
      "Description": "Creates bonus sheet \"B\" with bonus questions",
      "Type": "VBAMacroCommand",
      "LaunchCodes": [
        "CB",
        "CBS"
      ],
      "MacroExpression": "modCaseSetup.CreateBonusSheet()",
      "Tags": [
        "Prep"
      ]
    },
    {
      "Name": "Create Case Inputs Sheet",
      "Description": "Creates a case inputs sheet with the inputs for the current case",
      "Type": "VBAMacroCommand",
      "LaunchCodes": [
        "CIS",
        "IS"
      ],
      "MacroExpression": "modCaseSetup.CreateCaseInputsSheet([[ActiveCell]])",
      "Tags": [
        "Prep"
      ],
      "MacroWorkbookConnection": "ThisWorkbook"
    },
    {
      "Name": "Create Data Table",
      "Description": "Creates a data table on the current sheet for level sheets \"L#\" or active cell = \"Example#\"",
      "Type": "VBAMacroCommand",
      "LaunchCodes": [
        "CDT",
        "DT"
      ],
      "MacroExpression": "modCaseSetup.CreateDataTable([[NewTableTargetToRight]])",
      "Tags": [
        "Prep"
      ]
    },
    {
      "Name": "Create Level Sheets",
      "Description": "Creates a sheet for each level in the Case sheet",
      "Type": "VBAMacroCommand",
      "LaunchCodes": [
        "CL",
        "CLS"
      ],
      "MacroExpression": "modCaseSetup.CreateLevelSheets()",
      "Tags": [
        "Prep"
      ]
    },
    {
      "Name": "Default Settings",
      "Description": "Updates default settings to those in Default Settings sheet",
      "Type": "VBAMacroCommand",
      "LaunchCodes": [
        "DS"
      ],
      "MacroExpression": "modMisc.DefaultSettings()",
      "Tags": [
        "Settings"
      ]
    },
    {
      "Name": "Difference of Array Columns by Row",
      "Description": "Returns first column - last column in array",
      "Type": "ExcelFormulaCommand",
      "LaunchCodes": [
        "diff",
        "dbr"
      ],
      "Formula": "=DiffByRow_byJaqKennedy([[ActiveCell::Formula]])",
      "Tags": [
        "WrapWith"
      ],
      "FormulaDependencies": [
        "DiffByRow_byJaqKennedy.lambda"
      ]
    },
    {
      "Name": "Eggy",
      "Description": "Easter Egg Fun",
      "Type": "VBAMacroCommand",
      "MacroExpression": "modUtilities.Eggy()"
    },
    {
      "Name": "Find Above In Left",
      "Description": "Find above value(s) in left value(s).",
      "Type": "ExcelFormulaCommand",
      "LaunchCodes": [
        "fal"
      ],
      "Formula": "=1-ISERROR(FIND([[ActiveCell.Offset(-1,0).SpillParent.SpillingToRange]],[[ActiveCell.Offset(0,-1).SpillParent.SpillingToRange]]))",
      "Tags": [
        "WrapWith"
      ]
    },
    {
      "Name": "Full Setup Case",
      "Description": "Setup case by running Backup and Level sheet creation",
      "Type": "VBAMacroCommand",
      "ShortCutSendKeyString": "^+g",
      "CommandAfter": "Import Lambda Library",
      "LaunchCodes": [
        "SC"
      ],
      "MacroExpression": "modCaseSetup.Setup()",
      "Tags": [
        "Prep"
      ]
    },
    {
      "Name": "Get Time",
      "Description": "Get current time.",
      "Type": "VBAMacroCommand",
      "LaunchCodes": [
        "NOW"
      ],
      "MacroExpression": "modUtilities.GetTime()",
      "Tags": [
        "Misc"
      ]
    },
    {
      "Name": "Goto Similar Background Color",
      "Description": "Goto similar background color.",
      "Type": "VBAMacroCommand",
      "LaunchCodes": [
        "SBC"
      ],
      "MacroExpression": "modGoToSpecial.GotoSimilarBackgroundColor()",
      "Tags": [
        "GoTo"
      ]
    },
    {
      "Name": "Import Lambda Library",
      "Description": "Imports CompBot's lambda collection into active workbook",
      "Type": "VBAMacroCommand",
      "LaunchCodes": [
        "IL"
      ],
      "MacroExpression": "modImportLambdas.ImportAllLambdas(\"CompBot.xlsm\")",
      "Tags": [
        "LAMBDA",
        "Prep"
      ],
      "MacroWorkbookConnection": "Lambda Robot"
    },
    {
      "Name": "Import Lambdas From",
      "Description": "Import lambdas from a specified workbook",
      "Type": "VBAMacroCommand",
      "LaunchCodes": [
        "ILF"
      ],
      "MacroExpression": "modLambdas.ImportLambdasFrom()",
      "Tags": [
        "LAMBDA",
        "Prep"
      ]
    },
    {
      "Name": "Insert image in cell",
      "Description": "Insert image in cell.",
      "Type": "ExcelSendKeysCommand",
      "LaunchCodes": [
        "II"
      ],
      "Keystrokes": [
        "%npid"
      ]
    },
    {
      "Name": "Lookup Value by Row",
      "Description": "Returns RC location of a list of values in a range",
      "Type": "ExcelFormulaCommand",
      "LaunchCodes": [
        "lkp"
      ],
      "Formula": "=LkpRCByRow([[ActiveCell::Formula]],[[Clipboard::Address]])",
      "Tags": [
        "WrapWith"
      ],
      "FormulaDependencies": [
        "LkpRCByRow.lambda",
        "BiRow.lambda",
        "LkpRC.lambda",
        "FilterArray.lambda",
        "IsInList.lambda",
        "GRIDTOCOL_byLiannaGerrish.lambda",
        "ADDRESSES_byDiarmuidEarly.lambda"
      ]
    },
    {
      "Name": "Name All Used Ranges",
      "Description": "Renames used range in all sheets",
      "Type": "VBAMacroCommand",
      "LaunchCodes": [
        "NA",
        "NAUR"
      ],
      "MacroExpression": "modNames.NameAllUsedRanges()",
      "Tags": [
        "Name"
      ]
    },
    {
      "Name": "Name Used Ranges",
      "Description": "Names used range in all sheets starting with the prefix as provided in the active cell",
      "Type": "VBAMacroCommand",
      "LaunchCodes": [
        "NURS"
      ],
      "MacroExpression": "modNames.NameUsedRanges([[ActiveCell]])",
      "Tags": [
        "Name"
      ]
    },
    {
      "Name": "Negative Values",
      "Description": "Negative values. with errors as blank",
      "Type": "ExcelFormulaCommand",
      "LaunchCodes": [
        "neg"
      ],
      "Formula": "=IFERROR(-([[ActiveCell::Formula]]),\"\")",
      "Tags": [
        "WrapWith"
      ]
    },
    {
      "Name": "Rename Sheets",
      "Description": "Rename multi-word sheet names",
      "Type": "VBAMacroCommand",
      "LaunchCodes": [
        "rs"
      ],
      "MacroExpression": "modCaseSetup.RenameSht()",
      "Tags": [
        "Prep"
      ]
    },
    {
      "Name": "Save Answers To Left",
      "Description": "Saves references to the selected cells in the green answer cells to the left on the same row.",
      "Type": "VBAMacroCommand",
      "LaunchCodes": [
        "SAL"
      ],
      "MacroExpression": "modCaseSetup.SaveAnswersToLeft()",
      "Tags": [
        "Paste"
      ]
    },
    {
      "Name": "Save Copy of File",
      "Description": "Enable editing and save copy of file with suffix based on active cell (otherwise Working)",
      "Type": "VBAMacroCommand",
      "LaunchCodes": [
        "SA"
      ],
      "MacroExpression": "modCaseSetup.SaveCopy([[ActiveCell]])",
      "Tags": [
        "Prep"
      ]
    },
    {
      "Name": "Sequence of Row Count",
      "Description": "Sequence of row count of array variable",
      "Type": "ExcelFormulaCommand",
      "LaunchCodes": [
        "src"
      ],
      "Formula": "=SEQUENCE(ROWS([[ActiveCell::Formula]]),1,1,1)",
      "Tags": [
        "WrapWith"
      ]
    },
    {
      "Name": "Setup Case",
      "Description": "Setup case by running Backup and Level sheet creation",
      "Type": "VBAMacroCommand",
      "LaunchCodes": [
        "SC"
      ],
      "MacroExpression": "modCaseSetup.Setup()",
      "Tags": [
        "Prep"
      ]
    },
    {
      "Name": "Substitute Blank for 0",
      "Description": "Substitute blank values for 0",
      "Type": "ExcelFormulaCommand",
      "LaunchCodes": [
        "sb0"
      ],
      "Formula": "=SUBSTITUTE([[ActiveCell::Formula]],\"\",0)",
      "Tags": [
        "WrapWith"
      ]
    },
    {
      "Name": "Substitute Blank for 1",
      "Description": "Substitute blank cells for 1",
      "Type": "ExcelFormulaCommand",
      "LaunchCodes": [
        "sb1"
      ],
      "Formula": "=SUBSTITUTE([[ActiveCell::Formula]],\"\",1)",
      "Tags": [
        "WrapWith"
      ]
    },
    {
      "Name": "Toggle Calculation Mode",
      "Description": "Toggles calculation mode and places current mode notice in StatusBar",
      "Type": "VBAMacroCommand",
      "LaunchCodes": [
        "TC"
      ],
      "MacroExpression": "modMisc.ToggleCalculationMode()",
      "Tags": [
        "Settings"
      ]
    },
    {
      "Name": "Toggle Iterative Calculation",
      "Description": "Toggles iterative calculation and sets status in status bar",
      "Type": "VBAMacroCommand",
      "LaunchCodes": [
        "IC"
      ],
      "MacroExpression": "modMisc.ToggleIterativeCalculation()",
      "Tags": [
        "Settings"
      ]
    },
    {
      "Name": "Wrap in ABS",
      "Description": "Wrap in abs.",
      "Type": "ExcelFormulaCommand",
      "LaunchCodes": [
        "ABS"
      ],
      "Formula": "=ABS([[ActiveCell::Formula]])",
      "Tags": [
        "WrapWith"
      ]
    },
    {
      "Name": "Wrap in Concat",
      "Description": "Wrap in concat.",
      "Type": "ExcelFormulaCommand",
      "LaunchCodes": [
        "con"
      ],
      "Formula": "=CONCAT([[ActiveCell::Formula]])",
      "Tags": [
        "WrapWith"
      ]
    },
    {
      "Name": "Wrap in Drop First Row",
      "Description": "Wrap in drop first row",
      "Type": "ExcelFormulaCommand",
      "LaunchCodes": [
        "DF"
      ],
      "Formula": "=DROP([[ActiveCell::Formula]],1)",
      "Tags": [
        "WrapWith"
      ]
    },
    {
      "Name": "Wrap in IFERROR with space",
      "Description": "Wrap in iferror.",
      "Type": "ExcelFormulaCommand",
      "LaunchCodes": [
        "err"
      ],
      "Formula": "=IFERROR([[ActiveCell::Formula]],\" \")",
      "Tags": [
        "WrapWith"
      ]
    },
    {
      "Name": "Wrap in Take by Copied Cell Columns",
      "Description": "Wrap in take by copied cell columns.",
      "Type": "ExcelFormulaCommand",
      "LaunchCodes": [
        "TCC"
      ],
      "Formula": "=TAKE([[ActiveCell::Formula]],,[[Clipboard]])",
      "Tags": [
        "WrapWith"
      ]
    },
    {
      "Name": "Wrap in UNICHAR",
      "Description": "Wrap in unichar.",
      "Type": "ExcelFormulaCommand",
      "LaunchCodes": [
        "char"
      ],
      "Formula": "=UNICHAR([[ActiveCell::Formula]])",
      "Tags": [
        "WrapWith"
      ]
    },
    {
      "Name": "Wrap in UNICODE",
      "Description": "Wrap in unicode.",
      "Type": "ExcelFormulaCommand",
      "LaunchCodes": [
        "code"
      ],
      "Formula": "=UNICODE([[ActiveCell::Formula]])",
      "Tags": [
        "WrapWith"
      ]
    },
    {
      "Name": "Wrap with IFERROR TEXTBEFORE space",
      "Description": "Wraps current formula with TEXTBEFORE space with IFERROR in case space doesn't exist",
      "Type": "ExcelFormulaCommand",
      "LaunchCodes": [
        "tbse"
      ],
      "Formula": "=IFERROR(TEXTBEFORE([[ActiveCell::Formula]],\" \"),[[ActiveCell::Formula]])",
      "Tags": [
        "WrapWith"
      ]
    },
    {
      "Name": "Wrap with TextBefore Space",
      "Description": "Text before space.",
      "Type": "ExcelFormulaCommand",
      "LaunchCodes": [
        "tbs"
      ],
      "Formula": "=TEXTBEFORE([[ActiveCell::Formula]],\" \")",
      "Tags": [
        "WrapWith"
      ]
    }
  ],
  "Texts": [
    {
      "Name": "ADDRESSES_byDiarmuidEarly.lambda",
      "Description": "Definition of ADDRESSES_byDiarmuidEarly lambda function.",
      "Type": "ExcelNameText",
      "ContentType": "ExcelFormula",
      "Location": "ADDRESSES_byDiarmuidEarly"
    },
    {
      "Name": "BiRow.lambda",
      "Description": "Definition of BiRow lambda function.",
      "Type": "ExcelNameText",
      "ContentType": "ExcelFormula",
      "Location": "BiRow"
    },
    {
      "Name": "DiffByRow_byJaqKennedy.lambda",
      "Description": "Definition of DiffByRow_byJaqKennedy lambda function.",
      "Type": "ExcelNameText",
      "ContentType": "ExcelFormula",
      "Location": "DiffByRow_byJaqKennedy"
    },
    {
      "Name": "FilterArray.lambda",
      "Description": "Definition of FilterArray lambda function.",
      "Type": "ExcelNameText",
      "ContentType": "ExcelFormula",
      "Location": "FilterArray"
    },
    {
      "Name": "GRIDTOCOL_byLiannaGerrish.lambda",
      "Description": "Definition of GRIDTOCOL_byLiannaGerrish lambda function.",
      "Type": "ExcelNameText",
      "ContentType": "ExcelFormula",
      "Location": "GRIDTOCOL_byLiannaGerrish"
    },
    {
      "Name": "IFBLANK.lambda",
      "Description": "Definition of IFBLANK lambda function.",
      "Type": "ExcelNameText",
      "ContentType": "ExcelFormula",
      "Location": "IFBLANK"
    },
    {
      "Name": "IsInList.lambda",
      "Description": "Definition of IsInList lambda function.",
      "Type": "ExcelNameText",
      "ContentType": "ExcelFormula",
      "Location": "IsInList"
    },
    {
      "Name": "LkpRC.lambda",
      "Description": "Definition of LkpRC lambda function.",
      "Type": "ExcelNameText",
      "ContentType": "ExcelFormula",
      "Location": "LkpRC"
    },
    {
      "Name": "LkpRCByRow.lambda",
      "Description": "Definition of LkpRCByRow lambda function.",
      "Type": "ExcelNameText",
      "ContentType": "ExcelFormula",
      "Location": "LkpRCByRow"
    },
    {
      "Name": "RightAlignedArray_byJaqKennedy.lambda",
      "Description": "Definition of RightAlignedArray_byJaqKennedy lambda function.",
      "Type": "ExcelNameText",
      "ContentType": "ExcelFormula",
      "Location": "RightAlignedArray_byJaqKennedy"
    }
  ]
}
]]></JSON>
</file>

<file path=customXml/item18.xml><?xml version="1.0" encoding="utf-8"?>
<Text><![CDATA[
FilterArray = LAMBDA(data,column_indexes,filter_values,LET(\\LambdaName, "FilterArray", FILTER(data, BYROW(IsInList(CHOOSECOLS(data, column_indexes), filter_values), LAMBDA(x, AND(x))))));
]]></Text>
</file>

<file path=customXml/item19.xml><?xml version="1.0" encoding="utf-8"?>
<Text><![CDATA[
IsInList_byErikOehm = LAMBDA(array,list,LET(\\LambdaName, "IsInList", MAP(array, LAMBDA(x, OR(list = x)))));
]]></Text>
</file>

<file path=customXml/item20.xml><?xml version="1.0" encoding="utf-8"?>
<Text><![CDATA[
RightAlignedArray = LAMBDA(input, LET(
   \\LambdaName, "RightAlignedArray",
   \\CommandName, "Align array to right",
   \\Description, "Aligns array to the right with blanks to left",
   \\Source, "Jaq Kennedy",
   _ColsByRow, BYROW(input, COUNT),
   _Rows, ROWS(input),
   _Cols, COLUMNS(input),
   _ColIndex, IF(
      MOD(SEQUENCE(_Rows, _Cols) - 1, _Cols) + 1 - _Cols + _ColsByRow <= 0,
      -1,
      MOD(SEQUENCE(_Rows, _Cols) - 1, _Cols) + 1 - _Cols + _ColsByRow
   ),
   _RowIndex, SEQUENCE(_Rows),
   _Result, IFERROR(INDEX(input, _RowIndex, _ColIndex), ""),
   _Result
));
]]></Text>
</file>

<file path=customXml/item21.xml><?xml version="1.0" encoding="utf-8"?>
<Text><![CDATA[
DiffByRow_byJaqKennedy = LAMBDA(Input,LET(\\LambdaName, "DiffByRow", \\CommandName, "Difference of array columns by row", \\Description, "Returns first column - last column in array", \\Source, "Jaq Kennedy", TAKE(Input, , 1) - TAKE(Input, , -1)));
]]></Text>
</file>

<file path=customXml/item22.xml><?xml version="1.0" encoding="utf-8"?>
<Text><![CDATA[
ADDRESSES_byDiarmuidEarly = LAMBDA(rng, ADDRESS(ROW(rng), COLUMN(rng), 4));
]]></Text>
</file>

<file path=customXml/item23.xml><?xml version="1.0" encoding="utf-8"?>
<Text><![CDATA[
LkpRC = LAMBDA(ToFind,Range,LET(\\LambdaName, "LkpRC", \\CommandName, "Lookup RC coordinates ", \\Description, "Looks up RC coordinates of matching cell(s) in range", CHOOSECOLS(FilterArray_byErikOehm(GRIDTOCOL_byLiannaGerrish(Range), {1}, ToFind), {2,3})));
]]></Text>
</file>

<file path=customXml/item24.xml><?xml version="1.0" encoding="utf-8"?>
<JSON><![CDATA[
{
  "Commands": [
    {
      "Name": "Align Array to Right",
      "Description": "Aligns array to the right with blanks to left",
      "Type": "ExcelFormulaCommand",
      "LaunchCodes": [
        "ar"
      ],
      "Formula": "=RightAlignedArray_byJaqKennedy(IFBLANK([[ActiveCell::Formula]],\"\"))",
      "Tags": [
        "WrapWith"
      ],
      "FormulaDependencies": [
        "RightAlignedArray_byJaqKennedy.lambda",
        "IFBLANK.lambda"
      ]
    },
    {
      "Name": "Backup Sheets in Workbook",
      "Description": "Copy all sheets in workbook for backup",
      "Type": "VBAMacroCommand",
      "LaunchCodes": [
        "BU"
      ],
      "MacroExpression": "modCaseSetup.Backup()",
      "Tags": [
        "Prep"
      ],
      "MacroWorkbookConnection": "ThisWorkbook"
    },
    {
      "Name": "Clear Lambdas",
      "Description": "Clear lambdas that aren't in Lambdas table - for Comp Bot maintenance",
      "Type": "VBAMacroCommand",
      "LaunchCodes": [
        "CL"
      ],
      "MacroExpression": "modLambdas.ClearLambdas()",
      "Tags": [
        "Maintenance"
      ]
    },
    {
      "Name": "Create Blank Sheet",
      "Description": "Creates a blank sheet named based on cell value (Sht otherwise)",
      "Type": "VBAMacroCommand",
      "LaunchCodes": [
        "BS",
        "CBS",
        "S"
      ],
      "MacroExpression": "modMisc.CreateBlankSheet([[ActiveCell]])",
      "Tags": [
        "Prep"
      ],
      "MacroWorkbookConnection": "ThisWorkbook"
    },
    {
      "Name": "Create Bonus Sheet",
      "Description": "Creates bonus sheet \"B\" with bonus questions",
      "Type": "VBAMacroCommand",
      "LaunchCodes": [
        "CB",
        "CBS"
      ],
      "MacroExpression": "modCaseSetup.CreateBonusSheet()",
      "Tags": [
        "Prep"
      ]
    },
    {
      "Name": "Create Case Inputs Sheet",
      "Description": "Creates a case inputs sheet with the inputs for the current case",
      "Type": "VBAMacroCommand",
      "LaunchCodes": [
        "CIS",
        "IS"
      ],
      "MacroExpression": "modCaseSetup.CreateCaseInputsSheet([[ActiveCell]])",
      "Tags": [
        "Prep"
      ],
      "MacroWorkbookConnection": "ThisWorkbook"
    },
    {
      "Name": "Create Data Table",
      "Description": "Creates a data table on the current sheet for level sheets \"L#\" or active cell = \"Example#\"",
      "Type": "VBAMacroCommand",
      "LaunchCodes": [
        "CDT",
        "DT"
      ],
      "MacroExpression": "modCaseSetup.CreateDataTable([[NewTableTargetToRight]])",
      "Tags": [
        "Prep"
      ]
    },
    {
      "Name": "Create Level Sheets",
      "Description": "Creates a sheet for each level in the Case sheet",
      "Type": "VBAMacroCommand",
      "LaunchCodes": [
        "CL",
        "CLS"
      ],
      "MacroExpression": "modCaseSetup.CreateLevelSheets()",
      "Tags": [
        "Prep"
      ]
    },
    {
      "Name": "Default Settings",
      "Description": "Updates default settings to those in Default Settings sheet",
      "Type": "VBAMacroCommand",
      "LaunchCodes": [
        "DS"
      ],
      "MacroExpression": "modMisc.DefaultSettings()",
      "Tags": [
        "Settings"
      ]
    },
    {
      "Name": "Difference of Array Columns by Row",
      "Description": "Returns first column - last column in array",
      "Type": "ExcelFormulaCommand",
      "LaunchCodes": [
        "diff",
        "dbr"
      ],
      "Formula": "=DiffByRow_byJaqKennedy([[ActiveCell::Formula]])",
      "Tags": [
        "WrapWith"
      ],
      "FormulaDependencies": [
        "DiffByRow_byJaqKennedy.lambda"
      ]
    },
    {
      "Name": "Eggy",
      "Description": "Easter Egg Fun",
      "Type": "VBAMacroCommand",
      "MacroExpression": "modUtilities.Eggy()"
    },
    {
      "Name": "Find Above In Left",
      "Description": "Find above value(s) in left value(s).",
      "Type": "ExcelFormulaCommand",
      "LaunchCodes": [
        "fal"
      ],
      "Formula": "=1-ISERROR(FIND([[ActiveCell.Offset(-1,0).SpillParent.SpillingToRange]],[[ActiveCell.Offset(0,-1).SpillParent.SpillingToRange]]))",
      "Tags": [
        "WrapWith"
      ]
    },
    {
      "Name": "Full Setup Case",
      "Description": "Setup case by running Backup and Level sheet creation",
      "Type": "VBAMacroCommand",
      "ShortCutSendKeyString": "^+g",
      "CommandAfter": "Import Lambda Library",
      "LaunchCodes": [
        "SC"
      ],
      "MacroExpression": "modCaseSetup.Setup()",
      "Tags": [
        "Prep"
      ]
    },
    {
      "Name": "Goto Similar Background Color",
      "Description": "Goto similar background color.",
      "Type": "VBAMacroCommand",
      "LaunchCodes": [
        "SBC"
      ],
      "MacroExpression": "modGoToSpecial.GotoSimilarBackgroundColor()",
      "Tags": [
        "GoTo"
      ]
    },
    {
      "Name": "Import Lambda Library",
      "Description": "Imports CompBot's lambda collection into active workbook",
      "Type": "VBAMacroCommand",
      "LaunchCodes": [
        "IL"
      ],
      "MacroExpression": "modImportLambdas.ImportAllLambdas(\"CompBot.xlsm\")",
      "Tags": [
        "LAMBDA",
        "Prep"
      ],
      "MacroWorkbookConnection": "Lambda Robot"
    },
    {
      "Name": "Import Lambdas From",
      "Description": "Import lambdas from a specified workbook",
      "Type": "VBAMacroCommand",
      "LaunchCodes": [
        "ILF"
      ],
      "MacroExpression": "modLambdas.ImportLambdasFrom()",
      "Tags": [
        "LAMBDA",
        "Prep"
      ]
    },
    {
      "Name": "Keep Cell of Array",
      "Description": "Keep selected cell of array.",
      "Type": "ExcelFormulaCommand",
      "LaunchCodes": [
        "KTC"
      ],
      "Formula": "=CHOOSEROWS(CHOOSECOLS([[ActiveCell.SpillParent::Formula]],{{Selected_Column_Indexes_In_Spilling_Range}}),{{Selected_Row_Indexes_In_Spilling_Range}})",
      "DestinationRangeAddress": "[[ActiveCell.SpillParent]]",
      "Tags": [
        "WrapWith"
      ]
    },
    {
      "Name": "Lookup Value by Row",
      "Description": "Returns RC location of a list of values in a range",
      "Type": "ExcelFormulaCommand",
      "LaunchCodes": [
        "lkp"
      ],
      "Formula": "=LkpRCByRow([[ActiveCell::Formula]], [[Clipboard::Address]])",
      "Tags": [
        "WrapWith"
      ],
      "FormulaDependencies": [
        "LkpRCByRow.lambda",
        "BiRow_byPeterBartholomew.lambda",
        "LkpRC.lambda",
        "FilterArray_byErikOehm.lambda",
        "IsInList_byErikOehm.lambda",
        "GRIDTOCOL_byLiannaGerrish.lambda",
        "ADDRESSES_byDiarmuidEarly.lambda"
      ]
    },
    {
      "Name": "Name All Used Ranges",
      "Description": "Renames used range in all sheets",
      "Type": "VBAMacroCommand",
      "LaunchCodes": [
        "NA",
        "NAUR"
      ],
      "MacroExpression": "modNames.NameAllUsedRanges()",
      "Tags": [
        "Name"
      ]
    },
    {
      "Name": "Name Used Ranges",
      "Description": "Names used range in all sheets starting with the prefix as provided in the active cell",
      "Type": "VBAMacroCommand",
      "LaunchCodes": [
        "NURS"
      ],
      "MacroExpression": "modNames.NameUsedRanges([[ActiveCell]])",
      "Tags": [
        "Name"
      ]
    },
    {
      "Name": "Negative Values",
      "Description": "Negative values. with errors as blank",
      "Type": "ExcelFormulaCommand",
      "LaunchCodes": [
        "neg"
      ],
      "Formula": "=IFERROR(-([[ActiveCell::Formula]]),\"\")",
      "Tags": [
        "WrapWith"
      ]
    },
    {
      "Name": "Rename Sheets",
      "Description": "Rename multi-word sheet names",
      "Type": "VBAMacroCommand",
      "LaunchCodes": [
        "rs"
      ],
      "MacroExpression": "modCaseSetup.RenameSht()",
      "Tags": [
        "Prep"
      ]
    },
    {
      "Name": "Save Answers To Left",
      "Description": "Saves references to the selected cells in the green answer cells to the left on the same row.",
      "Type": "VBAMacroCommand",
      "LaunchCodes": [
        "SAL"
      ],
      "MacroExpression": "modCaseSetup.SaveAnswersToLeft()",
      "Tags": [
        "Paste"
      ]
    },
    {
      "Name": "Save Copy of File",
      "Description": "Enable editing and save copy of file with suffix based on active cell (otherwise Working)",
      "Type": "VBAMacroCommand",
      "LaunchCodes": [
        "SA"
      ],
      "MacroExpression": "modCaseSetup.SaveCopy([[ActiveCell]])",
      "Tags": [
        "Prep"
      ]
    },
    {
      "Name": "Sequence of Row Count",
      "Description": "Sequence of row count of array variable",
      "Type": "ExcelFormulaCommand",
      "LaunchCodes": [
        "src"
      ],
      "Formula": "=SEQUENCE(ROWS([[ActiveCell::Formula]]),1,1,1)",
      "Tags": [
        "WrapWith"
      ]
    },
    {
      "Name": "Split Text by Delimiter Above",
      "Description": "Split text by delimiter in the cell above and trim output.",
      "Type": "ExcelFormulaCommand",
      "LaunchCodes": [
        "ST"
      ],
      "Formula": "=TRIM(TEXTSPLIT([[ActiveCell::Formula]],,[[ActiveCell.Offset(-1,0)]],TRUE))",
      "Tags": [
        "WrapWith"
      ]
    },
    {
      "Name": "Substitute Blank for 0",
      "Description": "Substitute blank values for 0",
      "Type": "ExcelFormulaCommand",
      "LaunchCodes": [
        "sb0"
      ],
      "Formula": "=SUBSTITUTE([[ActiveCell::Formula]],\"\",0)",
      "Tags": [
        "WrapWith"
      ]
    },
    {
      "Name": "Substitute Blank for 1",
      "Description": "Substitute blank cells for 1",
      "Type": "ExcelFormulaCommand",
      "LaunchCodes": [
        "sb1"
      ],
      "Formula": "=SUBSTITUTE([[ActiveCell::Formula]],\"\",1)",
      "Tags": [
        "WrapWith"
      ]
    },
    {
      "Name": "Toggle Calculation Mode",
      "Description": "Toggles calculation mode and places current mode notice in StatusBar",
      "Type": "VBAMacroCommand",
      "LaunchCodes": [
        "TC"
      ],
      "MacroExpression": "modMisc.ToggleCalculationMode()",
      "Tags": [
        "Settings"
      ]
    },
    {
      "Name": "Toggle Iterative Calculation",
      "Description": "Toggles iterative calculation and sets status in status bar",
      "Type": "VBAMacroCommand",
      "LaunchCodes": [
        "IC"
      ],
      "MacroExpression": "modMisc.ToggleIterativeCalculation()",
      "Tags": [
        "Settings"
      ]
    },
    {
      "Name": "Wrap in ABS",
      "Description": "Wrap in abs.",
      "Type": "ExcelFormulaCommand",
      "LaunchCodes": [
        "ABS"
      ],
      "Formula": "=ABS([[ActiveCell::Formula]])",
      "Tags": [
        "WrapWith"
      ]
    },
    {
      "Name": "Wrap in Concat",
      "Description": "Wrap in concat.",
      "Type": "ExcelFormulaCommand",
      "LaunchCodes": [
        "con"
      ],
      "Formula": "=CONCAT([[ActiveCell::Formula]])",
      "Tags": [
        "WrapWith"
      ]
    },
    {
      "Name": "Wrap in Drop First Row",
      "Description": "Wrap in drop first row",
      "Type": "ExcelFormulaCommand",
      "LaunchCodes": [
        "DF"
      ],
      "Formula": "=DROP([[ActiveCell::Formula]],1)",
      "Tags": [
        "WrapWith"
      ]
    },
    {
      "Name": "Wrap in IFERROR with space",
      "Description": "Wrap in iferror.",
      "Type": "ExcelFormulaCommand",
      "LaunchCodes": [
        "err"
      ],
      "Formula": "=IFERROR([[ActiveCell::Formula]],\" \")",
      "Tags": [
        "WrapWith"
      ]
    },
    {
      "Name": "Wrap in Take by Copied Cell Columns",
      "Description": "Wrap in take by copied cell columns.",
      "Type": "ExcelFormulaCommand",
      "LaunchCodes": [
        "TCC"
      ],
      "Formula": "=TAKE([[ActiveCell::Formula]],,[[Clipboard]])",
      "Tags": [
        "WrapWith"
      ]
    },
    {
      "Name": "Wrap in UNICHAR",
      "Description": "Wrap in unichar.",
      "Type": "ExcelFormulaCommand",
      "LaunchCodes": [
        "char"
      ],
      "Formula": "=UNICHAR([[ActiveCell::Formula]])",
      "Tags": [
        "WrapWith"
      ]
    },
    {
      "Name": "Wrap in UNICODE",
      "Description": "Wrap in unicode.",
      "Type": "ExcelFormulaCommand",
      "LaunchCodes": [
        "code"
      ],
      "Formula": "=UNICODE([[ActiveCell::Formula]])",
      "Tags": [
        "WrapWith"
      ]
    },
    {
      "Name": "Wrap with IFERROR TEXTBEFORE space",
      "Description": "Wraps current formula with TEXTBEFORE space with IFERROR in case space doesn't exist",
      "Type": "ExcelFormulaCommand",
      "LaunchCodes": [
        "tbse"
      ],
      "Formula": "=IFERROR(TEXTBEFORE([[ActiveCell::Formula]],\" \"),[[ActiveCell::Formula]])",
      "Tags": [
        "WrapWith"
      ]
    }
  ],
  "Texts": [
    {
      "Name": "ADDRESSES_byDiarmuidEarly.lambda",
      "Description": "Definition of ADDRESSES_byDiarmuidEarly lambda function.",
      "Type": "ExcelNameText",
      "ContentType": "ExcelFormula",
      "Location": "ADDRESSES_byDiarmuidEarly"
    },
    {
      "Name": "BiRow_byPeterBartholomew.lambda",
      "Description": "Definition of BiRow_byPeterBartholomew lambda function.",
      "Type": "ExcelNameText",
      "ContentType": "ExcelFormula",
      "Location": "BiRow_byPeterBartholomew"
    },
    {
      "Name": "DiffByRow_byJaqKennedy.lambda",
      "Description": "Definition of DiffByRow_byJaqKennedy lambda function.",
      "Type": "ExcelNameText",
      "ContentType": "ExcelFormula",
      "Location": "DiffByRow_byJaqKennedy"
    },
    {
      "Name": "FilterArray_byErikOehm.lambda",
      "Description": "Definition of FilterArray_byErikOehm lambda function.",
      "Type": "ExcelNameText",
      "ContentType": "ExcelFormula",
      "Location": "FilterArray_byErikOehm"
    },
    {
      "Name": "GRIDTOCOL_byLiannaGerrish.lambda",
      "Description": "Definition of GRIDTOCOL_byLiannaGerrish lambda function.",
      "Type": "ExcelNameText",
      "ContentType": "ExcelFormula",
      "Location": "GRIDTOCOL_byLiannaGerrish"
    },
    {
      "Name": "IFBLANK.lambda",
      "Description": "Definition of IFBLANK lambda function.",
      "Type": "ExcelNameText",
      "ContentType": "ExcelFormula",
      "Location": "IFBLANK"
    },
    {
      "Name": "IsInList_byErikOehm.lambda",
      "Description": "Definition of IsInList_byErikOehm lambda function.",
      "Type": "ExcelNameText",
      "ContentType": "ExcelFormula",
      "Location": "IsInList_byErikOehm"
    },
    {
      "Name": "LkpRC.lambda",
      "Description": "Definition of LkpRC lambda function.",
      "Type": "ExcelNameText",
      "ContentType": "ExcelFormula",
      "Location": "LkpRC"
    },
    {
      "Name": "LkpRCByRow.lambda",
      "Description": "Definition of LkpRCByRow lambda function.",
      "Type": "ExcelNameText",
      "ContentType": "ExcelFormula",
      "Location": "LkpRCByRow"
    },
    {
      "Name": "RightAlignedArray_byJaqKennedy.lambda",
      "Description": "Definition of RightAlignedArray_byJaqKennedy lambda function.",
      "Type": "ExcelNameText",
      "ContentType": "ExcelFormula",
      "Location": "RightAlignedArray_byJaqKennedy"
    }
  ]
}
]]></JSON>
</file>

<file path=customXml/item25.xml><?xml version="1.0" encoding="utf-8"?>
<writeIndexDataTable>
  <xs:schema xmlns="" xmlns:xs="http://www.w3.org/2001/XMLSchema" xmlns:msdata="urn:schemas-microsoft-com:xml-msdata" id="writeIndexDataTable">
    <xs:element name="write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ItemSub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18/04/2025 21:40:20 +01:00</LastUpdated>
    <CustomXmlPartGuid>{60136850-0A80-46DA-A7BC-83E4B88FD331}</CustomXmlPartGuid>
  </CustomXmlPartIndex>
  <CustomXmlPartIndex>
    <CollectionName>HotkeyCommands</CollectionName>
    <ItemName>ADDRESSES_byDiarmuidEarly.lambda</ItemName>
    <ItemDescription/>
    <ItemType>Text</ItemType>
    <ItemSubtype/>
    <LastUpdated>18/04/2025 21:40:20 +01:00</LastUpdated>
    <CustomXmlPartGuid>{9C3962FE-B426-46FD-8FB0-7535580B8A92}</CustomXmlPartGuid>
  </CustomXmlPartIndex>
  <CustomXmlPartIndex>
    <CollectionName>HotkeyCommands</CollectionName>
    <ItemName>BiRow.lambda</ItemName>
    <ItemDescription/>
    <ItemType>Text</ItemType>
    <ItemSubtype/>
    <LastUpdated>18/04/2025 21:40:20 +01:00</LastUpdated>
    <CustomXmlPartGuid>{D2670061-FB7D-41F0-AB90-118C32DC6B5A}</CustomXmlPartGuid>
  </CustomXmlPartIndex>
  <CustomXmlPartIndex>
    <CollectionName>HotkeyCommands</CollectionName>
    <ItemName>DiffByRow_byJaqKennedy.lambda</ItemName>
    <ItemDescription/>
    <ItemType>Text</ItemType>
    <ItemSubtype/>
    <LastUpdated>18/04/2025 21:40:20 +01:00</LastUpdated>
    <CustomXmlPartGuid>{1A9F9B0F-1F08-4F37-9A0C-B6CBC0761010}</CustomXmlPartGuid>
  </CustomXmlPartIndex>
  <CustomXmlPartIndex>
    <CollectionName>HotkeyCommands</CollectionName>
    <ItemName>FilterArray.lambda</ItemName>
    <ItemDescription/>
    <ItemType>Text</ItemType>
    <ItemSubtype/>
    <LastUpdated>18/04/2025 21:40:20 +01:00</LastUpdated>
    <CustomXmlPartGuid>{A83826B5-B686-40BC-844F-041648993120}</CustomXmlPartGuid>
  </CustomXmlPartIndex>
  <CustomXmlPartIndex>
    <CollectionName>HotkeyCommands</CollectionName>
    <ItemName>GRIDTOCOL_byLiannaGerrish.lambda</ItemName>
    <ItemDescription/>
    <ItemType>Text</ItemType>
    <ItemSubtype/>
    <LastUpdated>18/04/2025 21:40:20 +01:00</LastUpdated>
    <CustomXmlPartGuid>{4E9FD6E5-37CB-441F-9645-F6D489E32598}</CustomXmlPartGuid>
  </CustomXmlPartIndex>
  <CustomXmlPartIndex>
    <CollectionName>HotkeyCommands</CollectionName>
    <ItemName>IFBLANK.lambda</ItemName>
    <ItemDescription/>
    <ItemType>Text</ItemType>
    <ItemSubtype/>
    <LastUpdated>18/04/2025 21:40:20 +01:00</LastUpdated>
    <CustomXmlPartGuid>{B3FD0068-9C97-44E4-93C5-75B53553265A}</CustomXmlPartGuid>
  </CustomXmlPartIndex>
  <CustomXmlPartIndex>
    <CollectionName>HotkeyCommands</CollectionName>
    <ItemName>IsInList.lambda</ItemName>
    <ItemDescription/>
    <ItemType>Text</ItemType>
    <ItemSubtype/>
    <LastUpdated>18/04/2025 21:40:20 +01:00</LastUpdated>
    <CustomXmlPartGuid>{2EC15307-E297-4155-8C64-BD7C819FC834}</CustomXmlPartGuid>
  </CustomXmlPartIndex>
  <CustomXmlPartIndex>
    <CollectionName>HotkeyCommands</CollectionName>
    <ItemName>LkpRC.lambda</ItemName>
    <ItemDescription/>
    <ItemType>Text</ItemType>
    <ItemSubtype/>
    <LastUpdated>18/04/2025 21:40:20 +01:00</LastUpdated>
    <CustomXmlPartGuid>{148CA7B6-1095-4B59-A609-F0DD3983C05B}</CustomXmlPartGuid>
  </CustomXmlPartIndex>
  <CustomXmlPartIndex>
    <CollectionName>HotkeyCommands</CollectionName>
    <ItemName>LkpRCByRow.lambda</ItemName>
    <ItemDescription/>
    <ItemType>Text</ItemType>
    <ItemSubtype/>
    <LastUpdated>18/04/2025 21:40:20 +01:00</LastUpdated>
    <CustomXmlPartGuid>{77900331-8BCF-4A61-83B4-0F22D244E56E}</CustomXmlPartGuid>
  </CustomXmlPartIndex>
  <CustomXmlPartIndex>
    <CollectionName>HotkeyCommands</CollectionName>
    <ItemName>RightAlignedArray_byJaqKennedy.lambda</ItemName>
    <ItemDescription/>
    <ItemType>Text</ItemType>
    <ItemSubtype/>
    <LastUpdated>18/04/2025 21:40:20 +01:00</LastUpdated>
    <CustomXmlPartGuid>{CC8676E6-6DD4-4D3A-B5C3-FEDBE93B926B}</CustomXmlPartGuid>
  </CustomXmlPartIndex>
</writeIndexDataTable>
</file>

<file path=customXml/item26.xml><?xml version="1.0" encoding="utf-8"?>
<Text><![CDATA[
BiRow = LAMBDA(array,function, LET(
   \\LambdaName, "BiRow",
   \\Description, "Perform array function by row",
   \\Source, "https://techcommunity.microsoft.com/discussions/excelgeneral/recursive-lambda-implementation-of-excels-reduce-function-/3949754/replies/3952653#M207809",
   IF(
      ROWS(array) = 1,
      function(array),
      VSTACK(
         BiRow(TAKE(array, ROWS(array) / 2), function),
         BiRow(DROP(array, ROWS(array) / 2), function)
      )
   )
));
]]></Text>
</file>

<file path=customXml/itemProps1.xml><?xml version="1.0" encoding="utf-8"?>
<ds:datastoreItem xmlns:ds="http://schemas.openxmlformats.org/officeDocument/2006/customXml" ds:itemID="{1B41C6AB-50E0-406D-9C57-5DB9E67B067E}">
  <ds:schemaRefs/>
</ds:datastoreItem>
</file>

<file path=customXml/itemProps2.xml><?xml version="1.0" encoding="utf-8"?>
<ds:datastoreItem xmlns:ds="http://schemas.openxmlformats.org/officeDocument/2006/customXml" ds:itemID="{E330786D-6DC9-4669-97BA-097810B0DBC8}">
  <ds:schemaRefs/>
</ds:datastoreItem>
</file>

<file path=customXml/itemProps3.xml><?xml version="1.0" encoding="utf-8"?>
<ds:datastoreItem xmlns:ds="http://schemas.openxmlformats.org/officeDocument/2006/customXml" ds:itemID="{B3FD0068-9C97-44E4-93C5-75B53553265A}">
  <ds:schemaRefs/>
</ds:datastoreItem>
</file>

<file path=customXml/itemProps4.xml><?xml version="1.0" encoding="utf-8"?>
<ds:datastoreItem xmlns:ds="http://schemas.openxmlformats.org/officeDocument/2006/customXml" ds:itemID="{A7D3DD68-9D1C-490D-83E8-EA073A4DAEAB}">
  <ds:schemaRefs/>
</ds:datastoreItem>
</file>

<file path=customXml/itemProps5.xml><?xml version="1.0" encoding="utf-8"?>
<ds:datastoreItem xmlns:ds="http://schemas.openxmlformats.org/officeDocument/2006/customXml" ds:itemID="{1A9F9B0F-1F08-4F37-9A0C-B6CBC0761010}">
  <ds:schemaRefs/>
</ds:datastoreItem>
</file>

<file path=customXml/itemProps6.xml><?xml version="1.0" encoding="utf-8"?>
<ds:datastoreItem xmlns:ds="http://schemas.openxmlformats.org/officeDocument/2006/customXml" ds:itemID="{148CA7B6-1095-4B59-A609-F0DD3983C05B}">
  <ds:schemaRefs/>
</ds:datastoreItem>
</file>

<file path=customXml/itemProps7.xml><?xml version="1.0" encoding="utf-8"?>
<ds:datastoreItem xmlns:ds="http://schemas.openxmlformats.org/officeDocument/2006/customXml" ds:itemID="{05553D37-558F-48A1-9DC4-4CE07CDFF43D}">
  <ds:schemaRefs>
    <ds:schemaRef ds:uri="http://schemas.microsoft.com/DataMashup"/>
  </ds:schemaRefs>
</ds:datastoreItem>
</file>

<file path=customXml/itemProps8.xml><?xml version="1.0" encoding="utf-8"?>
<ds:datastoreItem xmlns:ds="http://schemas.openxmlformats.org/officeDocument/2006/customXml" ds:itemID="{05268766-9FF0-4B10-843A-48604AB44403}">
  <ds:schemaRefs/>
</ds:datastoreItem>
</file>

<file path=customXml/itemProps9.xml><?xml version="1.0" encoding="utf-8"?>
<ds:datastoreItem xmlns:ds="http://schemas.openxmlformats.org/officeDocument/2006/customXml" ds:itemID="{4E9FD6E5-37CB-441F-9645-F6D489E32598}">
  <ds:schemaRefs/>
</ds:datastoreItem>
</file>

<file path=customXml/itemProps10.xml><?xml version="1.0" encoding="utf-8"?>
<ds:datastoreItem xmlns:ds="http://schemas.openxmlformats.org/officeDocument/2006/customXml" ds:itemID="{DB75D044-D14C-46B9-B18F-FB21AE37D1B1}">
  <ds:schemaRefs>
    <ds:schemaRef ds:uri="http://schemas.advancedformulaenvironment.officeapps.live.com/afejsonblob/1.0"/>
  </ds:schemaRefs>
</ds:datastoreItem>
</file>

<file path=customXml/itemProps11.xml><?xml version="1.0" encoding="utf-8"?>
<ds:datastoreItem xmlns:ds="http://schemas.openxmlformats.org/officeDocument/2006/customXml" ds:itemID="{77900331-8BCF-4A61-83B4-0F22D244E56E}">
  <ds:schemaRefs/>
</ds:datastoreItem>
</file>

<file path=customXml/itemProps12.xml><?xml version="1.0" encoding="utf-8"?>
<ds:datastoreItem xmlns:ds="http://schemas.openxmlformats.org/officeDocument/2006/customXml" ds:itemID="{49A644F6-C372-4E3F-9C6D-980388F81CE4}">
  <ds:schemaRefs>
    <ds:schemaRef ds:uri=""/>
    <ds:schemaRef ds:uri="http://www.w3.org/2001/XMLSchema"/>
    <ds:schemaRef ds:uri="urn:schemas-microsoft-com:xml-msdata"/>
  </ds:schemaRefs>
</ds:datastoreItem>
</file>

<file path=customXml/itemProps13.xml><?xml version="1.0" encoding="utf-8"?>
<ds:datastoreItem xmlns:ds="http://schemas.openxmlformats.org/officeDocument/2006/customXml" ds:itemID="{85C0B66C-80EA-473B-810E-3F8477191A87}">
  <ds:schemaRefs/>
</ds:datastoreItem>
</file>

<file path=customXml/itemProps14.xml><?xml version="1.0" encoding="utf-8"?>
<ds:datastoreItem xmlns:ds="http://schemas.openxmlformats.org/officeDocument/2006/customXml" ds:itemID="{51825235-BDD4-45E9-9DF5-0C5C86BC4E6C}">
  <ds:schemaRefs/>
</ds:datastoreItem>
</file>

<file path=customXml/itemProps15.xml><?xml version="1.0" encoding="utf-8"?>
<ds:datastoreItem xmlns:ds="http://schemas.openxmlformats.org/officeDocument/2006/customXml" ds:itemID="{9C3962FE-B426-46FD-8FB0-7535580B8A92}">
  <ds:schemaRefs/>
</ds:datastoreItem>
</file>

<file path=customXml/itemProps16.xml><?xml version="1.0" encoding="utf-8"?>
<ds:datastoreItem xmlns:ds="http://schemas.openxmlformats.org/officeDocument/2006/customXml" ds:itemID="{2EC15307-E297-4155-8C64-BD7C819FC834}">
  <ds:schemaRefs/>
</ds:datastoreItem>
</file>

<file path=customXml/itemProps17.xml><?xml version="1.0" encoding="utf-8"?>
<ds:datastoreItem xmlns:ds="http://schemas.openxmlformats.org/officeDocument/2006/customXml" ds:itemID="{60136850-0A80-46DA-A7BC-83E4B88FD331}">
  <ds:schemaRefs/>
</ds:datastoreItem>
</file>

<file path=customXml/itemProps18.xml><?xml version="1.0" encoding="utf-8"?>
<ds:datastoreItem xmlns:ds="http://schemas.openxmlformats.org/officeDocument/2006/customXml" ds:itemID="{A83826B5-B686-40BC-844F-041648993120}">
  <ds:schemaRefs/>
</ds:datastoreItem>
</file>

<file path=customXml/itemProps19.xml><?xml version="1.0" encoding="utf-8"?>
<ds:datastoreItem xmlns:ds="http://schemas.openxmlformats.org/officeDocument/2006/customXml" ds:itemID="{410B1BC6-485F-4569-BA90-F8AF9BFC5329}">
  <ds:schemaRefs/>
</ds:datastoreItem>
</file>

<file path=customXml/itemProps20.xml><?xml version="1.0" encoding="utf-8"?>
<ds:datastoreItem xmlns:ds="http://schemas.openxmlformats.org/officeDocument/2006/customXml" ds:itemID="{CC8676E6-6DD4-4D3A-B5C3-FEDBE93B926B}">
  <ds:schemaRefs/>
</ds:datastoreItem>
</file>

<file path=customXml/itemProps21.xml><?xml version="1.0" encoding="utf-8"?>
<ds:datastoreItem xmlns:ds="http://schemas.openxmlformats.org/officeDocument/2006/customXml" ds:itemID="{79C38505-B4DC-4293-8697-7DBF85E41979}">
  <ds:schemaRefs/>
</ds:datastoreItem>
</file>

<file path=customXml/itemProps22.xml><?xml version="1.0" encoding="utf-8"?>
<ds:datastoreItem xmlns:ds="http://schemas.openxmlformats.org/officeDocument/2006/customXml" ds:itemID="{BA2A756B-CCFF-4D9F-9086-30B75FE80E63}">
  <ds:schemaRefs/>
</ds:datastoreItem>
</file>

<file path=customXml/itemProps23.xml><?xml version="1.0" encoding="utf-8"?>
<ds:datastoreItem xmlns:ds="http://schemas.openxmlformats.org/officeDocument/2006/customXml" ds:itemID="{E888EC11-1EFE-45C6-8C22-9CA4F5AB9AD9}">
  <ds:schemaRefs/>
</ds:datastoreItem>
</file>

<file path=customXml/itemProps24.xml><?xml version="1.0" encoding="utf-8"?>
<ds:datastoreItem xmlns:ds="http://schemas.openxmlformats.org/officeDocument/2006/customXml" ds:itemID="{B29441DE-9450-4C77-8FDD-71E30398E5D5}">
  <ds:schemaRefs/>
</ds:datastoreItem>
</file>

<file path=customXml/itemProps25.xml><?xml version="1.0" encoding="utf-8"?>
<ds:datastoreItem xmlns:ds="http://schemas.openxmlformats.org/officeDocument/2006/customXml" ds:itemID="{E97150ED-ED5F-4236-9280-E4377CB8776F}">
  <ds:schemaRefs>
    <ds:schemaRef ds:uri=""/>
    <ds:schemaRef ds:uri="http://www.w3.org/2001/XMLSchema"/>
    <ds:schemaRef ds:uri="urn:schemas-microsoft-com:xml-msdata"/>
  </ds:schemaRefs>
</ds:datastoreItem>
</file>

<file path=customXml/itemProps26.xml><?xml version="1.0" encoding="utf-8"?>
<ds:datastoreItem xmlns:ds="http://schemas.openxmlformats.org/officeDocument/2006/customXml" ds:itemID="{D2670061-FB7D-41F0-AB90-118C32DC6B5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Info_Robot Commands</vt:lpstr>
      <vt:lpstr>Default Settings</vt:lpstr>
      <vt:lpstr>Info_Lambdas</vt:lpstr>
      <vt:lpstr>Lambdas List</vt:lpstr>
      <vt:lpstr>Load Lambdas</vt:lpstr>
      <vt:lpstr>SpeedRun Steps</vt:lpstr>
      <vt:lpstr>Language</vt:lpstr>
      <vt:lpstr>List_Separator</vt:lpstr>
      <vt:lpstr>Thousands_Separator</vt:lpstr>
      <vt:lpstr>Use_System_Separators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Jaq Kennedy</dc:creator>
  <cp:lastModifiedBy>Jaq Kennedy</cp:lastModifiedBy>
  <dcterms:created xsi:type="dcterms:W3CDTF">2025-01-03T14:23:42Z</dcterms:created>
  <dcterms:modified xsi:type="dcterms:W3CDTF">2025-04-21T16:16:51Z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A Tools">
    <vt:lpwstr>{49A644F6-C372-4E3F-9C6D-980388F81CE4}</vt:lpwstr>
  </property>
  <property fmtid="{D5CDD505-2E9C-101B-9397-08002B2CF9AE}" pid="3" name="OA Tools Last Modified">
    <vt:lpwstr>2025-04-21 10:00:05 UTC</vt:lpwstr>
  </property>
</Properties>
</file>