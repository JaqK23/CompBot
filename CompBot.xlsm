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2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GitHub/CompBot/"/>
    </mc:Choice>
  </mc:AlternateContent>
  <xr:revisionPtr revIDLastSave="24" documentId="8_{A71C4BE8-DA82-4FF2-B8CB-492E5B5D12DB}" xr6:coauthVersionLast="47" xr6:coauthVersionMax="47" xr10:uidLastSave="{42E78646-71EB-4D45-80D4-622A95CA0637}"/>
  <bookViews>
    <workbookView xWindow="-120" yWindow="-120" windowWidth="51840" windowHeight="21120" xr2:uid="{680F85FE-7009-46FF-BF5C-10DA0B68E903}"/>
  </bookViews>
  <sheets>
    <sheet name="Info" sheetId="1" r:id="rId1"/>
    <sheet name="Default Settings" sheetId="18" r:id="rId2"/>
    <sheet name="Lambdas List" sheetId="14" r:id="rId3"/>
    <sheet name="Load Lambdas" sheetId="15" r:id="rId4"/>
  </sheets>
  <functionGroups builtInGroupCount="19"/>
  <definedNames>
    <definedName name="_xleta.MIN" hidden="1" xlm="1">#NAME?</definedName>
    <definedName name="_xlop.Actual" hidden="1" xlm="1">#NAME?</definedName>
    <definedName name="_xlop.default" hidden="1" xlm="1">#NAME?</definedName>
    <definedName name="_xlop.horizontal" hidden="1" xlm="1">#NAME?</definedName>
    <definedName name="_xlop.id" hidden="1" xlm="1">#NAME?</definedName>
    <definedName name="_xlop.In" hidden="1" xlm="1">#NAME?</definedName>
    <definedName name="_xlop.lookup_output" hidden="1" xlm="1">#NAME?</definedName>
    <definedName name="_xlop.Out" hidden="1" xlm="1">#NAME?</definedName>
    <definedName name="_xlop.return_type" hidden="1" xlm="1">#NAME?</definedName>
    <definedName name="_xlop.sheetname" hidden="1" xlm="1">#NAME?</definedName>
    <definedName name="_xlop.ShowAll_0" hidden="1" xlm="1">#NAME?</definedName>
    <definedName name="_xlop.vertical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_Resul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c" hidden="1" xlm="1">#NAME?</definedName>
    <definedName name="_xlpm.Actual" hidden="1" xlm="1">#NAME?</definedName>
    <definedName name="_xlpm.addr" hidden="1" xlm="1">#NAME?</definedName>
    <definedName name="_xlpm.addr_col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s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b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lean" hidden="1" xlm="1">#NAME?</definedName>
    <definedName name="_xlpm.cls" hidden="1" xlm="1">#NAME?</definedName>
    <definedName name="_xlpm.cnt" hidden="1" xlm="1">#NAME?</definedName>
    <definedName name="_xlpm.col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s" hidden="1" xlm="1">#NAME?</definedName>
    <definedName name="_xlpm.column" hidden="1" xlm="1">#NAME?</definedName>
    <definedName name="_xlpm.condition" hidden="1" xlm="1">#NAME?</definedName>
    <definedName name="_xlpm.cr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ata_arr" hidden="1" xlm="1">#NAME?</definedName>
    <definedName name="_xlpm.data_grid" hidden="1" xlm="1">#NAME?</definedName>
    <definedName name="_xlpm.days_in_period" hidden="1" xlm="1">#NAME?</definedName>
    <definedName name="_xlpm.default" hidden="1" xlm="1">#NAME?</definedName>
    <definedName name="_xlpm.diag" hidden="1" xlm="1">#NAME?</definedName>
    <definedName name="_xlpm.diag_flag" hidden="1" xlm="1">#NAME?</definedName>
    <definedName name="_xlpm.dice" hidden="1" xlm="1">#NAME?</definedName>
    <definedName name="_xlpm.dist" hidden="1" xlm="1">#NAME?</definedName>
    <definedName name="_xlpm.end" hidden="1" xlm="1">#NAME?</definedName>
    <definedName name="_xlpm.end_date" hidden="1" xlm="1">#NAME?</definedName>
    <definedName name="_xlpm.final_roll" hidden="1" xlm="1">#NAME?</definedName>
    <definedName name="_xlpm.find" hidden="1" xlm="1">#NAME?</definedName>
    <definedName name="_xlpm.firstChar" hidden="1" xlm="1">#NAME?</definedName>
    <definedName name="_xlpm.func" hidden="1" xlm="1">#NAME?</definedName>
    <definedName name="_xlpm.grid" hidden="1" xlm="1">#NAME?</definedName>
    <definedName name="_xlpm.h_fixed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" hidden="1" xlm="1">#NAME?</definedName>
    <definedName name="_xlpm.Input1" hidden="1" xlm="1">#NAME?</definedName>
    <definedName name="_xlpm.Input2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leng" hidden="1" xlm="1">#NAME?</definedName>
    <definedName name="_xlpm.letter" hidden="1" xlm="1">#NAME?</definedName>
    <definedName name="_xlpm.lookup_array" hidden="1" xlm="1">#NAME?</definedName>
    <definedName name="_xlpm.lookup_output" hidden="1" xlm="1">#NAME?</definedName>
    <definedName name="_xlpm.lr_roll" hidden="1" xlm="1">#NAME?</definedName>
    <definedName name="_xlpm.m" hidden="1" xlm="1">#NAME?</definedName>
    <definedName name="_xlpm.map_cell" hidden="1" xlm="1">#NAME?</definedName>
    <definedName name="_xlpm.Mcls" hidden="1" xlm="1">#NAME?</definedName>
    <definedName name="_xlpm.month_num" hidden="1" xlm="1">#NAME?</definedName>
    <definedName name="_xlpm.mp" hidden="1" xlm="1">#NAME?</definedName>
    <definedName name="_xlpm.Mrws" hidden="1" xlm="1">#NAME?</definedName>
    <definedName name="_xlpm.newArray" hidden="1" xlm="1">#NAME?</definedName>
    <definedName name="_xlpm.newcell" hidden="1" xlm="1">#NAME?</definedName>
    <definedName name="_xlpm.number" hidden="1" xlm="1">#NAME?</definedName>
    <definedName name="_xlpm.off" hidden="1" xlm="1">#NAME?</definedName>
    <definedName name="_xlpm.offset" hidden="1" xlm="1">#NAME?</definedName>
    <definedName name="_xlpm.Out" hidden="1" xlm="1">#NAME?</definedName>
    <definedName name="_xlpm.period_start_date" hidden="1" xlm="1">#NAME?</definedName>
    <definedName name="_xlpm.periods" hidden="1" xlm="1">#NAME?</definedName>
    <definedName name="_xlpm.questions" hidden="1" xlm="1">#NAME?</definedName>
    <definedName name="_xlpm.r" hidden="1" xlm="1">#NAME?</definedName>
    <definedName name="_xlpm.rate" hidden="1" xlm="1">#NAME?</definedName>
    <definedName name="_xlpm.rdist" hidden="1" xlm="1">#NAME?</definedName>
    <definedName name="_xlpm.replace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ng" hidden="1" xlm="1">#NAME?</definedName>
    <definedName name="_xlpm.row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rr" hidden="1" xlm="1">#NAME?</definedName>
    <definedName name="_xlpm.rws" hidden="1" xlm="1">#NAME?</definedName>
    <definedName name="_xlpm.search" hidden="1" xlm="1">#NAME?</definedName>
    <definedName name="_xlpm.sheetname" hidden="1" xlm="1">#NAME?</definedName>
    <definedName name="_xlpm.shift" hidden="1" xlm="1">#NAME?</definedName>
    <definedName name="_xlpm.ShowAll_0" hidden="1" xlm="1">#NAME?</definedName>
    <definedName name="_xlpm.size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string" hidden="1" xlm="1">#NAME?</definedName>
    <definedName name="_xlpm.sum_distance_traveled" hidden="1" xlm="1">#NAME?</definedName>
    <definedName name="_xlpm.table_arrows" hidden="1" xlm="1">#NAME?</definedName>
    <definedName name="_xlpm.tarr" hidden="1" xlm="1">#NAME?</definedName>
    <definedName name="_xlpm.text" hidden="1" xlm="1">#NAME?</definedName>
    <definedName name="_xlpm.TextLengthNoSpaces" hidden="1" xlm="1">#NAME?</definedName>
    <definedName name="_xlpm.trg" hidden="1" xlm="1">#NAME?</definedName>
    <definedName name="_xlpm.Trimmedtext" hidden="1" xlm="1">#NAME?</definedName>
    <definedName name="_xlpm.TrimmedtextLength" hidden="1" xlm="1">#NAME?</definedName>
    <definedName name="_xlpm.type" hidden="1" xlm="1">#NAME?</definedName>
    <definedName name="_xlpm.u" hidden="1" xlm="1">#NAME?</definedName>
    <definedName name="_xlpm.v_fixe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WhiteSpaceSubstitution" hidden="1" xlm="1">#NAME?</definedName>
    <definedName name="_xlpm.width" hidden="1" xlm="1">#NAME?</definedName>
    <definedName name="_xlpm.x" hidden="1" xlm="1">#NAME?</definedName>
    <definedName name="_xlpm.xmove" hidden="1" xlm="1">#NAME?</definedName>
    <definedName name="_xlpm.xmoveunit" hidden="1" xlm="1">#NAME?</definedName>
    <definedName name="_xlpm.y" hidden="1" xlm="1">#NAME?</definedName>
    <definedName name="_xlpm.ymove" hidden="1" xlm="1">#NAME?</definedName>
    <definedName name="_xlpm.ymoveunit" hidden="1" xlm="1">#NAME?</definedName>
    <definedName name="ADDRESSES_byDiarmuidEarly">_xlfn.LAMBDA(_xlpm.rng, ADDRESS(ROW(_xlpm.rng), COLUMN(_xlpm.rng), 4))</definedName>
    <definedName name="CaseInputs">_xlfn.LAMBDA(_xlfn.LET(
   _xlpm.questions, _xlfn._xlws.FILTER(INDIRECT("Case!$B:$EE"), ISNUMBER(INDIRECT("Case!$B:$B"))),
   _xlpm.result, IF(_xlpm.questions = 0, NA(), _xlpm.questions),
   _xlpm.clean, _xlfn.HSTACK(_xlfn.TAKE(_xlpm.result, , 3), _xlfn.TAKE(_xlpm.result, , -COLUMNS(_xlpm.result) + 5)),
   IFERROR(_xlpm.clean, "")
)
)</definedName>
    <definedName name="EXTRACTCHAR_byHarryGross">_xlfn.LAMBDA(_xlpm.text, MID(_xlpm.text, _xlfn.SEQUENCE(, LEN(_xlpm.text), 1, 1), 1))</definedName>
    <definedName name="EXTRACTNUMBERS_byHarryGross">_xlfn.LAMBDA(_xlpm.cell,_xlfn.TEXTSPLIT(_xlpm.cell,_xlfn.TEXTSPLIT(_xlpm.cell,_xlfn.SEQUENCE(10,,0),,1),,1))</definedName>
    <definedName name="GRIDTOCOL_byLiannaGerrish">_xlfn.LAMBDA(_xlpm.grid,_xlop.ShowAll_0,_xlfn.LET(_xlpm.\\LambdaName, "GRIDTOCOL", _xlpm.items_grid, _xlfn.TOCOL(_xlpm.grid), _xlpm.addr_col, _xlfn.TOCOL(ADDRESSES_byDiarmuidEarly(_xlpm.grid)), _xlpm.rows, ROW(INDIRECT(_xlpm.addr_col)) * 1, _xlpm.cols, COLUMN(INDIRECT(_xlpm.addr_col)) * 1, _xlpm.headers, _xlfn.HSTACK("Items", "Row #", "Column #", "Address"), _xlpm.data_grid, _xlfn.HSTACK(_xlpm.items_grid, _xlpm.rows, _xlpm.cols, _xlpm.addr_col), IF(OR(_xlfn.ISOMITTED(_xlpm.ShowAll_0), _xlpm.ShowAll_0 &lt;&gt; 0), _xlfn.VSTACK(_xlpm.headers, _xlfn._xlws.FILTER(_xlpm.data_grid, _xlfn.CHOOSECOLS(_xlpm.data_grid, 1) &lt;&gt; 0)), _xlfn.VSTACK(_xlpm.headers, _xlpm.data_grid))))</definedName>
    <definedName name="Language">'Default Settings'!$C$13</definedName>
    <definedName name="List_Separator">'Default Settings'!$C$11</definedName>
    <definedName name="Thousands_Separator">'Default Settings'!$C$10</definedName>
    <definedName name="Use_System_Separators">'Default Settings'!$C$12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4" l="1" a="1"/>
  <c r="B8" i="14" s="1"/>
  <c r="B6" i="14" s="1"/>
  <c r="H11" i="14" a="1"/>
  <c r="H11" i="14" s="1"/>
  <c r="H9" i="14" a="1"/>
  <c r="H9" i="14" s="1"/>
  <c r="H8" i="14" a="1"/>
  <c r="H8" i="14" s="1"/>
  <c r="D8" i="14" a="1"/>
  <c r="I11" i="18"/>
  <c r="H11" i="18"/>
  <c r="H10" i="14" a="1"/>
  <c r="H10" i="14" l="1"/>
  <c r="D8" i="14"/>
  <c r="D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<sst xmlns="http://schemas.openxmlformats.org/spreadsheetml/2006/main" count="176" uniqueCount="124">
  <si>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</si>
  <si>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</si>
  <si>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</si>
  <si>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</si>
  <si>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</si>
  <si>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</si>
  <si>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</si>
  <si>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</si>
  <si>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</si>
  <si>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</si>
  <si>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</si>
  <si>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</si>
  <si>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</si>
  <si>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EXTRACTNUMBERS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</si>
  <si>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</si>
  <si>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</si>
  <si>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</si>
  <si>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</si>
  <si>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</si>
  <si>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</si>
  <si>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EXTRACTCHAR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</si>
  <si>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</si>
  <si>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</si>
  <si>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</si>
  <si>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</si>
  <si>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</si>
  <si>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Setup Case</t>
  </si>
  <si>
    <t>Launch Code</t>
  </si>
  <si>
    <t>ILF</t>
  </si>
  <si>
    <t>SC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</si>
  <si>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</si>
  <si>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</si>
  <si>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</si>
  <si>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</si>
  <si>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</si>
  <si>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</si>
  <si>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</si>
  <si>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Import Lambdas</t>
  </si>
  <si>
    <t>IL</t>
  </si>
  <si>
    <t>Loads lambdas held in CompBot to the active workbook - easy load for competitions</t>
  </si>
  <si>
    <t>Backs up all sheets in the active workbook</t>
  </si>
  <si>
    <t>Backup Sheets in Workbook</t>
  </si>
  <si>
    <t>Create Level Sheets</t>
  </si>
  <si>
    <t>Sets up a case file by running the following VBA / commands together:
* Backup Sheets
* Create Level Sheets</t>
  </si>
  <si>
    <t>A</t>
  </si>
  <si>
    <t>GRIDTOCOL</t>
  </si>
  <si>
    <t>B</t>
  </si>
  <si>
    <t>This cell</t>
  </si>
  <si>
    <t>ADDRESSES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</si>
  <si>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</si>
  <si>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</si>
  <si>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</si>
  <si>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</si>
  <si>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</si>
  <si>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</si>
  <si>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</si>
  <si>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Create Case Input Sheet</t>
  </si>
  <si>
    <t>CIS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</si>
  <si>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</si>
  <si>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</si>
  <si>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</si>
  <si>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</si>
  <si>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</si>
  <si>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</si>
  <si>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</si>
  <si>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</si>
  <si>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</si>
  <si>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</si>
  <si>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</si>
  <si>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</si>
  <si>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</si>
  <si>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</si>
  <si>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</si>
  <si>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</si>
  <si>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</si>
  <si>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</si>
  <si>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</si>
  <si>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</si>
  <si>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</si>
  <si>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</si>
  <si>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</si>
  <si>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</si>
  <si>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</si>
  <si>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Creates a sheet for each level in the Case sheet. 
By default this excludes data tables. To add a data table run Create Data Table command below when in a "L#" sheet or when on an "Example#" cell.</t>
  </si>
  <si>
    <t>CASEINPUTS</t>
  </si>
  <si>
    <t>Outputs populated columns B:D &amp; G:EE from "Case" sheet where B:B is numeric (i.e. for level rows)</t>
  </si>
  <si>
    <t>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</si>
  <si>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</si>
  <si>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</si>
  <si>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</si>
  <si>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</si>
  <si>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</si>
  <si>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</si>
  <si>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</si>
  <si>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</si>
  <si>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</si>
  <si>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</si>
  <si>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Go To Similar Background Color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</si>
  <si>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</si>
  <si>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</si>
  <si>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</si>
  <si>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</si>
  <si>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</si>
  <si>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</si>
  <si>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</si>
  <si>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Toggle Calc Mode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</si>
  <si>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</si>
  <si>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</si>
  <si>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</si>
  <si>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</si>
  <si>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Toggle Iterative Calcs</t>
  </si>
  <si>
    <t>Creates a data table on the current sheet for level sheets "L#" or active cell = "Example#"
Turns on iterative calculations.</t>
  </si>
  <si>
    <t>Create Bonus Sheet</t>
  </si>
  <si>
    <t xml:space="preserve">Creates a sheet for bonus questions in the Case sheet. </t>
  </si>
  <si>
    <t>CB
CBS</t>
  </si>
  <si>
    <t>BU</t>
  </si>
  <si>
    <t>Save Copy of File</t>
  </si>
  <si>
    <t>"strShtSuff" - suffix of file name (optional) set as value of active cell</t>
  </si>
  <si>
    <t>SA</t>
  </si>
  <si>
    <t>Name Used Ranges by Sheet Prefix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</si>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</sst>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7" x14ac:knownFonts="1">
    <font>
      <sz val="16"/>
      <color theme="1"/>
      <name val="Verdana"/>
      <family val="2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6" fillId="0" borderId="0"/>
  </cellStyleXfs>
  <cellXfs count="19">
    <xf numFmtId="0" fontId="0" fillId="0" borderId="0" xfId="0"/>
    <xf numFmtId="0" fontId="1" fillId="0" borderId="1" xfId="1" applyAlignment="1">
      <alignment horizontal="centerContinuous"/>
    </xf>
    <xf numFmtId="0" fontId="3" fillId="0" borderId="0" xfId="3" applyAlignment="1">
      <alignment horizontal="centerContinuous"/>
    </xf>
    <xf numFmtId="0" fontId="2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2" fillId="0" borderId="3" xfId="2" applyBorder="1" applyAlignment="1">
      <alignment horizontal="centerContinuous"/>
    </xf>
    <xf numFmtId="0" fontId="0" fillId="2" borderId="0" xfId="0" applyFill="1"/>
    <xf numFmtId="0" fontId="2" fillId="2" borderId="3" xfId="2" applyFill="1" applyBorder="1" applyAlignment="1">
      <alignment horizontal="centerContinuous"/>
    </xf>
    <xf numFmtId="0" fontId="1" fillId="0" borderId="1" xfId="1" applyAlignment="1">
      <alignment horizontal="centerContinuous" vertical="top"/>
    </xf>
    <xf numFmtId="0" fontId="3" fillId="0" borderId="0" xfId="3" applyAlignment="1">
      <alignment horizontal="centerContinuous" vertical="top"/>
    </xf>
    <xf numFmtId="0" fontId="2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5" fillId="3" borderId="4" xfId="0" applyFont="1" applyFill="1" applyBorder="1"/>
    <xf numFmtId="43" fontId="0" fillId="0" borderId="0" xfId="4" applyFont="1"/>
    <xf numFmtId="0" fontId="3" fillId="0" borderId="0" xfId="3"/>
  </cellXfs>
  <cellStyles count="6"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</cellStyles>
  <dxfs count="15"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13" totalsRowShown="0" headerRowDxfId="14" dataDxfId="13">
  <autoFilter ref="B8:F13" xr:uid="{A558CB64-4555-4E76-9388-CC0298969050}"/>
  <tableColumns count="5">
    <tableColumn id="1" xr3:uid="{C7B661F8-E847-4A13-A5CD-4111AD54A043}" name="Name" dataDxfId="12"/>
    <tableColumn id="2" xr3:uid="{402102D7-5F04-4A93-A427-CDD8E9743522}" name="Creator" dataDxfId="11"/>
    <tableColumn id="3" xr3:uid="{29C5C72F-191A-47D7-A0A3-65C070A08FBB}" name="Description" dataDxfId="10"/>
    <tableColumn id="4" xr3:uid="{2F739A7B-0273-48EB-80E8-8D0D97BADC77}" name="Parameters" dataDxfId="9"/>
    <tableColumn id="5" xr3:uid="{AA688AE3-B095-461C-B6E9-13454B67819F}" name="Array friendly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4C780-BB06-4D44-A3B5-11A203AC5962}" name="Commands" displayName="Commands" ref="B18:F35" totalsRowShown="0" headerRowDxfId="7" dataDxfId="6">
  <autoFilter ref="B18:F35" xr:uid="{0094C780-BB06-4D44-A3B5-11A203AC5962}"/>
  <tableColumns count="5">
    <tableColumn id="1" xr3:uid="{6F4CB378-6BAF-4C19-8A27-E1C1DC6AFCB0}" name="Name" dataDxfId="5"/>
    <tableColumn id="2" xr3:uid="{5FB82E0E-FCD5-4A7A-8AD6-0197F6DF1149}" name="Creator" dataDxfId="4"/>
    <tableColumn id="3" xr3:uid="{28052F2F-3135-44DD-925E-D44AE17C7C4D}" name="Description" dataDxfId="3"/>
    <tableColumn id="4" xr3:uid="{D4994645-C744-46E1-A079-BCBED0F01EE5}" name="Parameters" dataDxfId="2"/>
    <tableColumn id="5" xr3:uid="{F356169D-8703-4719-A306-F7AF3B56832B}" name="Launch Code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0"/>
    <tableColumn id="4" xr3:uid="{8D1BA30C-9144-4469-AEE1-00A653AFC79F}" name="Parameter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7" row="1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35"/>
  <sheetViews>
    <sheetView showGridLines="0" tabSelected="1" zoomScale="55" zoomScaleNormal="55" workbookViewId="0">
      <pane xSplit="3" ySplit="18" topLeftCell="D19" activePane="bottomRight" state="frozen"/>
      <selection pane="topRight" activeCell="D1" sqref="D1"/>
      <selection pane="bottomLeft" activeCell="A19" sqref="A19"/>
      <selection pane="bottomRight" activeCell="M27" sqref="M27"/>
    </sheetView>
  </sheetViews>
  <sheetFormatPr defaultRowHeight="19.5" x14ac:dyDescent="0.25"/>
  <cols>
    <col min="1" max="1" width="2.15234375" customWidth="1"/>
    <col min="2" max="2" width="24.3828125" style="12" bestFit="1" customWidth="1"/>
    <col min="3" max="3" width="17.84375" style="12" customWidth="1"/>
    <col min="4" max="4" width="55.3828125" style="12" bestFit="1" customWidth="1"/>
    <col min="5" max="5" width="30.921875" style="12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78</v>
      </c>
      <c r="C6" s="10"/>
      <c r="D6" s="10"/>
      <c r="E6" s="10"/>
      <c r="F6" s="10"/>
      <c r="G6" s="2"/>
      <c r="H6" s="2"/>
      <c r="I6" s="2"/>
      <c r="J6" s="2"/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25">
      <c r="B9" s="12" t="s">
        <v>20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25">
      <c r="B10" s="12" t="s">
        <v>13</v>
      </c>
      <c r="C10" s="12" t="s">
        <v>7</v>
      </c>
      <c r="D10" s="12" t="s">
        <v>14</v>
      </c>
      <c r="E10" s="12" t="s">
        <v>12</v>
      </c>
      <c r="F10" s="12" t="s">
        <v>11</v>
      </c>
    </row>
    <row r="11" spans="2:10" x14ac:dyDescent="0.25">
      <c r="B11" s="12" t="s">
        <v>48</v>
      </c>
      <c r="C11" s="12" t="s">
        <v>50</v>
      </c>
      <c r="D11" s="12" t="s">
        <v>52</v>
      </c>
      <c r="E11" s="12" t="s">
        <v>53</v>
      </c>
      <c r="F11" s="12" t="s">
        <v>54</v>
      </c>
    </row>
    <row r="12" spans="2:10" ht="39" x14ac:dyDescent="0.25">
      <c r="B12" s="12" t="s">
        <v>45</v>
      </c>
      <c r="C12" s="12" t="s">
        <v>51</v>
      </c>
      <c r="D12" s="13" t="s">
        <v>55</v>
      </c>
      <c r="E12" s="12" t="s">
        <v>53</v>
      </c>
      <c r="F12" s="12" t="s">
        <v>54</v>
      </c>
    </row>
    <row r="13" spans="2:10" ht="39" x14ac:dyDescent="0.25">
      <c r="B13" s="12" t="s">
        <v>84</v>
      </c>
      <c r="C13" s="13" t="s">
        <v>87</v>
      </c>
      <c r="D13" s="13" t="s">
        <v>85</v>
      </c>
      <c r="E13" s="12" t="s">
        <v>24</v>
      </c>
      <c r="F13" s="12" t="s">
        <v>54</v>
      </c>
    </row>
    <row r="15" spans="2:10" ht="20.25" thickBot="1" x14ac:dyDescent="0.3">
      <c r="B15" s="11" t="s">
        <v>2</v>
      </c>
      <c r="C15" s="11"/>
      <c r="D15" s="11"/>
      <c r="E15" s="11"/>
      <c r="F15" s="11"/>
      <c r="G15" s="3"/>
      <c r="H15" s="3"/>
      <c r="I15" s="3"/>
      <c r="J15" s="3"/>
    </row>
    <row r="16" spans="2:10" ht="20.25" thickTop="1" x14ac:dyDescent="0.25">
      <c r="B16" s="10" t="s">
        <v>79</v>
      </c>
      <c r="C16" s="10"/>
      <c r="D16" s="10"/>
      <c r="E16" s="10"/>
      <c r="F16" s="10"/>
      <c r="G16" s="2"/>
      <c r="H16" s="2"/>
      <c r="I16" s="2"/>
      <c r="J16" s="2"/>
    </row>
    <row r="18" spans="2:6" x14ac:dyDescent="0.25">
      <c r="B18" s="12" t="s">
        <v>4</v>
      </c>
      <c r="C18" s="12" t="s">
        <v>6</v>
      </c>
      <c r="D18" s="12" t="s">
        <v>5</v>
      </c>
      <c r="E18" s="12" t="s">
        <v>9</v>
      </c>
      <c r="F18" s="12" t="s">
        <v>27</v>
      </c>
    </row>
    <row r="19" spans="2:6" ht="39" x14ac:dyDescent="0.25">
      <c r="B19" s="13" t="s">
        <v>15</v>
      </c>
      <c r="C19" s="12" t="s">
        <v>16</v>
      </c>
      <c r="D19" s="13" t="s">
        <v>17</v>
      </c>
      <c r="E19" s="13" t="s">
        <v>25</v>
      </c>
      <c r="F19" s="12" t="s">
        <v>30</v>
      </c>
    </row>
    <row r="20" spans="2:6" ht="58.5" x14ac:dyDescent="0.25">
      <c r="B20" s="13" t="s">
        <v>59</v>
      </c>
      <c r="C20" s="12" t="s">
        <v>16</v>
      </c>
      <c r="D20" s="13" t="s">
        <v>60</v>
      </c>
      <c r="E20" s="13" t="s">
        <v>61</v>
      </c>
      <c r="F20" s="12" t="s">
        <v>62</v>
      </c>
    </row>
    <row r="21" spans="2:6" ht="39" x14ac:dyDescent="0.25">
      <c r="B21" s="13" t="s">
        <v>116</v>
      </c>
      <c r="C21" s="12" t="s">
        <v>16</v>
      </c>
      <c r="D21" s="13" t="s">
        <v>121</v>
      </c>
      <c r="E21" s="13" t="s">
        <v>117</v>
      </c>
      <c r="F21" s="12" t="s">
        <v>118</v>
      </c>
    </row>
    <row r="22" spans="2:6" ht="58.5" x14ac:dyDescent="0.25">
      <c r="B22" s="13" t="s">
        <v>119</v>
      </c>
      <c r="C22" s="12" t="s">
        <v>16</v>
      </c>
      <c r="D22" s="13" t="s">
        <v>93</v>
      </c>
      <c r="E22" s="13" t="s">
        <v>120</v>
      </c>
      <c r="F22" s="12" t="s">
        <v>95</v>
      </c>
    </row>
    <row r="23" spans="2:6" ht="39" x14ac:dyDescent="0.25">
      <c r="B23" s="13" t="s">
        <v>94</v>
      </c>
      <c r="C23" s="12" t="s">
        <v>16</v>
      </c>
      <c r="D23" s="13" t="s">
        <v>96</v>
      </c>
      <c r="E23" s="13" t="s">
        <v>24</v>
      </c>
      <c r="F23" s="12" t="s">
        <v>92</v>
      </c>
    </row>
    <row r="24" spans="2:6" ht="58.5" x14ac:dyDescent="0.25">
      <c r="B24" s="13" t="s">
        <v>22</v>
      </c>
      <c r="C24" s="12" t="s">
        <v>16</v>
      </c>
      <c r="D24" s="13" t="s">
        <v>31</v>
      </c>
      <c r="E24" s="13" t="s">
        <v>24</v>
      </c>
      <c r="F24" s="12" t="s">
        <v>28</v>
      </c>
    </row>
    <row r="25" spans="2:6" ht="39" x14ac:dyDescent="0.25">
      <c r="B25" s="13" t="s">
        <v>37</v>
      </c>
      <c r="C25" s="12" t="s">
        <v>16</v>
      </c>
      <c r="D25" s="13" t="s">
        <v>39</v>
      </c>
      <c r="E25" s="13" t="s">
        <v>24</v>
      </c>
      <c r="F25" s="12" t="s">
        <v>38</v>
      </c>
    </row>
    <row r="26" spans="2:6" ht="78" x14ac:dyDescent="0.25">
      <c r="B26" s="13" t="s">
        <v>26</v>
      </c>
      <c r="C26" s="12" t="s">
        <v>16</v>
      </c>
      <c r="D26" s="13" t="s">
        <v>43</v>
      </c>
      <c r="E26" s="13" t="s">
        <v>24</v>
      </c>
      <c r="F26" s="12" t="s">
        <v>29</v>
      </c>
    </row>
    <row r="27" spans="2:6" ht="52.5" customHeight="1" x14ac:dyDescent="0.25">
      <c r="B27" s="13" t="s">
        <v>41</v>
      </c>
      <c r="C27" s="12" t="s">
        <v>16</v>
      </c>
      <c r="D27" s="13" t="s">
        <v>40</v>
      </c>
      <c r="E27" s="13" t="s">
        <v>24</v>
      </c>
      <c r="F27" s="12" t="s">
        <v>115</v>
      </c>
    </row>
    <row r="28" spans="2:6" ht="52.5" customHeight="1" x14ac:dyDescent="0.25">
      <c r="B28" s="13" t="s">
        <v>112</v>
      </c>
      <c r="C28" s="12" t="s">
        <v>16</v>
      </c>
      <c r="D28" s="13" t="s">
        <v>113</v>
      </c>
      <c r="E28" s="13" t="s">
        <v>24</v>
      </c>
      <c r="F28" s="13" t="s">
        <v>114</v>
      </c>
    </row>
    <row r="29" spans="2:6" ht="78" x14ac:dyDescent="0.25">
      <c r="B29" s="13" t="s">
        <v>42</v>
      </c>
      <c r="C29" s="12" t="s">
        <v>16</v>
      </c>
      <c r="D29" s="13" t="s">
        <v>83</v>
      </c>
      <c r="E29" s="13" t="s">
        <v>24</v>
      </c>
      <c r="F29" s="13" t="s">
        <v>58</v>
      </c>
    </row>
    <row r="30" spans="2:6" ht="117" x14ac:dyDescent="0.25">
      <c r="B30" s="13" t="s">
        <v>56</v>
      </c>
      <c r="C30" s="12" t="s">
        <v>16</v>
      </c>
      <c r="D30" s="13" t="s">
        <v>86</v>
      </c>
      <c r="E30" s="13" t="s">
        <v>24</v>
      </c>
      <c r="F30" s="12" t="s">
        <v>57</v>
      </c>
    </row>
    <row r="31" spans="2:6" ht="58.5" x14ac:dyDescent="0.25">
      <c r="B31" s="13" t="s">
        <v>80</v>
      </c>
      <c r="C31" s="12" t="s">
        <v>16</v>
      </c>
      <c r="D31" s="13" t="s">
        <v>111</v>
      </c>
      <c r="E31" s="13" t="s">
        <v>81</v>
      </c>
      <c r="F31" s="13" t="s">
        <v>82</v>
      </c>
    </row>
    <row r="32" spans="2:6" ht="39" x14ac:dyDescent="0.25">
      <c r="B32" s="13" t="s">
        <v>97</v>
      </c>
      <c r="C32" s="12" t="s">
        <v>98</v>
      </c>
      <c r="D32" s="13" t="s">
        <v>99</v>
      </c>
      <c r="E32" s="13" t="s">
        <v>24</v>
      </c>
      <c r="F32" s="12" t="s">
        <v>100</v>
      </c>
    </row>
    <row r="33" spans="2:6" ht="78" x14ac:dyDescent="0.25">
      <c r="B33" s="13" t="s">
        <v>101</v>
      </c>
      <c r="C33" s="12" t="s">
        <v>98</v>
      </c>
      <c r="D33" s="13" t="s">
        <v>104</v>
      </c>
      <c r="E33" s="13" t="s">
        <v>103</v>
      </c>
      <c r="F33" s="12" t="s">
        <v>102</v>
      </c>
    </row>
    <row r="34" spans="2:6" ht="39" x14ac:dyDescent="0.25">
      <c r="B34" s="13" t="s">
        <v>105</v>
      </c>
      <c r="C34" s="12" t="s">
        <v>16</v>
      </c>
      <c r="D34" s="13" t="s">
        <v>108</v>
      </c>
      <c r="E34" s="13"/>
      <c r="F34" s="12" t="s">
        <v>106</v>
      </c>
    </row>
    <row r="35" spans="2:6" ht="58.5" x14ac:dyDescent="0.25">
      <c r="B35" s="13" t="s">
        <v>110</v>
      </c>
      <c r="C35" s="12" t="s">
        <v>16</v>
      </c>
      <c r="D35" s="13" t="s">
        <v>109</v>
      </c>
      <c r="E35" s="13"/>
      <c r="F35" s="12" t="s">
        <v>107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C16" sqref="C16"/>
    </sheetView>
  </sheetViews>
  <sheetFormatPr defaultRowHeight="19.5" x14ac:dyDescent="0.25"/>
  <cols>
    <col min="1" max="1" width="1.69140625" customWidth="1"/>
    <col min="2" max="2" width="20" bestFit="1" customWidth="1"/>
    <col min="3" max="3" width="11.15234375" bestFit="1" customWidth="1"/>
    <col min="4" max="4" width="3.07421875" customWidth="1"/>
    <col min="5" max="5" width="14.07421875" bestFit="1" customWidth="1"/>
    <col min="6" max="6" width="11.15234375" bestFit="1" customWidth="1"/>
    <col min="7" max="7" width="1.4609375" customWidth="1"/>
    <col min="8" max="8" width="10" customWidth="1"/>
    <col min="9" max="9" width="10.3828125" bestFit="1" customWidth="1"/>
    <col min="10" max="10" width="18.4609375" bestFit="1" customWidth="1"/>
  </cols>
  <sheetData>
    <row r="5" spans="2:13" ht="21" thickBot="1" x14ac:dyDescent="0.35">
      <c r="B5" s="1" t="s">
        <v>63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25" thickTop="1" x14ac:dyDescent="0.25">
      <c r="B6" s="2" t="s">
        <v>70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25">
      <c r="E8" t="s">
        <v>77</v>
      </c>
      <c r="F8" t="s">
        <v>74</v>
      </c>
      <c r="H8" t="s">
        <v>75</v>
      </c>
    </row>
    <row r="9" spans="2:13" x14ac:dyDescent="0.25">
      <c r="B9" s="14" t="s">
        <v>64</v>
      </c>
      <c r="C9" s="16" t="s">
        <v>68</v>
      </c>
      <c r="E9" s="15" t="s">
        <v>68</v>
      </c>
      <c r="F9" s="15" t="s">
        <v>69</v>
      </c>
      <c r="H9" s="17">
        <v>1000.23</v>
      </c>
    </row>
    <row r="10" spans="2:13" x14ac:dyDescent="0.25">
      <c r="B10" s="14" t="s">
        <v>65</v>
      </c>
      <c r="C10" s="16" t="s">
        <v>69</v>
      </c>
      <c r="E10" s="15" t="s">
        <v>69</v>
      </c>
      <c r="F10" s="15" t="s">
        <v>35</v>
      </c>
      <c r="H10" s="17">
        <v>1000.23</v>
      </c>
    </row>
    <row r="11" spans="2:13" x14ac:dyDescent="0.25">
      <c r="B11" s="14" t="s">
        <v>67</v>
      </c>
      <c r="C11" s="16" t="s">
        <v>69</v>
      </c>
      <c r="E11" s="15" t="s">
        <v>69</v>
      </c>
      <c r="F11" s="15" t="s">
        <v>71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25">
      <c r="B12" s="14" t="s">
        <v>66</v>
      </c>
      <c r="C12" s="16" t="b">
        <v>1</v>
      </c>
      <c r="E12" s="15" t="b">
        <v>1</v>
      </c>
      <c r="F12" s="15" t="b">
        <v>0</v>
      </c>
    </row>
    <row r="13" spans="2:13" x14ac:dyDescent="0.25">
      <c r="B13" s="14" t="s">
        <v>72</v>
      </c>
      <c r="C13" s="16" t="s">
        <v>73</v>
      </c>
      <c r="E13" s="15" t="s">
        <v>73</v>
      </c>
      <c r="F13" s="15" t="s">
        <v>74</v>
      </c>
      <c r="H13" s="18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V13"/>
  <sheetViews>
    <sheetView showGridLines="0" zoomScale="85" zoomScaleNormal="85" workbookViewId="0">
      <pane ySplit="5" topLeftCell="A6" activePane="bottomLeft" state="frozenSplit"/>
      <selection pane="bottomLeft" activeCell="A6" sqref="A6"/>
    </sheetView>
  </sheetViews>
  <sheetFormatPr defaultRowHeight="19.5" x14ac:dyDescent="0.25"/>
  <cols>
    <col min="1" max="1" width="1.69140625" customWidth="1"/>
    <col min="2" max="2" width="28.765625" bestFit="1" customWidth="1"/>
    <col min="3" max="3" width="2.4609375" customWidth="1"/>
    <col min="4" max="4" width="17.53515625" bestFit="1" customWidth="1"/>
    <col min="5" max="6" width="12.69140625" bestFit="1" customWidth="1"/>
    <col min="7" max="7" width="18.61328125" bestFit="1" customWidth="1"/>
    <col min="8" max="8" width="19.15234375" bestFit="1" customWidth="1"/>
    <col min="9" max="9" width="8.07421875" bestFit="1" customWidth="1"/>
    <col min="10" max="10" width="8.921875" bestFit="1" customWidth="1"/>
    <col min="11" max="11" width="7.3046875" bestFit="1" customWidth="1"/>
    <col min="12" max="20" width="1.765625" bestFit="1" customWidth="1"/>
    <col min="21" max="21" width="1.765625" customWidth="1"/>
    <col min="22" max="22" width="0.84375" customWidth="1"/>
  </cols>
  <sheetData>
    <row r="4" spans="2:22" x14ac:dyDescent="0.25">
      <c r="B4" s="18" t="s">
        <v>122</v>
      </c>
      <c r="D4" s="18" t="s">
        <v>123</v>
      </c>
    </row>
    <row r="5" spans="2:22" ht="21" thickBot="1" x14ac:dyDescent="0.35">
      <c r="B5" s="1" t="s">
        <v>88</v>
      </c>
      <c r="C5" s="1"/>
      <c r="D5" s="1" t="s">
        <v>89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20.25" thickTop="1" x14ac:dyDescent="0.25">
      <c r="B6">
        <f>COUNTA(_xlfn.ANCHORARRAY(B8))</f>
        <v>5</v>
      </c>
      <c r="C6" s="7"/>
      <c r="D6">
        <f>COUNTA(_xlfn.ANCHORARRAY(D8))</f>
        <v>5</v>
      </c>
    </row>
    <row r="7" spans="2:22" ht="20.25" thickBot="1" x14ac:dyDescent="0.3">
      <c r="B7" s="6" t="s">
        <v>33</v>
      </c>
      <c r="C7" s="8" t="s">
        <v>35</v>
      </c>
      <c r="D7" s="6" t="s">
        <v>34</v>
      </c>
      <c r="E7" s="6" t="s">
        <v>36</v>
      </c>
      <c r="F7" s="6"/>
      <c r="G7" s="6" t="s">
        <v>91</v>
      </c>
      <c r="H7" s="6" t="s">
        <v>18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35</v>
      </c>
    </row>
    <row r="8" spans="2:22" ht="20.25" thickTop="1" x14ac:dyDescent="0.25">
      <c r="B8" t="str" cm="1">
        <f t="array" ref="B8:B12">TRANSPOSE(ListLambdas())</f>
        <v>ADDRESSES_byDiarmuidEarly</v>
      </c>
      <c r="D8" t="str" cm="1">
        <f t="array" ref="D8:D12">Lambdas[Name]</f>
        <v>EXTRACTCHAR</v>
      </c>
      <c r="E8" t="s">
        <v>21</v>
      </c>
      <c r="H8" t="str" cm="1">
        <f t="array" ref="H8:T8">EXTRACTCHAR_byHarryGross(E8)</f>
        <v>H</v>
      </c>
      <c r="I8" t="str">
        <v>a</v>
      </c>
      <c r="J8" t="str">
        <v>p</v>
      </c>
      <c r="K8" t="str">
        <v>p</v>
      </c>
      <c r="L8" t="str">
        <v>y</v>
      </c>
      <c r="M8" t="str">
        <v xml:space="preserve"> </v>
      </c>
      <c r="N8" t="str">
        <v>4</v>
      </c>
      <c r="O8" t="str">
        <v>5</v>
      </c>
      <c r="P8" t="str">
        <v xml:space="preserve"> </v>
      </c>
      <c r="Q8" t="str">
        <v>^</v>
      </c>
      <c r="R8" t="str">
        <v xml:space="preserve"> </v>
      </c>
      <c r="S8" t="str">
        <v>2</v>
      </c>
      <c r="T8" t="str">
        <v>!</v>
      </c>
    </row>
    <row r="9" spans="2:22" x14ac:dyDescent="0.25">
      <c r="B9" t="str">
        <v>CaseInputs</v>
      </c>
      <c r="D9" t="str">
        <v>EXTRACTNUMBERS</v>
      </c>
      <c r="E9" t="s">
        <v>21</v>
      </c>
      <c r="H9" t="str" cm="1">
        <f t="array" ref="H9:I9">EXTRACTNUMBERS_byHarryGross(E9)</f>
        <v>45</v>
      </c>
      <c r="I9" t="str">
        <v>2</v>
      </c>
    </row>
    <row r="10" spans="2:22" x14ac:dyDescent="0.25">
      <c r="B10" t="str">
        <v>EXTRACTCHAR_byHarryGross</v>
      </c>
      <c r="D10" t="str">
        <v>ADDRESSES</v>
      </c>
      <c r="E10" t="s">
        <v>47</v>
      </c>
      <c r="F10" t="s">
        <v>49</v>
      </c>
      <c r="H10" t="str" cm="1">
        <f t="array" ref="H10:I10">ADDRESSES_byDiarmuidEarly(E10:F10)</f>
        <v>E10</v>
      </c>
      <c r="I10" t="str">
        <v>F10</v>
      </c>
    </row>
    <row r="11" spans="2:22" x14ac:dyDescent="0.25">
      <c r="B11" t="str">
        <v>EXTRACTNUMBERS_byHarryGross</v>
      </c>
      <c r="D11" t="str">
        <v>GRIDTOCOL</v>
      </c>
      <c r="E11" t="s">
        <v>44</v>
      </c>
      <c r="F11" t="s">
        <v>46</v>
      </c>
      <c r="H11" t="str" cm="1">
        <f t="array" aca="1" ref="H11:K13" ca="1">GRIDTOCOL_byLiannaGerrish(E11:F11,1)</f>
        <v>Items</v>
      </c>
      <c r="I11" t="str">
        <f ca="1"/>
        <v>Row #</v>
      </c>
      <c r="J11" t="str">
        <f ca="1"/>
        <v>Column #</v>
      </c>
      <c r="K11" t="str">
        <f ca="1"/>
        <v>Address</v>
      </c>
    </row>
    <row r="12" spans="2:22" x14ac:dyDescent="0.25">
      <c r="B12" t="str">
        <v>GRIDTOCOL_byLiannaGerrish</v>
      </c>
      <c r="D12" t="str">
        <v>CASEINPUTS</v>
      </c>
      <c r="G12" s="18" t="s">
        <v>90</v>
      </c>
      <c r="H12" t="str">
        <f ca="1"/>
        <v>A</v>
      </c>
      <c r="I12">
        <f ca="1"/>
        <v>11</v>
      </c>
      <c r="J12">
        <f ca="1"/>
        <v>5</v>
      </c>
      <c r="K12" t="str">
        <f ca="1"/>
        <v>E11</v>
      </c>
    </row>
    <row r="13" spans="2:22" x14ac:dyDescent="0.25">
      <c r="H13" t="str">
        <f ca="1"/>
        <v>B</v>
      </c>
      <c r="I13">
        <f ca="1"/>
        <v>11</v>
      </c>
      <c r="J13">
        <f ca="1"/>
        <v>6</v>
      </c>
      <c r="K13" t="str">
        <f ca="1"/>
        <v>F11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5" x14ac:dyDescent="0.25"/>
  <cols>
    <col min="1" max="1" width="1.69140625" customWidth="1"/>
    <col min="2" max="2" width="24.4609375" bestFit="1" customWidth="1"/>
    <col min="3" max="3" width="11.23046875" bestFit="1" customWidth="1"/>
    <col min="4" max="4" width="36" customWidth="1"/>
    <col min="5" max="5" width="12.4609375" bestFit="1" customWidth="1"/>
    <col min="6" max="10" width="4.23046875" customWidth="1"/>
  </cols>
  <sheetData>
    <row r="5" spans="2:10" ht="21" thickBot="1" x14ac:dyDescent="0.35">
      <c r="B5" s="1" t="s">
        <v>19</v>
      </c>
      <c r="C5" s="1"/>
      <c r="D5" s="1"/>
      <c r="E5" s="1"/>
      <c r="F5" s="1"/>
      <c r="G5" s="1"/>
      <c r="H5" s="1"/>
      <c r="I5" s="1"/>
      <c r="J5" s="1"/>
    </row>
    <row r="6" spans="2:10" ht="20.25" thickTop="1" x14ac:dyDescent="0.25">
      <c r="B6" s="2" t="s">
        <v>32</v>
      </c>
      <c r="C6" s="2"/>
      <c r="D6" s="2"/>
      <c r="E6" s="2"/>
      <c r="F6" s="2"/>
      <c r="G6" s="2"/>
      <c r="H6" s="2"/>
      <c r="I6" s="2"/>
      <c r="J6" s="2"/>
    </row>
    <row r="7" spans="2:10" x14ac:dyDescent="0.25">
      <c r="B7" s="4"/>
    </row>
    <row r="8" spans="2:10" x14ac:dyDescent="0.25">
      <c r="B8" s="4"/>
    </row>
    <row r="9" spans="2:10" x14ac:dyDescent="0.25">
      <c r="B9" s="4"/>
    </row>
    <row r="10" spans="2:10" x14ac:dyDescent="0.25">
      <c r="B10" s="4"/>
    </row>
    <row r="11" spans="2:10" ht="20.25" thickBot="1" x14ac:dyDescent="0.3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25" thickTop="1" x14ac:dyDescent="0.25"/>
    <row r="13" spans="2:10" x14ac:dyDescent="0.25">
      <c r="B13" t="s">
        <v>4</v>
      </c>
      <c r="C13" t="s">
        <v>6</v>
      </c>
      <c r="D13" t="s">
        <v>5</v>
      </c>
      <c r="E13" t="s">
        <v>9</v>
      </c>
    </row>
    <row r="14" spans="2:10" ht="39" x14ac:dyDescent="0.25">
      <c r="B14" t="s">
        <v>22</v>
      </c>
      <c r="C14" t="s">
        <v>16</v>
      </c>
      <c r="D14" s="5" t="s">
        <v>23</v>
      </c>
      <c r="E14" t="s">
        <v>24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JSON><![CDATA[
{
  "Commands": [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
  ]
}
]]></JSON>
</file>

<file path=customXml/item3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10/01/2025 20:25:14 +00:00</LastUpdated>
    <CustomXmlPartGuid>{EF9D2378-0B79-4B2A-8DEA-4C2AE849F57F}</CustomXmlPartGuid>
  </CustomXmlPartIndex>
</writeIndexDataTable>
</file>

<file path=customXml/item4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F9D2378-0B79-4B2A-8DEA-4C2AE849F57F}">
  <ds:schemaRefs/>
</ds:datastoreItem>
</file>

<file path=customXml/itemProps3.xml><?xml version="1.0" encoding="utf-8"?>
<ds:datastoreItem xmlns:ds="http://schemas.openxmlformats.org/officeDocument/2006/customXml" ds:itemID="{78C05BC1-0348-43BA-A21E-46FD90DA0DA9}">
  <ds:schemaRefs>
    <ds:schemaRef ds:uri=""/>
    <ds:schemaRef ds:uri="http://www.w3.org/2001/XMLSchema"/>
    <ds:schemaRef ds:uri="urn:schemas-microsoft-com:xml-msdata"/>
  </ds:schemaRefs>
</ds:datastoreItem>
</file>

<file path=customXml/itemProps4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Info</vt:lpstr>
      <vt:lpstr>Default Settings</vt:lpstr>
      <vt:lpstr>Lambdas List</vt:lpstr>
      <vt:lpstr>Load Lambdas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2025-01-10T22:02:09Z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{78C05BC1-0348-43BA-A21E-46FD90DA0DA9}</vt:lpwstr>
  </property>
  <property fmtid="{D5CDD505-2E9C-101B-9397-08002B2CF9AE}" pid="3" name="OA Tools Last Modified">
    <vt:lpwstr>2025-01-10 20:25:14 UTC</vt:lpwstr>
  </property>
</Properties>
</file>