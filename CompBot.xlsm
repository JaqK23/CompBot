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02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34e1f3e8d9cda95/Documents/GitHub/CompBot/"/>
    </mc:Choice>
  </mc:AlternateContent>
  <xr:revisionPtr revIDLastSave="344" documentId="8_{A71C4BE8-DA82-4FF2-B8CB-492E5B5D12DB}" xr6:coauthVersionLast="47" xr6:coauthVersionMax="47" xr10:uidLastSave="{147AF7A5-DDA5-43F0-A9D7-B55AC538E156}"/>
  <bookViews>
    <workbookView xWindow="18465" yWindow="2175" windowWidth="21570" windowHeight="19050" xr2:uid="{680F85FE-7009-46FF-BF5C-10DA0B68E903}"/>
  </bookViews>
  <sheets>
    <sheet name="Info" sheetId="1" r:id="rId1"/>
    <sheet name="Default Settings" sheetId="18" r:id="rId2"/>
    <sheet name="Lambdas List" sheetId="14" r:id="rId3"/>
    <sheet name="Load Lambdas" sheetId="15" r:id="rId4"/>
  </sheets>
  <functionGroups builtInGroupCount="19"/>
  <definedNames>
    <definedName name="_xleta.MIN" hidden="1" xlm="1">#NAME?</definedName>
    <definedName name="_xleta.SUM" hidden="1" xlm="1">#NAME?</definedName>
    <definedName name="_xlop.Actual" hidden="1" xlm="1">#NAME?</definedName>
    <definedName name="_xlop.colDelim" hidden="1" xlm="1">#NAME?</definedName>
    <definedName name="_xlop.default" hidden="1" xlm="1">#NAME?</definedName>
    <definedName name="_xlop.horizontal" hidden="1" xlm="1">#NAME?</definedName>
    <definedName name="_xlop.id" hidden="1" xlm="1">#NAME?</definedName>
    <definedName name="_xlop.In" hidden="1" xlm="1">#NAME?</definedName>
    <definedName name="_xlop.lookup_output" hidden="1" xlm="1">#NAME?</definedName>
    <definedName name="_xlop.n_horiz" hidden="1" xlm="1">#NAME?</definedName>
    <definedName name="_xlop.Out" hidden="1" xlm="1">#NAME?</definedName>
    <definedName name="_xlop.posx" hidden="1" xlm="1">#NAME?</definedName>
    <definedName name="_xlop.posy" hidden="1" xlm="1">#NAME?</definedName>
    <definedName name="_xlop.return_type" hidden="1" xlm="1">#NAME?</definedName>
    <definedName name="_xlop.rowDelim" hidden="1" xlm="1">#NAME?</definedName>
    <definedName name="_xlop.sheetname" hidden="1" xlm="1">#NAME?</definedName>
    <definedName name="_xlop.ShowAll_0" hidden="1" xlm="1">#NAME?</definedName>
    <definedName name="_xlop.vertical" hidden="1" xlm="1">#NAME?</definedName>
    <definedName name="_xlop.x_multiplier" hidden="1" xlm="1">#NAME?</definedName>
    <definedName name="_xlop.y_multiplier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\\Source" hidden="1" xlm="1">#NAME?</definedName>
    <definedName name="_xlpm._GetMax" hidden="1" xlm="1">#NAME?</definedName>
    <definedName name="_xlpm._GetMin" hidden="1" xlm="1">#NAME?</definedName>
    <definedName name="_xlpm._MinMax" hidden="1" xlm="1">#NAME?</definedName>
    <definedName name="_xlpm._Result" hidden="1" xlm="1">#NAME?</definedName>
    <definedName name="_xlpm._Step1" hidden="1" xlm="1">#NAME?</definedName>
    <definedName name="_xlpm._Step10" hidden="1" xlm="1">#NAME?</definedName>
    <definedName name="_xlpm._Step11" hidden="1" xlm="1">#NAME?</definedName>
    <definedName name="_xlpm._Step2" hidden="1" xlm="1">#NAME?</definedName>
    <definedName name="_xlpm._Step3" hidden="1" xlm="1">#NAME?</definedName>
    <definedName name="_xlpm._Step4" hidden="1" xlm="1">#NAME?</definedName>
    <definedName name="_xlpm._Step5" hidden="1" xlm="1">#NAME?</definedName>
    <definedName name="_xlpm._Step6" hidden="1" xlm="1">#NAME?</definedName>
    <definedName name="_xlpm._Step7" hidden="1" xlm="1">#NAME?</definedName>
    <definedName name="_xlpm._Step8" hidden="1" xlm="1">#NAME?</definedName>
    <definedName name="_xlpm._Step9" hidden="1" xlm="1">#NAME?</definedName>
    <definedName name="_xlpm._X" hidden="1" xlm="1">#NAME?</definedName>
    <definedName name="_xlpm._Y" hidden="1" xlm="1">#NAME?</definedName>
    <definedName name="_xlpm.a" hidden="1" xlm="1">#NAME?</definedName>
    <definedName name="_xlpm.ac" hidden="1" xlm="1">#NAME?</definedName>
    <definedName name="_xlpm.accum" hidden="1" xlm="1">#NAME?</definedName>
    <definedName name="_xlpm.Actual" hidden="1" xlm="1">#NAME?</definedName>
    <definedName name="_xlpm.add" hidden="1" xlm="1">#NAME?</definedName>
    <definedName name="_xlpm.addr" hidden="1" xlm="1">#NAME?</definedName>
    <definedName name="_xlpm.addr_col" hidden="1" xlm="1">#NAME?</definedName>
    <definedName name="_xlpm.ar" hidden="1" xlm="1">#NAME?</definedName>
    <definedName name="_xlpm.arr" hidden="1" xlm="1">#NAME?</definedName>
    <definedName name="_xlpm.array" hidden="1" xlm="1">#NAME?</definedName>
    <definedName name="_xlpm.array_roll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ow" hidden="1" xlm="1">#NAME?</definedName>
    <definedName name="_xlpm.Arrows" hidden="1" xlm="1">#NAME?</definedName>
    <definedName name="_xlpm.Arrowsx" hidden="1" xlm="1">#NAME?</definedName>
    <definedName name="_xlpm.Arrowsy" hidden="1" xlm="1">#NAME?</definedName>
    <definedName name="_xlpm.arrr" hidden="1" xlm="1">#NAME?</definedName>
    <definedName name="_xlpm.ax" hidden="1" xlm="1">#NAME?</definedName>
    <definedName name="_xlpm.ay" hidden="1" xlm="1">#NAME?</definedName>
    <definedName name="_xlpm.b" hidden="1" xlm="1">#NAME?</definedName>
    <definedName name="_xlpm.bc" hidden="1" xlm="1">#NAME?</definedName>
    <definedName name="_xlpm.bear" hidden="1" xlm="1">#NAME?</definedName>
    <definedName name="_xlpm.blocked_cells" hidden="1" xlm="1">#NAME?</definedName>
    <definedName name="_xlpm.booLoop" hidden="1" xlm="1">#NAME?</definedName>
    <definedName name="_xlpm.br" hidden="1" xlm="1">#NAME?</definedName>
    <definedName name="_xlpm.c" hidden="1" xlm="1">#NAME?</definedName>
    <definedName name="_xlpm.ca" hidden="1" xlm="1">#NAME?</definedName>
    <definedName name="_xlpm.cb" hidden="1" xlm="1">#NAME?</definedName>
    <definedName name="_xlpm.cc" hidden="1" xlm="1">#NAME?</definedName>
    <definedName name="_xlpm.cdist" hidden="1" xlm="1">#NAME?</definedName>
    <definedName name="_xlpm.cell" hidden="1" xlm="1">#NAME?</definedName>
    <definedName name="_xlpm.cell_coordinates" hidden="1" xlm="1">#NAME?</definedName>
    <definedName name="_xlpm.cell_from" hidden="1" xlm="1">#NAME?</definedName>
    <definedName name="_xlpm.cell_to" hidden="1" xlm="1">#NAME?</definedName>
    <definedName name="_xlpm.cell1" hidden="1" xlm="1">#NAME?</definedName>
    <definedName name="_xlpm.cell2" hidden="1" xlm="1">#NAME?</definedName>
    <definedName name="_xlpm.clean" hidden="1" xlm="1">#NAME?</definedName>
    <definedName name="_xlpm.cls" hidden="1" xlm="1">#NAME?</definedName>
    <definedName name="_xlpm.cnt" hidden="1" xlm="1">#NAME?</definedName>
    <definedName name="_xlpm.cnum" hidden="1" xlm="1">#NAME?</definedName>
    <definedName name="_xlpm.col" hidden="1" xlm="1">#NAME?</definedName>
    <definedName name="_xlpm.colDelim" hidden="1" xlm="1">#NAME?</definedName>
    <definedName name="_xlpm.colIndex" hidden="1" xlm="1">#NAME?</definedName>
    <definedName name="_xlpm.colLen" hidden="1" xlm="1">#NAME?</definedName>
    <definedName name="_xlpm.collet" hidden="1" xlm="1">#NAME?</definedName>
    <definedName name="_xlpm.cols" hidden="1" xlm="1">#NAME?</definedName>
    <definedName name="_xlpm.column" hidden="1" xlm="1">#NAME?</definedName>
    <definedName name="_xlpm.condition" hidden="1" xlm="1">#NAME?</definedName>
    <definedName name="_xlpm.cr" hidden="1" xlm="1">#NAME?</definedName>
    <definedName name="_xlpm.curr" hidden="1" xlm="1">#NAME?</definedName>
    <definedName name="_xlpm.current_cell" hidden="1" xlm="1">#NAME?</definedName>
    <definedName name="_xlpm.d" hidden="1" xlm="1">#NAME?</definedName>
    <definedName name="_xlpm.d_mod" hidden="1" xlm="1">#NAME?</definedName>
    <definedName name="_xlpm.data_arr" hidden="1" xlm="1">#NAME?</definedName>
    <definedName name="_xlpm.data_grid" hidden="1" xlm="1">#NAME?</definedName>
    <definedName name="_xlpm.data1" hidden="1" xlm="1">#NAME?</definedName>
    <definedName name="_xlpm.data2" hidden="1" xlm="1">#NAME?</definedName>
    <definedName name="_xlpm.data3" hidden="1" xlm="1">#NAME?</definedName>
    <definedName name="_xlpm.data4" hidden="1" xlm="1">#NAME?</definedName>
    <definedName name="_xlpm.data5" hidden="1" xlm="1">#NAME?</definedName>
    <definedName name="_xlpm.days_in_period" hidden="1" xlm="1">#NAME?</definedName>
    <definedName name="_xlpm.default" hidden="1" xlm="1">#NAME?</definedName>
    <definedName name="_xlpm.delim1" hidden="1" xlm="1">#NAME?</definedName>
    <definedName name="_xlpm.delim2" hidden="1" xlm="1">#NAME?</definedName>
    <definedName name="_xlpm.diag" hidden="1" xlm="1">#NAME?</definedName>
    <definedName name="_xlpm.diag_flag" hidden="1" xlm="1">#NAME?</definedName>
    <definedName name="_xlpm.dice" hidden="1" xlm="1">#NAME?</definedName>
    <definedName name="_xlpm.dist" hidden="1" xlm="1">#NAME?</definedName>
    <definedName name="_xlpm.doc" hidden="1" xlm="1">#NAME?</definedName>
    <definedName name="_xlpm.e" hidden="1" xlm="1">#NAME?</definedName>
    <definedName name="_xlpm.end" hidden="1" xlm="1">#NAME?</definedName>
    <definedName name="_xlpm.end_date" hidden="1" xlm="1">#NAME?</definedName>
    <definedName name="_xlpm.final_roll" hidden="1" xlm="1">#NAME?</definedName>
    <definedName name="_xlpm.find" hidden="1" xlm="1">#NAME?</definedName>
    <definedName name="_xlpm.firstChar" hidden="1" xlm="1">#NAME?</definedName>
    <definedName name="_xlpm.func" hidden="1" xlm="1">#NAME?</definedName>
    <definedName name="_xlpm.games" hidden="1" xlm="1">#NAME?</definedName>
    <definedName name="_xlpm.grid" hidden="1" xlm="1">#NAME?</definedName>
    <definedName name="_xlpm.h" hidden="1" xlm="1">#NAME?</definedName>
    <definedName name="_xlpm.h_fixed" hidden="1" xlm="1">#NAME?</definedName>
    <definedName name="_xlpm.h_mod" hidden="1" xlm="1">#NAME?</definedName>
    <definedName name="_xlpm.headers" hidden="1" xlm="1">#NAME?</definedName>
    <definedName name="_xlpm.height" hidden="1" xlm="1">#NAME?</definedName>
    <definedName name="_xlpm.horizontal" hidden="1" xlm="1">#NAME?</definedName>
    <definedName name="_xlpm.horizontal_mod" hidden="1" xlm="1">#NAME?</definedName>
    <definedName name="_xlpm.horizontal_moves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" hidden="1" xlm="1">#NAME?</definedName>
    <definedName name="_xlpm.Input1" hidden="1" xlm="1">#NAME?</definedName>
    <definedName name="_xlpm.Input2" hidden="1" xlm="1">#NAME?</definedName>
    <definedName name="_xlpm.InputArray" hidden="1" xlm="1">#NAME?</definedName>
    <definedName name="_xlpm.items_arr" hidden="1" xlm="1">#NAME?</definedName>
    <definedName name="_xlpm.items_grid" hidden="1" xlm="1">#NAME?</definedName>
    <definedName name="_xlpm.j" hidden="1" xlm="1">#NAME?</definedName>
    <definedName name="_xlpm.l" hidden="1" xlm="1">#NAME?</definedName>
    <definedName name="_xlpm.leng" hidden="1" xlm="1">#NAME?</definedName>
    <definedName name="_xlpm.letter" hidden="1" xlm="1">#NAME?</definedName>
    <definedName name="_xlpm.levels" hidden="1" xlm="1">#NAME?</definedName>
    <definedName name="_xlpm.lookup_array" hidden="1" xlm="1">#NAME?</definedName>
    <definedName name="_xlpm.lookup_output" hidden="1" xlm="1">#NAME?</definedName>
    <definedName name="_xlpm.lr_roll" hidden="1" xlm="1">#NAME?</definedName>
    <definedName name="_xlpm.m" hidden="1" xlm="1">#NAME?</definedName>
    <definedName name="_xlpm.m_vert" hidden="1" xlm="1">#NAME?</definedName>
    <definedName name="_xlpm.map_cell" hidden="1" xlm="1">#NAME?</definedName>
    <definedName name="_xlpm.Mcls" hidden="1" xlm="1">#NAME?</definedName>
    <definedName name="_xlpm.month_num" hidden="1" xlm="1">#NAME?</definedName>
    <definedName name="_xlpm.mp" hidden="1" xlm="1">#NAME?</definedName>
    <definedName name="_xlpm.mrows" hidden="1" xlm="1">#NAME?</definedName>
    <definedName name="_xlpm.Mrws" hidden="1" xlm="1">#NAME?</definedName>
    <definedName name="_xlpm.n_horiz" hidden="1" xlm="1">#NAME?</definedName>
    <definedName name="_xlpm.ncols" hidden="1" xlm="1">#NAME?</definedName>
    <definedName name="_xlpm.new" hidden="1" xlm="1">#NAME?</definedName>
    <definedName name="_xlpm.new_block" hidden="1" xlm="1">#NAME?</definedName>
    <definedName name="_xlpm.newArray" hidden="1" xlm="1">#NAME?</definedName>
    <definedName name="_xlpm.newcell" hidden="1" xlm="1">#NAME?</definedName>
    <definedName name="_xlpm.number" hidden="1" xlm="1">#NAME?</definedName>
    <definedName name="_xlpm.off" hidden="1" xlm="1">#NAME?</definedName>
    <definedName name="_xlpm.offset" hidden="1" xlm="1">#NAME?</definedName>
    <definedName name="_xlpm.Out" hidden="1" xlm="1">#NAME?</definedName>
    <definedName name="_xlpm.period_start_date" hidden="1" xlm="1">#NAME?</definedName>
    <definedName name="_xlpm.periods" hidden="1" xlm="1">#NAME?</definedName>
    <definedName name="_xlpm.pos" hidden="1" xlm="1">#NAME?</definedName>
    <definedName name="_xlpm.pos_one_x" hidden="1" xlm="1">#NAME?</definedName>
    <definedName name="_xlpm.pos_one_y" hidden="1" xlm="1">#NAME?</definedName>
    <definedName name="_xlpm.pos_two_x" hidden="1" xlm="1">#NAME?</definedName>
    <definedName name="_xlpm.pos_two_y" hidden="1" xlm="1">#NAME?</definedName>
    <definedName name="_xlpm.posx" hidden="1" xlm="1">#NAME?</definedName>
    <definedName name="_xlpm.posxx" hidden="1" xlm="1">#NAME?</definedName>
    <definedName name="_xlpm.posy" hidden="1" xlm="1">#NAME?</definedName>
    <definedName name="_xlpm.posyy" hidden="1" xlm="1">#NAME?</definedName>
    <definedName name="_xlpm.questions" hidden="1" xlm="1">#NAME?</definedName>
    <definedName name="_xlpm.r" hidden="1" xlm="1">#NAME?</definedName>
    <definedName name="_xlpm.Range" hidden="1" xlm="1">#NAME?</definedName>
    <definedName name="_xlpm.rate" hidden="1" xlm="1">#NAME?</definedName>
    <definedName name="_xlpm.rdist" hidden="1" xlm="1">#NAME?</definedName>
    <definedName name="_xlpm.replace" hidden="1" xlm="1">#NAME?</definedName>
    <definedName name="_xlpm.res" hidden="1" xlm="1">#NAME?</definedName>
    <definedName name="_xlpm.result" hidden="1" xlm="1">#NAME?</definedName>
    <definedName name="_xlpm.resultArray" hidden="1" xlm="1">#NAME?</definedName>
    <definedName name="_xlpm.return" hidden="1" xlm="1">#NAME?</definedName>
    <definedName name="_xlpm.return_array" hidden="1" xlm="1">#NAME?</definedName>
    <definedName name="_xlpm.return_type" hidden="1" xlm="1">#NAME?</definedName>
    <definedName name="_xlpm.rng" hidden="1" xlm="1">#NAME?</definedName>
    <definedName name="_xlpm.rnum" hidden="1" xlm="1">#NAME?</definedName>
    <definedName name="_xlpm.row" hidden="1" xlm="1">#NAME?</definedName>
    <definedName name="_xlpm.rowDelim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s" hidden="1" xlm="1">#NAME?</definedName>
    <definedName name="_xlpm.rr" hidden="1" xlm="1">#NAME?</definedName>
    <definedName name="_xlpm.rws" hidden="1" xlm="1">#NAME?</definedName>
    <definedName name="_xlpm.s" hidden="1" xlm="1">#NAME?</definedName>
    <definedName name="_xlpm.search" hidden="1" xlm="1">#NAME?</definedName>
    <definedName name="_xlpm.sheetname" hidden="1" xlm="1">#NAME?</definedName>
    <definedName name="_xlpm.shift" hidden="1" xlm="1">#NAME?</definedName>
    <definedName name="_xlpm.ShowAll_0" hidden="1" xlm="1">#NAME?</definedName>
    <definedName name="_xlpm.single_cell" hidden="1" xlm="1">#NAME?</definedName>
    <definedName name="_xlpm.size" hidden="1" xlm="1">#NAME?</definedName>
    <definedName name="_xlpm.start" hidden="1" xlm="1">#NAME?</definedName>
    <definedName name="_xlpm.start_date" hidden="1" xlm="1">#NAME?</definedName>
    <definedName name="_xlpm.startcell" hidden="1" xlm="1">#NAME?</definedName>
    <definedName name="_xlpm.startcol" hidden="1" xlm="1">#NAME?</definedName>
    <definedName name="_xlpm.starting_cell" hidden="1" xlm="1">#NAME?</definedName>
    <definedName name="_xlpm.startrow" hidden="1" xlm="1">#NAME?</definedName>
    <definedName name="_xlpm.stcl" hidden="1" xlm="1">#NAME?</definedName>
    <definedName name="_xlpm.string" hidden="1" xlm="1">#NAME?</definedName>
    <definedName name="_xlpm.string1" hidden="1" xlm="1">#NAME?</definedName>
    <definedName name="_xlpm.string2" hidden="1" xlm="1">#NAME?</definedName>
    <definedName name="_xlpm.stringLength" hidden="1" xlm="1">#NAME?</definedName>
    <definedName name="_xlpm.strw" hidden="1" xlm="1">#NAME?</definedName>
    <definedName name="_xlpm.substring" hidden="1" xlm="1">#NAME?</definedName>
    <definedName name="_xlpm.sum_distance_traveled" hidden="1" xlm="1">#NAME?</definedName>
    <definedName name="_xlpm.table_arrows" hidden="1" xlm="1">#NAME?</definedName>
    <definedName name="_xlpm.tarr" hidden="1" xlm="1">#NAME?</definedName>
    <definedName name="_xlpm.text" hidden="1" xlm="1">#NAME?</definedName>
    <definedName name="_xlpm.TextLengthNoSpaces" hidden="1" xlm="1">#NAME?</definedName>
    <definedName name="_xlpm.trg" hidden="1" xlm="1">#NAME?</definedName>
    <definedName name="_xlpm.Trimmedtext" hidden="1" xlm="1">#NAME?</definedName>
    <definedName name="_xlpm.TrimmedtextLength" hidden="1" xlm="1">#NAME?</definedName>
    <definedName name="_xlpm.type" hidden="1" xlm="1">#NAME?</definedName>
    <definedName name="_xlpm.u" hidden="1" xlm="1">#NAME?</definedName>
    <definedName name="_xlpm.v" hidden="1" xlm="1">#NAME?</definedName>
    <definedName name="_xlpm.v_fixed" hidden="1" xlm="1">#NAME?</definedName>
    <definedName name="_xlpm.v_mod" hidden="1" xlm="1">#NAME?</definedName>
    <definedName name="_xlpm.val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s" hidden="1" xlm="1">#NAME?</definedName>
    <definedName name="_xlpm.vertical" hidden="1" xlm="1">#NAME?</definedName>
    <definedName name="_xlpm.vertical_mod" hidden="1" xlm="1">#NAME?</definedName>
    <definedName name="_xlpm.vertical_moves" hidden="1" xlm="1">#NAME?</definedName>
    <definedName name="_xlpm.WhiteSpaceSubstitution" hidden="1" xlm="1">#NAME?</definedName>
    <definedName name="_xlpm.width" hidden="1" xlm="1">#NAME?</definedName>
    <definedName name="_xlpm.x" hidden="1" xlm="1">#NAME?</definedName>
    <definedName name="_xlpm.x_multiplier" hidden="1" xlm="1">#NAME?</definedName>
    <definedName name="_xlpm.xmove" hidden="1" xlm="1">#NAME?</definedName>
    <definedName name="_xlpm.xmoveunit" hidden="1" xlm="1">#NAME?</definedName>
    <definedName name="_xlpm.xmult" hidden="1" xlm="1">#NAME?</definedName>
    <definedName name="_xlpm.y" hidden="1" xlm="1">#NAME?</definedName>
    <definedName name="_xlpm.y_multiplier" hidden="1" xlm="1">#NAME?</definedName>
    <definedName name="_xlpm.ymove" hidden="1" xlm="1">#NAME?</definedName>
    <definedName name="_xlpm.ymoveunit" hidden="1" xlm="1">#NAME?</definedName>
    <definedName name="_xlpm.ymult" hidden="1" xlm="1">#NAME?</definedName>
    <definedName name="ADDRESSES_byDiarmuidEarly">_xlfn.LAMBDA(_xlpm.rng, ADDRESS(ROW(_xlpm.rng), COLUMN(_xlpm.rng), 4))</definedName>
    <definedName name="CaseInputs">_xlfn.LAMBDA(     _xlfn.LET(         _xlpm.questions, _xlfn._xlws.FILTER(INDIRECT("Case!$B:$EE"), ISNUMBER(INDIRECT("Case!$B:$B"))),         _xlpm.result, IF(_xlpm.questions=0, NA(), _xlpm.questions),         _xlpm.clean, _xlfn.HSTACK(_xlfn.TAKE(_xlpm.result,,3), _xlfn.TAKE(_xlpm.result,,-COLUMNS(_xlpm.result)+5)),         IFERROR(_xlpm.clean, "")     ) )</definedName>
    <definedName name="EXTRACTCHAR_byHarryGross">_xlfn.LAMBDA(_xlpm.text, MID(_xlpm.text, _xlfn.SEQUENCE(, LEN(_xlpm.text), 1, 1), 1))</definedName>
    <definedName name="EXTRACTNUMBERS_byHarryGross">_xlfn.LAMBDA(_xlpm.cell,_xlfn.TEXTSPLIT(_xlpm.cell,_xlfn.TEXTSPLIT(_xlpm.cell,_xlfn.SEQUENCE(10,,0),,1),,1))</definedName>
    <definedName name="GRIDTOCOL_byLiannaGerrish">_xlfn.LAMBDA(_xlpm.grid,_xlop.ShowAll_0,_xlfn.LET(_xlpm.\\LambdaName, "GRIDTOCOL", _xlpm.items_grid, _xlfn.TOCOL(_xlpm.grid), _xlpm.addr_col, _xlfn.TOCOL(ADDRESSES_byDiarmuidEarly(_xlpm.grid)), _xlpm.rows, ROW(INDIRECT(_xlpm.addr_col)) * 1, _xlpm.cols, COLUMN(INDIRECT(_xlpm.addr_col)) * 1, _xlpm.headers, _xlfn.HSTACK("Items", "Row #", "Column #", "Address"), _xlpm.data_grid, _xlfn.HSTACK(_xlpm.items_grid, _xlpm.rows, _xlpm.cols, _xlpm.addr_col), IF(OR(_xlfn.ISOMITTED(_xlpm.ShowAll_0), _xlpm.ShowAll_0 &lt;&gt; 0), _xlfn.VSTACK(_xlpm.headers, _xlfn._xlws.FILTER(_xlpm.data_grid, _xlfn.CHOOSECOLS(_xlpm.data_grid, 1) &lt;&gt; 0)), _xlfn.VSTACK(_xlpm.headers, _xlpm.data_grid))))</definedName>
    <definedName name="Language">'Default Settings'!$C$13</definedName>
    <definedName name="List_Separator">'Default Settings'!$C$11</definedName>
    <definedName name="Thousands_Separator">'Default Settings'!$C$10</definedName>
    <definedName name="Use_System_Separators">'Default Settings'!$C$12</definedName>
  </definedNames>
  <calcPr calcId="191029" iterateCount="100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4" l="1" a="1"/>
  <c r="B8" i="14" s="1"/>
  <c r="B6" i="14" s="1"/>
  <c r="H11" i="14" a="1"/>
  <c r="H11" i="14" s="1"/>
  <c r="H9" i="14" a="1"/>
  <c r="H9" i="14" s="1"/>
  <c r="H8" i="14" a="1"/>
  <c r="H8" i="14" s="1"/>
  <c r="D8" i="14" a="1"/>
  <c r="I11" i="18"/>
  <c r="H11" i="18"/>
  <c r="H10" i="14" a="1"/>
  <c r="H10" i="14" l="1"/>
  <c r="D8" i="14"/>
  <c r="D6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<sst xmlns="http://schemas.openxmlformats.org/spreadsheetml/2006/main" count="181" uniqueCount="127">
  <si>
    <t>CompBot</t>
  </si>
  <si>
    <t>by Jaq Kennedy</t>
  </si>
  <si>
    <t>Robot Commands</t>
  </si>
  <si>
    <t>Lambdas Included</t>
  </si>
  <si>
    <t>Name</t>
  </si>
  <si>
    <t>Description</t>
  </si>
  <si>
    <t>Creator</t>
  </si>
  <si>
    <t>Harry Gross</t>
  </si>
  <si>
    <t>Splits out the characters in a string to an array</t>
  </si>
  <si>
    <t>Parameters</t>
  </si>
  <si>
    <t>Array friendly</t>
  </si>
  <si>
    <t>No</t>
  </si>
  <si>
    <t>"text" - string to be split</t>
  </si>
  <si>
    <t>Splits out the digits in a string to an array</t>
  </si>
  <si>
    <t>Create Blank Sheet</t>
  </si>
  <si>
    <t>Jaq Kennedy</t>
  </si>
  <si>
    <t>Creates a blank sheet named based on cell value (Sht otherwise)</t>
  </si>
  <si>
    <t>Output</t>
  </si>
  <si>
    <t>Load Lambdas</t>
  </si>
  <si>
    <t>Happy 45 ^ 2!</t>
  </si>
  <si>
    <t>Import Lambdas From</t>
  </si>
  <si>
    <t>Opens a browser to navigate to a workbook with the lambdas to load</t>
  </si>
  <si>
    <t>N/A</t>
  </si>
  <si>
    <t>"strWS" - sheet name (optional) set as value of active cell</t>
  </si>
  <si>
    <t>Setup Case</t>
  </si>
  <si>
    <t>Launch Code</t>
  </si>
  <si>
    <t>ILF</t>
  </si>
  <si>
    <t>SC</t>
  </si>
  <si>
    <t>BS</t>
  </si>
  <si>
    <t>Opens a browser to navigate to a workbook with the lambdas to load. Use this as a one-off to set up your CompBot with your own lambdas.</t>
  </si>
  <si>
    <t>Import your lambdas from your own lambda library by clicking this icon or running the "Import Lambdas From" command</t>
  </si>
  <si>
    <t>Full Lambda List</t>
  </si>
  <si>
    <t>Documented Lambdas</t>
  </si>
  <si>
    <t xml:space="preserve"> </t>
  </si>
  <si>
    <t>Inputs</t>
  </si>
  <si>
    <t>Import Lambdas</t>
  </si>
  <si>
    <t>IL</t>
  </si>
  <si>
    <t>Loads lambdas held in CompBot to the active workbook - easy load for competitions</t>
  </si>
  <si>
    <t>Backup Sheets in Workbook</t>
  </si>
  <si>
    <t>Create Level Sheets</t>
  </si>
  <si>
    <t>A</t>
  </si>
  <si>
    <t>B</t>
  </si>
  <si>
    <t>This cell</t>
  </si>
  <si>
    <t>And this cell</t>
  </si>
  <si>
    <t>Diarmuid Early</t>
  </si>
  <si>
    <t>Lianna Gerrish</t>
  </si>
  <si>
    <t>Returns the addresses of a range</t>
  </si>
  <si>
    <t>Input Range</t>
  </si>
  <si>
    <t>Yes</t>
  </si>
  <si>
    <t>Converts a grid to a single column with row number, column number, and address of each cell</t>
  </si>
  <si>
    <t>Create Case Input Sheet</t>
  </si>
  <si>
    <t>CIS</t>
  </si>
  <si>
    <t>CL
CLS</t>
  </si>
  <si>
    <t>Default Settings</t>
  </si>
  <si>
    <t>Sets Default Settings as per the "Default Settings" sheet. 
Use this to reset Excel settings to your preferences. Base version is set up as per US English.</t>
  </si>
  <si>
    <t>As per "Default Settings" sheet</t>
  </si>
  <si>
    <t>DS</t>
  </si>
  <si>
    <t>Default Settings Header</t>
  </si>
  <si>
    <t>Decimal Separator</t>
  </si>
  <si>
    <t>Thousands Separator</t>
  </si>
  <si>
    <t>Use System Separators</t>
  </si>
  <si>
    <t>List Separator</t>
  </si>
  <si>
    <t>.</t>
  </si>
  <si>
    <t>,</t>
  </si>
  <si>
    <t>To update settings run command "Default Settings". Note this will not change Windows level settings, only Excel</t>
  </si>
  <si>
    <t>;</t>
  </si>
  <si>
    <t>Language</t>
  </si>
  <si>
    <t>English</t>
  </si>
  <si>
    <t>Afrikaans</t>
  </si>
  <si>
    <t>Example</t>
  </si>
  <si>
    <t>Does not update anything - for notification message only</t>
  </si>
  <si>
    <t>English (UK/US)</t>
  </si>
  <si>
    <t>Limited collection included with CompBot for demonstration. To add lambdas, view the Load Lambdas sheet or run "Import Lambdas From" Command</t>
  </si>
  <si>
    <t>Current list of CompBot Commands</t>
  </si>
  <si>
    <t>Create Data Table</t>
  </si>
  <si>
    <t>"strQ" - example number (optional) set as value of active cell if in format "Example*"</t>
  </si>
  <si>
    <t>DT
CDT</t>
  </si>
  <si>
    <t>Outputs populated columns B:D &amp; G:EE from "Case" sheet where B:B is numeric (i.e. for level rows)</t>
  </si>
  <si>
    <t>Lianna Gerrish / Helen Dupree</t>
  </si>
  <si>
    <t>Actual Lambdas List (UDF)</t>
  </si>
  <si>
    <t>Lambdas Listed in Info &amp; Examples</t>
  </si>
  <si>
    <t>Requires 'Case' sheet</t>
  </si>
  <si>
    <t>Notes</t>
  </si>
  <si>
    <t>NA</t>
  </si>
  <si>
    <t>Renames used range in sheets starting with text in active cell. Uses SanitizeRangeName function from "MEWC Robot" by Erik Oehm</t>
  </si>
  <si>
    <t>Name All Used Ranges</t>
  </si>
  <si>
    <t>NURS</t>
  </si>
  <si>
    <t>Renames used range in all sheets. Uses SanitizeRangeName function from "MEWC Robot" by Erik Oehm</t>
  </si>
  <si>
    <t>Go To Similar Background Color</t>
  </si>
  <si>
    <t>Erik Oehm</t>
  </si>
  <si>
    <t>Select cells in selection with same background color as active cell</t>
  </si>
  <si>
    <t>SBC</t>
  </si>
  <si>
    <t>Save Answers to Left</t>
  </si>
  <si>
    <t>SAL</t>
  </si>
  <si>
    <t>Active cell contains answers to copy</t>
  </si>
  <si>
    <t>Saves references to the selected cells in the green answer cells to the left on the same row. 
Then copies either answers or the formula below for paste into solution.</t>
  </si>
  <si>
    <t>Toggle Calc Mode</t>
  </si>
  <si>
    <t>TC</t>
  </si>
  <si>
    <t>IC</t>
  </si>
  <si>
    <t>Toggles calculation mode between manual and automatic. Status is set in StatusBar to not cause an interruption.</t>
  </si>
  <si>
    <t>Ensures Calc Mode is Automatic and then turns on iterative calculations.
Status is set in StatusBar to not cause an interruption.</t>
  </si>
  <si>
    <t>Toggle Iterative Calcs</t>
  </si>
  <si>
    <t>Creates a data table on the current sheet for level sheets "L#" or active cell = "Example#"
Turns on iterative calculations.</t>
  </si>
  <si>
    <t>Create Bonus Sheet</t>
  </si>
  <si>
    <t>CB
CBS</t>
  </si>
  <si>
    <t>BU</t>
  </si>
  <si>
    <t>Save Copy of File</t>
  </si>
  <si>
    <t>"strShtSuff" - suffix of file name (optional) set as value of active cell</t>
  </si>
  <si>
    <t>SA</t>
  </si>
  <si>
    <t>Name Used Ranges by Sheet Prefix</t>
  </si>
  <si>
    <t>"strShtPref" - Prefix of sheet name to process</t>
  </si>
  <si>
    <t>Saves a copy of the file in the current location with the suffix "_Working" (for empty cell) or "_[[ActiveCell]]"</t>
  </si>
  <si>
    <t>refresh this UDF to see current list</t>
  </si>
  <si>
    <t>List of lambdas included with Comp Bot</t>
  </si>
  <si>
    <t>EXTRACTCHAR_byHarryGross</t>
  </si>
  <si>
    <t>ADDRESSES_byDiarmuidEarly</t>
  </si>
  <si>
    <t>CaseInputs</t>
  </si>
  <si>
    <t>EXTRACTNUMBERS_byHarryGross</t>
  </si>
  <si>
    <t>GRIDTOCOL_byLiannaGerrish</t>
  </si>
  <si>
    <t>Clear Lambdas</t>
  </si>
  <si>
    <t>Cleans workbook lambdas for upload to GitHub</t>
  </si>
  <si>
    <t>CL</t>
  </si>
  <si>
    <t>Sets up a case file by running the following VBA / commands together:
* Backup Sheets
* Create Level Sheets
* Create Bonus Sheet
* Create Case Input Sheet</t>
  </si>
  <si>
    <t>INCLUDED IN "SETUP CASE"
Backs up all sheets in the active workbook</t>
  </si>
  <si>
    <t xml:space="preserve">INCLUDED IN "SETUP CASE"
Creates a sheet for bonus questions in the Case sheet. </t>
  </si>
  <si>
    <t>INCLUDED IN "SETUP CASE"
Creates a sheet for each level in the Case sheet. 
By default this excludes data tables. To add a data table run Create Data Table command below when in a "L#" sheet or when on an "Example#" cell.</t>
  </si>
  <si>
    <t>INCLUDED IN "SETUP CASE"
Creates a case inputs sheet with the inputs for the current case.
By default this loads all columns from column B onwards into an array (excl E:F). 
If run on a cell with non-blank value, this will find headers and return only those that are not standard columns for Points, Answers, etc. Question number will still be included.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</si>
</sst>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7" x14ac:knownFonts="1">
    <font>
      <sz val="16"/>
      <color theme="1"/>
      <name val="Verdana"/>
      <family val="2"/>
    </font>
    <font>
      <b/>
      <sz val="15"/>
      <color theme="3"/>
      <name val="Verdana"/>
      <family val="2"/>
    </font>
    <font>
      <b/>
      <sz val="13"/>
      <color theme="3"/>
      <name val="Verdana"/>
      <family val="2"/>
    </font>
    <font>
      <i/>
      <sz val="16"/>
      <color rgb="FF7F7F7F"/>
      <name val="Verdana"/>
      <family val="2"/>
    </font>
    <font>
      <sz val="16"/>
      <color theme="1"/>
      <name val="Verdana"/>
      <family val="2"/>
    </font>
    <font>
      <sz val="16"/>
      <color rgb="FF0000FF"/>
      <name val="Verdana"/>
      <family val="2"/>
    </font>
    <font>
      <sz val="20"/>
      <color theme="1"/>
      <name val="Aptos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 style="thin">
        <color indexed="64"/>
      </top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0" applyNumberFormat="0" applyFill="0" applyBorder="0" applyAlignment="0" applyProtection="0"/>
    <xf numFmtId="43" fontId="4" fillId="0" borderId="0" applyFont="0" applyFill="0" applyBorder="0" applyAlignment="0" applyProtection="0"/>
    <xf numFmtId="0" fontId="6" fillId="0" borderId="0"/>
  </cellStyleXfs>
  <cellXfs count="21">
    <xf numFmtId="0" fontId="0" fillId="0" borderId="0" xfId="0"/>
    <xf numFmtId="0" fontId="1" fillId="0" borderId="1" xfId="1" applyAlignment="1">
      <alignment horizontal="centerContinuous"/>
    </xf>
    <xf numFmtId="0" fontId="3" fillId="0" borderId="0" xfId="3" applyAlignment="1">
      <alignment horizontal="centerContinuous"/>
    </xf>
    <xf numFmtId="0" fontId="2" fillId="0" borderId="2" xfId="2" applyAlignment="1">
      <alignment horizontal="centerContinuous"/>
    </xf>
    <xf numFmtId="0" fontId="0" fillId="0" borderId="0" xfId="0" quotePrefix="1"/>
    <xf numFmtId="0" fontId="0" fillId="0" borderId="0" xfId="0" applyAlignment="1">
      <alignment wrapText="1"/>
    </xf>
    <xf numFmtId="0" fontId="2" fillId="0" borderId="3" xfId="2" applyBorder="1" applyAlignment="1">
      <alignment horizontal="centerContinuous"/>
    </xf>
    <xf numFmtId="0" fontId="0" fillId="2" borderId="0" xfId="0" applyFill="1"/>
    <xf numFmtId="0" fontId="2" fillId="2" borderId="3" xfId="2" applyFill="1" applyBorder="1" applyAlignment="1">
      <alignment horizontal="centerContinuous"/>
    </xf>
    <xf numFmtId="0" fontId="1" fillId="0" borderId="1" xfId="1" applyAlignment="1">
      <alignment horizontal="centerContinuous" vertical="top"/>
    </xf>
    <xf numFmtId="0" fontId="3" fillId="0" borderId="0" xfId="3" applyAlignment="1">
      <alignment horizontal="centerContinuous" vertical="top"/>
    </xf>
    <xf numFmtId="0" fontId="2" fillId="0" borderId="2" xfId="2" applyAlignment="1">
      <alignment horizontal="centerContinuous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0" fillId="0" borderId="4" xfId="0" applyBorder="1"/>
    <xf numFmtId="0" fontId="5" fillId="3" borderId="4" xfId="0" applyFont="1" applyFill="1" applyBorder="1"/>
    <xf numFmtId="43" fontId="0" fillId="0" borderId="0" xfId="4" applyFont="1"/>
    <xf numFmtId="0" fontId="3" fillId="0" borderId="0" xfId="3"/>
    <xf numFmtId="0" fontId="0" fillId="4" borderId="0" xfId="0" applyFill="1" applyAlignment="1">
      <alignment vertical="top" wrapText="1"/>
    </xf>
    <xf numFmtId="0" fontId="0" fillId="4" borderId="0" xfId="0" applyFill="1" applyAlignment="1">
      <alignment vertical="top"/>
    </xf>
  </cellXfs>
  <cellStyles count="6">
    <cellStyle name="Comma" xfId="4" builtinId="3"/>
    <cellStyle name="Explanatory Text" xfId="3" builtinId="53"/>
    <cellStyle name="Heading 1" xfId="1" builtinId="16"/>
    <cellStyle name="Heading 2" xfId="2" builtinId="17"/>
    <cellStyle name="Normal" xfId="0" builtinId="0"/>
    <cellStyle name="Normal 2" xfId="5" xr:uid="{53B8B56D-3D7E-4F7E-B529-7864F5AB8F8C}"/>
  </cellStyles>
  <dxfs count="15">
    <dxf>
      <alignment horizontal="general" vertical="bottom" textRotation="0" wrapText="1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</dxfs>
  <tableStyles count="1" defaultTableStyle="TableStyleMedium1" defaultPivotStyle="PivotStyleLight16">
    <tableStyle name="Invisible" pivot="0" table="0" count="0" xr9:uid="{07CA7B3B-BEF1-4752-9AB6-251FF4D39D2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1590675</xdr:colOff>
      <xdr:row>5</xdr:row>
      <xdr:rowOff>152400</xdr:rowOff>
    </xdr:from>
    <xdr:to>
      <xdr:col>3</xdr:col>
      <xdr:colOff>2505075</xdr:colOff>
      <xdr:row>9</xdr:row>
      <xdr:rowOff>66675</xdr:rowOff>
    </xdr:to>
    <xdr:pic macro="[0]!ImportLambdasFrom">
      <xdr:nvPicPr>
        <xdr:cNvPr id="3" name="Graphic 2" descr="Folder Search with solid fill">
          <a:extLst>
            <a:ext uri="{FF2B5EF4-FFF2-40B4-BE49-F238E27FC236}">
              <a16:creationId xmlns:a16="http://schemas.microsoft.com/office/drawing/2014/main" id="{A149C987-E87F-44C3-EFAB-13184C5E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9825" y="1409700"/>
          <a:ext cx="914400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58CB64-4555-4E76-9388-CC0298969050}" name="Lambdas" displayName="Lambdas" ref="B8:F13" totalsRowShown="0" headerRowDxfId="14" dataDxfId="13">
  <autoFilter ref="B8:F13" xr:uid="{A558CB64-4555-4E76-9388-CC0298969050}"/>
  <tableColumns count="5">
    <tableColumn id="1" xr3:uid="{C7B661F8-E847-4A13-A5CD-4111AD54A043}" name="Name" dataDxfId="12"/>
    <tableColumn id="2" xr3:uid="{402102D7-5F04-4A93-A427-CDD8E9743522}" name="Creator" dataDxfId="11"/>
    <tableColumn id="3" xr3:uid="{29C5C72F-191A-47D7-A0A3-65C070A08FBB}" name="Description" dataDxfId="10"/>
    <tableColumn id="4" xr3:uid="{2F739A7B-0273-48EB-80E8-8D0D97BADC77}" name="Parameters" dataDxfId="9"/>
    <tableColumn id="5" xr3:uid="{AA688AE3-B095-461C-B6E9-13454B67819F}" name="Array friendly" dataDxfId="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94C780-BB06-4D44-A3B5-11A203AC5962}" name="Commands" displayName="Commands" ref="B18:F36" totalsRowShown="0" headerRowDxfId="7" dataDxfId="6">
  <autoFilter ref="B18:F36" xr:uid="{0094C780-BB06-4D44-A3B5-11A203AC5962}"/>
  <tableColumns count="5">
    <tableColumn id="1" xr3:uid="{6F4CB378-6BAF-4C19-8A27-E1C1DC6AFCB0}" name="Name" dataDxfId="5"/>
    <tableColumn id="2" xr3:uid="{5FB82E0E-FCD5-4A7A-8AD6-0197F6DF1149}" name="Creator" dataDxfId="4"/>
    <tableColumn id="3" xr3:uid="{28052F2F-3135-44DD-925E-D44AE17C7C4D}" name="Description" dataDxfId="3"/>
    <tableColumn id="4" xr3:uid="{D4994645-C744-46E1-A079-BCBED0F01EE5}" name="Parameters" dataDxfId="2"/>
    <tableColumn id="5" xr3:uid="{F356169D-8703-4719-A306-F7AF3B56832B}" name="Launch Code" dataDxfId="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2841AF-C078-46E5-98E5-0DBC8B538EEB}" name="ImportLambdaCommand" displayName="ImportLambdaCommand" ref="B13:E14" totalsRowShown="0">
  <autoFilter ref="B13:E14" xr:uid="{062841AF-C078-46E5-98E5-0DBC8B538EEB}"/>
  <tableColumns count="4">
    <tableColumn id="1" xr3:uid="{B7A8EBE5-4AA7-4017-9E01-3C21991FBCE0}" name="Name"/>
    <tableColumn id="2" xr3:uid="{1D3AFEAB-85C7-4BA0-A61C-6A270805FD0C}" name="Creator"/>
    <tableColumn id="3" xr3:uid="{EE4BFA1A-37AC-43B0-A9CE-62FBC1007399}" name="Description" dataDxfId="0"/>
    <tableColumn id="4" xr3:uid="{8D1BA30C-9144-4469-AEE1-00A653AFC79F}" name="Parameter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71" row="1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2C48E40-3AEE-49B9-942C-1F6046BC2B9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DB75D044-D14C-46B9-B18F-FB21AE37D1B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C283-8BFF-48F4-994B-00D1D8B34BBC}">
  <sheetPr codeName="Sheet1"/>
  <dimension ref="B2:J36"/>
  <sheetViews>
    <sheetView showGridLines="0" tabSelected="1" zoomScale="55" zoomScaleNormal="55" workbookViewId="0">
      <pane xSplit="3" ySplit="18" topLeftCell="D19" activePane="bottomRight" state="frozen"/>
      <selection pane="topRight" activeCell="D1" sqref="D1"/>
      <selection pane="bottomLeft" activeCell="A19" sqref="A19"/>
      <selection pane="bottomRight" activeCell="E23" sqref="E23"/>
    </sheetView>
  </sheetViews>
  <sheetFormatPr defaultRowHeight="19.5" x14ac:dyDescent="0.25"/>
  <cols>
    <col min="1" max="1" width="2.15234375" customWidth="1"/>
    <col min="2" max="2" width="30.53515625" style="12" bestFit="1" customWidth="1"/>
    <col min="3" max="3" width="17.84375" style="12" customWidth="1"/>
    <col min="4" max="4" width="55.3828125" style="12" bestFit="1" customWidth="1"/>
    <col min="5" max="5" width="30.921875" style="12" customWidth="1"/>
    <col min="6" max="6" width="15" style="12" bestFit="1" customWidth="1"/>
    <col min="7" max="10" width="1.765625" customWidth="1"/>
  </cols>
  <sheetData>
    <row r="2" spans="2:10" ht="21" thickBot="1" x14ac:dyDescent="0.35">
      <c r="B2" s="9" t="s">
        <v>0</v>
      </c>
      <c r="C2" s="9"/>
      <c r="D2" s="9"/>
      <c r="E2" s="9"/>
      <c r="F2" s="9"/>
      <c r="G2" s="1"/>
      <c r="H2" s="1"/>
      <c r="I2" s="1"/>
      <c r="J2" s="1"/>
    </row>
    <row r="3" spans="2:10" ht="20.25" thickTop="1" x14ac:dyDescent="0.25">
      <c r="B3" s="10" t="s">
        <v>1</v>
      </c>
      <c r="C3" s="10"/>
      <c r="D3" s="10"/>
      <c r="E3" s="10"/>
      <c r="F3" s="10"/>
      <c r="G3" s="2"/>
      <c r="H3" s="2"/>
      <c r="I3" s="2"/>
      <c r="J3" s="2"/>
    </row>
    <row r="5" spans="2:10" ht="20.25" thickBot="1" x14ac:dyDescent="0.3">
      <c r="B5" s="11" t="s">
        <v>3</v>
      </c>
      <c r="C5" s="11"/>
      <c r="D5" s="11"/>
      <c r="E5" s="11"/>
      <c r="F5" s="11"/>
      <c r="G5" s="3"/>
      <c r="H5" s="3"/>
      <c r="I5" s="3"/>
      <c r="J5" s="3"/>
    </row>
    <row r="6" spans="2:10" ht="20.25" thickTop="1" x14ac:dyDescent="0.25">
      <c r="B6" s="10" t="s">
        <v>72</v>
      </c>
      <c r="C6" s="10"/>
      <c r="D6" s="10"/>
      <c r="E6" s="10"/>
      <c r="F6" s="10"/>
      <c r="G6" s="2"/>
      <c r="H6" s="2"/>
      <c r="I6" s="2"/>
      <c r="J6" s="2"/>
    </row>
    <row r="8" spans="2:10" x14ac:dyDescent="0.25">
      <c r="B8" s="12" t="s">
        <v>4</v>
      </c>
      <c r="C8" s="12" t="s">
        <v>6</v>
      </c>
      <c r="D8" s="12" t="s">
        <v>5</v>
      </c>
      <c r="E8" s="12" t="s">
        <v>9</v>
      </c>
      <c r="F8" s="12" t="s">
        <v>10</v>
      </c>
    </row>
    <row r="9" spans="2:10" x14ac:dyDescent="0.25">
      <c r="B9" s="12" t="s">
        <v>114</v>
      </c>
      <c r="C9" s="12" t="s">
        <v>7</v>
      </c>
      <c r="D9" s="12" t="s">
        <v>8</v>
      </c>
      <c r="E9" s="12" t="s">
        <v>12</v>
      </c>
      <c r="F9" s="12" t="s">
        <v>11</v>
      </c>
    </row>
    <row r="10" spans="2:10" x14ac:dyDescent="0.25">
      <c r="B10" s="12" t="s">
        <v>117</v>
      </c>
      <c r="C10" s="12" t="s">
        <v>7</v>
      </c>
      <c r="D10" s="12" t="s">
        <v>13</v>
      </c>
      <c r="E10" s="12" t="s">
        <v>12</v>
      </c>
      <c r="F10" s="12" t="s">
        <v>11</v>
      </c>
    </row>
    <row r="11" spans="2:10" x14ac:dyDescent="0.25">
      <c r="B11" s="12" t="s">
        <v>115</v>
      </c>
      <c r="C11" s="12" t="s">
        <v>44</v>
      </c>
      <c r="D11" s="12" t="s">
        <v>46</v>
      </c>
      <c r="E11" s="12" t="s">
        <v>47</v>
      </c>
      <c r="F11" s="12" t="s">
        <v>48</v>
      </c>
    </row>
    <row r="12" spans="2:10" ht="39" x14ac:dyDescent="0.25">
      <c r="B12" s="12" t="s">
        <v>118</v>
      </c>
      <c r="C12" s="12" t="s">
        <v>45</v>
      </c>
      <c r="D12" s="13" t="s">
        <v>49</v>
      </c>
      <c r="E12" s="12" t="s">
        <v>47</v>
      </c>
      <c r="F12" s="12" t="s">
        <v>48</v>
      </c>
    </row>
    <row r="13" spans="2:10" ht="39" x14ac:dyDescent="0.25">
      <c r="B13" s="12" t="s">
        <v>116</v>
      </c>
      <c r="C13" s="13" t="s">
        <v>78</v>
      </c>
      <c r="D13" s="13" t="s">
        <v>77</v>
      </c>
      <c r="E13" s="12" t="s">
        <v>22</v>
      </c>
      <c r="F13" s="12" t="s">
        <v>48</v>
      </c>
    </row>
    <row r="15" spans="2:10" ht="20.25" thickBot="1" x14ac:dyDescent="0.3">
      <c r="B15" s="11" t="s">
        <v>2</v>
      </c>
      <c r="C15" s="11"/>
      <c r="D15" s="11"/>
      <c r="E15" s="11"/>
      <c r="F15" s="11"/>
      <c r="G15" s="3"/>
      <c r="H15" s="3"/>
      <c r="I15" s="3"/>
      <c r="J15" s="3"/>
    </row>
    <row r="16" spans="2:10" ht="20.25" thickTop="1" x14ac:dyDescent="0.25">
      <c r="B16" s="10" t="s">
        <v>73</v>
      </c>
      <c r="C16" s="10"/>
      <c r="D16" s="10"/>
      <c r="E16" s="10"/>
      <c r="F16" s="10"/>
      <c r="G16" s="2"/>
      <c r="H16" s="2"/>
      <c r="I16" s="2"/>
      <c r="J16" s="2"/>
    </row>
    <row r="18" spans="2:6" x14ac:dyDescent="0.25">
      <c r="B18" s="12" t="s">
        <v>4</v>
      </c>
      <c r="C18" s="12" t="s">
        <v>6</v>
      </c>
      <c r="D18" s="12" t="s">
        <v>5</v>
      </c>
      <c r="E18" s="12" t="s">
        <v>9</v>
      </c>
      <c r="F18" s="12" t="s">
        <v>25</v>
      </c>
    </row>
    <row r="19" spans="2:6" ht="39" x14ac:dyDescent="0.25">
      <c r="B19" s="13" t="s">
        <v>14</v>
      </c>
      <c r="C19" s="12" t="s">
        <v>15</v>
      </c>
      <c r="D19" s="13" t="s">
        <v>16</v>
      </c>
      <c r="E19" s="13" t="s">
        <v>23</v>
      </c>
      <c r="F19" s="12" t="s">
        <v>28</v>
      </c>
    </row>
    <row r="20" spans="2:6" ht="58.5" x14ac:dyDescent="0.25">
      <c r="B20" s="13" t="s">
        <v>53</v>
      </c>
      <c r="C20" s="12" t="s">
        <v>15</v>
      </c>
      <c r="D20" s="13" t="s">
        <v>54</v>
      </c>
      <c r="E20" s="13" t="s">
        <v>55</v>
      </c>
      <c r="F20" s="12" t="s">
        <v>56</v>
      </c>
    </row>
    <row r="21" spans="2:6" ht="39" x14ac:dyDescent="0.25">
      <c r="B21" s="13" t="s">
        <v>106</v>
      </c>
      <c r="C21" s="12" t="s">
        <v>15</v>
      </c>
      <c r="D21" s="13" t="s">
        <v>111</v>
      </c>
      <c r="E21" s="13" t="s">
        <v>107</v>
      </c>
      <c r="F21" s="12" t="s">
        <v>108</v>
      </c>
    </row>
    <row r="22" spans="2:6" ht="58.5" x14ac:dyDescent="0.25">
      <c r="B22" s="13" t="s">
        <v>109</v>
      </c>
      <c r="C22" s="12" t="s">
        <v>15</v>
      </c>
      <c r="D22" s="13" t="s">
        <v>84</v>
      </c>
      <c r="E22" s="13" t="s">
        <v>110</v>
      </c>
      <c r="F22" s="12" t="s">
        <v>86</v>
      </c>
    </row>
    <row r="23" spans="2:6" ht="39" x14ac:dyDescent="0.25">
      <c r="B23" s="13" t="s">
        <v>85</v>
      </c>
      <c r="C23" s="12" t="s">
        <v>15</v>
      </c>
      <c r="D23" s="13" t="s">
        <v>87</v>
      </c>
      <c r="E23" s="13" t="s">
        <v>22</v>
      </c>
      <c r="F23" s="12" t="s">
        <v>83</v>
      </c>
    </row>
    <row r="24" spans="2:6" ht="58.5" x14ac:dyDescent="0.25">
      <c r="B24" s="13" t="s">
        <v>20</v>
      </c>
      <c r="C24" s="12" t="s">
        <v>15</v>
      </c>
      <c r="D24" s="13" t="s">
        <v>29</v>
      </c>
      <c r="E24" s="13" t="s">
        <v>22</v>
      </c>
      <c r="F24" s="12" t="s">
        <v>26</v>
      </c>
    </row>
    <row r="25" spans="2:6" ht="39" x14ac:dyDescent="0.25">
      <c r="B25" s="13" t="s">
        <v>35</v>
      </c>
      <c r="C25" s="12" t="s">
        <v>15</v>
      </c>
      <c r="D25" s="13" t="s">
        <v>37</v>
      </c>
      <c r="E25" s="13" t="s">
        <v>22</v>
      </c>
      <c r="F25" s="12" t="s">
        <v>36</v>
      </c>
    </row>
    <row r="26" spans="2:6" x14ac:dyDescent="0.25">
      <c r="B26" s="13" t="s">
        <v>119</v>
      </c>
      <c r="C26" s="12" t="s">
        <v>15</v>
      </c>
      <c r="D26" s="13" t="s">
        <v>120</v>
      </c>
      <c r="E26" s="13" t="s">
        <v>22</v>
      </c>
      <c r="F26" s="13" t="s">
        <v>121</v>
      </c>
    </row>
    <row r="27" spans="2:6" ht="117" x14ac:dyDescent="0.25">
      <c r="B27" s="13" t="s">
        <v>24</v>
      </c>
      <c r="C27" s="12" t="s">
        <v>15</v>
      </c>
      <c r="D27" s="13" t="s">
        <v>122</v>
      </c>
      <c r="E27" s="13" t="s">
        <v>22</v>
      </c>
      <c r="F27" s="12" t="s">
        <v>27</v>
      </c>
    </row>
    <row r="28" spans="2:6" ht="52.5" customHeight="1" x14ac:dyDescent="0.25">
      <c r="B28" s="19" t="s">
        <v>38</v>
      </c>
      <c r="C28" s="20" t="s">
        <v>15</v>
      </c>
      <c r="D28" s="19" t="s">
        <v>123</v>
      </c>
      <c r="E28" s="19" t="s">
        <v>22</v>
      </c>
      <c r="F28" s="20" t="s">
        <v>105</v>
      </c>
    </row>
    <row r="29" spans="2:6" ht="52.5" customHeight="1" x14ac:dyDescent="0.25">
      <c r="B29" s="19" t="s">
        <v>103</v>
      </c>
      <c r="C29" s="20" t="s">
        <v>15</v>
      </c>
      <c r="D29" s="19" t="s">
        <v>124</v>
      </c>
      <c r="E29" s="19" t="s">
        <v>22</v>
      </c>
      <c r="F29" s="19" t="s">
        <v>104</v>
      </c>
    </row>
    <row r="30" spans="2:6" ht="97.5" x14ac:dyDescent="0.25">
      <c r="B30" s="19" t="s">
        <v>39</v>
      </c>
      <c r="C30" s="20" t="s">
        <v>15</v>
      </c>
      <c r="D30" s="19" t="s">
        <v>125</v>
      </c>
      <c r="E30" s="19" t="s">
        <v>22</v>
      </c>
      <c r="F30" s="19" t="s">
        <v>52</v>
      </c>
    </row>
    <row r="31" spans="2:6" ht="136.5" x14ac:dyDescent="0.25">
      <c r="B31" s="19" t="s">
        <v>50</v>
      </c>
      <c r="C31" s="20" t="s">
        <v>15</v>
      </c>
      <c r="D31" s="19" t="s">
        <v>126</v>
      </c>
      <c r="E31" s="19" t="s">
        <v>22</v>
      </c>
      <c r="F31" s="20" t="s">
        <v>51</v>
      </c>
    </row>
    <row r="32" spans="2:6" ht="58.5" x14ac:dyDescent="0.25">
      <c r="B32" s="13" t="s">
        <v>74</v>
      </c>
      <c r="C32" s="12" t="s">
        <v>15</v>
      </c>
      <c r="D32" s="13" t="s">
        <v>102</v>
      </c>
      <c r="E32" s="13" t="s">
        <v>75</v>
      </c>
      <c r="F32" s="13" t="s">
        <v>76</v>
      </c>
    </row>
    <row r="33" spans="2:6" ht="39" x14ac:dyDescent="0.25">
      <c r="B33" s="13" t="s">
        <v>88</v>
      </c>
      <c r="C33" s="12" t="s">
        <v>89</v>
      </c>
      <c r="D33" s="13" t="s">
        <v>90</v>
      </c>
      <c r="E33" s="13" t="s">
        <v>22</v>
      </c>
      <c r="F33" s="12" t="s">
        <v>91</v>
      </c>
    </row>
    <row r="34" spans="2:6" ht="78" x14ac:dyDescent="0.25">
      <c r="B34" s="13" t="s">
        <v>92</v>
      </c>
      <c r="C34" s="12" t="s">
        <v>89</v>
      </c>
      <c r="D34" s="13" t="s">
        <v>95</v>
      </c>
      <c r="E34" s="13" t="s">
        <v>94</v>
      </c>
      <c r="F34" s="12" t="s">
        <v>93</v>
      </c>
    </row>
    <row r="35" spans="2:6" ht="39" x14ac:dyDescent="0.25">
      <c r="B35" s="13" t="s">
        <v>96</v>
      </c>
      <c r="C35" s="12" t="s">
        <v>15</v>
      </c>
      <c r="D35" s="13" t="s">
        <v>99</v>
      </c>
      <c r="E35" s="13"/>
      <c r="F35" s="12" t="s">
        <v>97</v>
      </c>
    </row>
    <row r="36" spans="2:6" ht="58.5" x14ac:dyDescent="0.25">
      <c r="B36" s="13" t="s">
        <v>101</v>
      </c>
      <c r="C36" s="12" t="s">
        <v>15</v>
      </c>
      <c r="D36" s="13" t="s">
        <v>100</v>
      </c>
      <c r="E36" s="13"/>
      <c r="F36" s="12" t="s">
        <v>98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D3A34-71C7-4DC2-9014-0F23075467A6}">
  <sheetPr codeName="Sheet3"/>
  <dimension ref="B5:M13"/>
  <sheetViews>
    <sheetView showGridLines="0" workbookViewId="0">
      <pane ySplit="5" topLeftCell="A6" activePane="bottomLeft" state="frozenSplit"/>
      <selection pane="bottomLeft" activeCell="A6" sqref="A6"/>
    </sheetView>
  </sheetViews>
  <sheetFormatPr defaultRowHeight="19.5" x14ac:dyDescent="0.25"/>
  <cols>
    <col min="1" max="1" width="1.69140625" customWidth="1"/>
    <col min="2" max="2" width="20" bestFit="1" customWidth="1"/>
    <col min="3" max="3" width="11.15234375" bestFit="1" customWidth="1"/>
    <col min="4" max="4" width="3.07421875" customWidth="1"/>
    <col min="5" max="5" width="14.07421875" bestFit="1" customWidth="1"/>
    <col min="6" max="6" width="11.15234375" bestFit="1" customWidth="1"/>
    <col min="7" max="7" width="1.4609375" customWidth="1"/>
    <col min="8" max="8" width="10" customWidth="1"/>
    <col min="9" max="9" width="10.3828125" bestFit="1" customWidth="1"/>
    <col min="10" max="10" width="18.4609375" bestFit="1" customWidth="1"/>
  </cols>
  <sheetData>
    <row r="5" spans="2:13" ht="21" thickBot="1" x14ac:dyDescent="0.35">
      <c r="B5" s="1" t="s">
        <v>57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2:13" ht="20.25" thickTop="1" x14ac:dyDescent="0.25">
      <c r="B6" s="2" t="s">
        <v>64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8" spans="2:13" x14ac:dyDescent="0.25">
      <c r="E8" t="s">
        <v>71</v>
      </c>
      <c r="F8" t="s">
        <v>68</v>
      </c>
      <c r="H8" t="s">
        <v>69</v>
      </c>
    </row>
    <row r="9" spans="2:13" x14ac:dyDescent="0.25">
      <c r="B9" s="14" t="s">
        <v>58</v>
      </c>
      <c r="C9" s="16" t="s">
        <v>62</v>
      </c>
      <c r="E9" s="15" t="s">
        <v>62</v>
      </c>
      <c r="F9" s="15" t="s">
        <v>63</v>
      </c>
      <c r="H9" s="17">
        <v>1000.23</v>
      </c>
    </row>
    <row r="10" spans="2:13" x14ac:dyDescent="0.25">
      <c r="B10" s="14" t="s">
        <v>59</v>
      </c>
      <c r="C10" s="16" t="s">
        <v>63</v>
      </c>
      <c r="E10" s="15" t="s">
        <v>63</v>
      </c>
      <c r="F10" s="15" t="s">
        <v>33</v>
      </c>
      <c r="H10" s="17">
        <v>1000.23</v>
      </c>
    </row>
    <row r="11" spans="2:13" x14ac:dyDescent="0.25">
      <c r="B11" s="14" t="s">
        <v>61</v>
      </c>
      <c r="C11" s="16" t="s">
        <v>63</v>
      </c>
      <c r="E11" s="15" t="s">
        <v>63</v>
      </c>
      <c r="F11" s="15" t="s">
        <v>65</v>
      </c>
      <c r="H11" t="str">
        <f>_xlfn.CONCAT(D9,E9,F9)</f>
        <v>.,</v>
      </c>
      <c r="I11" t="str">
        <f ca="1">_xlfn.FORMULATEXT(H11)</f>
        <v>=CONCAT(D9,E9,F9)</v>
      </c>
    </row>
    <row r="12" spans="2:13" x14ac:dyDescent="0.25">
      <c r="B12" s="14" t="s">
        <v>60</v>
      </c>
      <c r="C12" s="16" t="b">
        <v>1</v>
      </c>
      <c r="E12" s="15" t="b">
        <v>1</v>
      </c>
      <c r="F12" s="15" t="b">
        <v>0</v>
      </c>
    </row>
    <row r="13" spans="2:13" x14ac:dyDescent="0.25">
      <c r="B13" s="14" t="s">
        <v>66</v>
      </c>
      <c r="C13" s="16" t="s">
        <v>67</v>
      </c>
      <c r="E13" s="15" t="s">
        <v>67</v>
      </c>
      <c r="F13" s="15" t="s">
        <v>68</v>
      </c>
      <c r="H13" s="18" t="s">
        <v>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80AA-F0A0-44D2-8330-FA1FAA37C5BD}">
  <sheetPr codeName="Sheet14"/>
  <dimension ref="B4:V13"/>
  <sheetViews>
    <sheetView showGridLines="0" zoomScale="85" zoomScaleNormal="85" workbookViewId="0">
      <pane ySplit="5" topLeftCell="A6" activePane="bottomLeft" state="frozenSplit"/>
      <selection pane="bottomLeft" activeCell="A6" sqref="A6"/>
    </sheetView>
  </sheetViews>
  <sheetFormatPr defaultRowHeight="19.5" x14ac:dyDescent="0.25"/>
  <cols>
    <col min="1" max="1" width="1.69140625" customWidth="1"/>
    <col min="2" max="2" width="28.765625" bestFit="1" customWidth="1"/>
    <col min="3" max="3" width="2.4609375" customWidth="1"/>
    <col min="4" max="4" width="17.53515625" bestFit="1" customWidth="1"/>
    <col min="5" max="6" width="12.69140625" bestFit="1" customWidth="1"/>
    <col min="7" max="7" width="18.61328125" bestFit="1" customWidth="1"/>
    <col min="8" max="8" width="19.15234375" bestFit="1" customWidth="1"/>
    <col min="9" max="9" width="8.07421875" bestFit="1" customWidth="1"/>
    <col min="10" max="10" width="8.921875" bestFit="1" customWidth="1"/>
    <col min="11" max="11" width="7.3046875" bestFit="1" customWidth="1"/>
    <col min="12" max="20" width="1.765625" bestFit="1" customWidth="1"/>
    <col min="21" max="21" width="1.765625" customWidth="1"/>
    <col min="22" max="22" width="0.84375" customWidth="1"/>
  </cols>
  <sheetData>
    <row r="4" spans="2:22" x14ac:dyDescent="0.25">
      <c r="B4" s="18" t="s">
        <v>112</v>
      </c>
      <c r="D4" s="18" t="s">
        <v>113</v>
      </c>
    </row>
    <row r="5" spans="2:22" ht="21" thickBot="1" x14ac:dyDescent="0.35">
      <c r="B5" s="1" t="s">
        <v>79</v>
      </c>
      <c r="C5" s="1"/>
      <c r="D5" s="1" t="s">
        <v>80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2:22" ht="20.25" thickTop="1" x14ac:dyDescent="0.25">
      <c r="B6">
        <f>COUNTA(_xlfn.ANCHORARRAY(B8))</f>
        <v>5</v>
      </c>
      <c r="C6" s="7"/>
      <c r="D6">
        <f>COUNTA(_xlfn.ANCHORARRAY(D8))</f>
        <v>5</v>
      </c>
    </row>
    <row r="7" spans="2:22" ht="20.25" thickBot="1" x14ac:dyDescent="0.3">
      <c r="B7" s="6" t="s">
        <v>31</v>
      </c>
      <c r="C7" s="8" t="s">
        <v>33</v>
      </c>
      <c r="D7" s="6" t="s">
        <v>32</v>
      </c>
      <c r="E7" s="6" t="s">
        <v>34</v>
      </c>
      <c r="F7" s="6"/>
      <c r="G7" s="6" t="s">
        <v>82</v>
      </c>
      <c r="H7" s="6" t="s">
        <v>17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 t="s">
        <v>33</v>
      </c>
    </row>
    <row r="8" spans="2:22" ht="20.25" thickTop="1" x14ac:dyDescent="0.25">
      <c r="B8" t="str" cm="1">
        <f t="array" ref="B8:B12">TRANSPOSE(ListLambdas())</f>
        <v>ADDRESSES_byDiarmuidEarly</v>
      </c>
      <c r="D8" t="str" cm="1">
        <f t="array" ref="D8:D12">Lambdas[Name]</f>
        <v>EXTRACTCHAR_byHarryGross</v>
      </c>
      <c r="E8" t="s">
        <v>19</v>
      </c>
      <c r="H8" t="str" cm="1">
        <f t="array" ref="H8:T8">EXTRACTCHAR_byHarryGross(E8)</f>
        <v>H</v>
      </c>
      <c r="I8" t="str">
        <v>a</v>
      </c>
      <c r="J8" t="str">
        <v>p</v>
      </c>
      <c r="K8" t="str">
        <v>p</v>
      </c>
      <c r="L8" t="str">
        <v>y</v>
      </c>
      <c r="M8" t="str">
        <v xml:space="preserve"> </v>
      </c>
      <c r="N8" t="str">
        <v>4</v>
      </c>
      <c r="O8" t="str">
        <v>5</v>
      </c>
      <c r="P8" t="str">
        <v xml:space="preserve"> </v>
      </c>
      <c r="Q8" t="str">
        <v>^</v>
      </c>
      <c r="R8" t="str">
        <v xml:space="preserve"> </v>
      </c>
      <c r="S8" t="str">
        <v>2</v>
      </c>
      <c r="T8" t="str">
        <v>!</v>
      </c>
    </row>
    <row r="9" spans="2:22" x14ac:dyDescent="0.25">
      <c r="B9" t="str">
        <v>CaseInputs</v>
      </c>
      <c r="D9" t="str">
        <v>EXTRACTNUMBERS_byHarryGross</v>
      </c>
      <c r="E9" t="s">
        <v>19</v>
      </c>
      <c r="H9" t="str" cm="1">
        <f t="array" ref="H9:I9">EXTRACTNUMBERS_byHarryGross(E9)</f>
        <v>45</v>
      </c>
      <c r="I9" t="str">
        <v>2</v>
      </c>
    </row>
    <row r="10" spans="2:22" x14ac:dyDescent="0.25">
      <c r="B10" t="str">
        <v>EXTRACTCHAR_byHarryGross</v>
      </c>
      <c r="D10" t="str">
        <v>ADDRESSES_byDiarmuidEarly</v>
      </c>
      <c r="E10" t="s">
        <v>42</v>
      </c>
      <c r="F10" t="s">
        <v>43</v>
      </c>
      <c r="H10" t="str" cm="1">
        <f t="array" ref="H10:I10">ADDRESSES_byDiarmuidEarly(E10:F10)</f>
        <v>E10</v>
      </c>
      <c r="I10" t="str">
        <v>F10</v>
      </c>
    </row>
    <row r="11" spans="2:22" x14ac:dyDescent="0.25">
      <c r="B11" t="str">
        <v>EXTRACTNUMBERS_byHarryGross</v>
      </c>
      <c r="D11" t="str">
        <v>GRIDTOCOL_byLiannaGerrish</v>
      </c>
      <c r="E11" t="s">
        <v>40</v>
      </c>
      <c r="F11" t="s">
        <v>41</v>
      </c>
      <c r="H11" t="str" cm="1">
        <f t="array" aca="1" ref="H11:K13" ca="1">GRIDTOCOL_byLiannaGerrish(E11:F11,1)</f>
        <v>Items</v>
      </c>
      <c r="I11" t="str">
        <f ca="1"/>
        <v>Row #</v>
      </c>
      <c r="J11" t="str">
        <f ca="1"/>
        <v>Column #</v>
      </c>
      <c r="K11" t="str">
        <f ca="1"/>
        <v>Address</v>
      </c>
    </row>
    <row r="12" spans="2:22" x14ac:dyDescent="0.25">
      <c r="B12" t="str">
        <v>GRIDTOCOL_byLiannaGerrish</v>
      </c>
      <c r="D12" t="str">
        <v>CaseInputs</v>
      </c>
      <c r="G12" s="18" t="s">
        <v>81</v>
      </c>
      <c r="H12" t="str">
        <f ca="1"/>
        <v>A</v>
      </c>
      <c r="I12">
        <f ca="1"/>
        <v>11</v>
      </c>
      <c r="J12">
        <f ca="1"/>
        <v>5</v>
      </c>
      <c r="K12" t="str">
        <f ca="1"/>
        <v>E11</v>
      </c>
    </row>
    <row r="13" spans="2:22" x14ac:dyDescent="0.25">
      <c r="H13" t="str">
        <f ca="1"/>
        <v>B</v>
      </c>
      <c r="I13">
        <f ca="1"/>
        <v>11</v>
      </c>
      <c r="J13">
        <f ca="1"/>
        <v>6</v>
      </c>
      <c r="K13" t="str">
        <f ca="1"/>
        <v>F11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7DF97-5C72-4E67-A3A9-E79227034A6D}">
  <sheetPr codeName="Sheet15"/>
  <dimension ref="B5:J14"/>
  <sheetViews>
    <sheetView showGridLines="0" workbookViewId="0">
      <pane ySplit="5" topLeftCell="A6" activePane="bottomLeft" state="frozenSplit"/>
      <selection pane="bottomLeft" activeCell="A6" sqref="A6"/>
    </sheetView>
  </sheetViews>
  <sheetFormatPr defaultRowHeight="19.5" x14ac:dyDescent="0.25"/>
  <cols>
    <col min="1" max="1" width="1.69140625" customWidth="1"/>
    <col min="2" max="2" width="24.4609375" bestFit="1" customWidth="1"/>
    <col min="3" max="3" width="11.23046875" bestFit="1" customWidth="1"/>
    <col min="4" max="4" width="36" customWidth="1"/>
    <col min="5" max="5" width="12.4609375" bestFit="1" customWidth="1"/>
    <col min="6" max="10" width="4.23046875" customWidth="1"/>
  </cols>
  <sheetData>
    <row r="5" spans="2:10" ht="21" thickBot="1" x14ac:dyDescent="0.35">
      <c r="B5" s="1" t="s">
        <v>18</v>
      </c>
      <c r="C5" s="1"/>
      <c r="D5" s="1"/>
      <c r="E5" s="1"/>
      <c r="F5" s="1"/>
      <c r="G5" s="1"/>
      <c r="H5" s="1"/>
      <c r="I5" s="1"/>
      <c r="J5" s="1"/>
    </row>
    <row r="6" spans="2:10" ht="20.25" thickTop="1" x14ac:dyDescent="0.25">
      <c r="B6" s="2" t="s">
        <v>30</v>
      </c>
      <c r="C6" s="2"/>
      <c r="D6" s="2"/>
      <c r="E6" s="2"/>
      <c r="F6" s="2"/>
      <c r="G6" s="2"/>
      <c r="H6" s="2"/>
      <c r="I6" s="2"/>
      <c r="J6" s="2"/>
    </row>
    <row r="7" spans="2:10" x14ac:dyDescent="0.25">
      <c r="B7" s="4"/>
    </row>
    <row r="8" spans="2:10" x14ac:dyDescent="0.25">
      <c r="B8" s="4"/>
    </row>
    <row r="9" spans="2:10" x14ac:dyDescent="0.25">
      <c r="B9" s="4"/>
    </row>
    <row r="10" spans="2:10" x14ac:dyDescent="0.25">
      <c r="B10" s="4"/>
    </row>
    <row r="11" spans="2:10" ht="20.25" thickBot="1" x14ac:dyDescent="0.3">
      <c r="B11" s="3" t="s">
        <v>2</v>
      </c>
      <c r="C11" s="3"/>
      <c r="D11" s="3"/>
      <c r="E11" s="3"/>
      <c r="F11" s="3"/>
      <c r="G11" s="3"/>
      <c r="H11" s="3"/>
      <c r="I11" s="3"/>
      <c r="J11" s="3"/>
    </row>
    <row r="12" spans="2:10" ht="20.25" thickTop="1" x14ac:dyDescent="0.25"/>
    <row r="13" spans="2:10" x14ac:dyDescent="0.25">
      <c r="B13" t="s">
        <v>4</v>
      </c>
      <c r="C13" t="s">
        <v>6</v>
      </c>
      <c r="D13" t="s">
        <v>5</v>
      </c>
      <c r="E13" t="s">
        <v>9</v>
      </c>
    </row>
    <row r="14" spans="2:10" ht="39" x14ac:dyDescent="0.25">
      <c r="B14" t="s">
        <v>20</v>
      </c>
      <c r="C14" t="s">
        <v>15</v>
      </c>
      <c r="D14" s="5" t="s">
        <v>21</v>
      </c>
      <c r="E14" t="s">
        <v>22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3.xml><?xml version="1.0" encoding="utf-8"?>
<JSON><![CDATA[
{
  "Commands": [
    {
      "Name": "Backup Sheets in Workbook",
      "Description": "Copy all sheets in workbook for backup",
      "Type": "VBAMacroCommand",
      "LaunchCodes": [
        "BU"
      ],
      "MacroExpression": "modCaseSetup.Backup()",
      "Tags": [
        "Prep"
      ],
      "MacroWorkbookConnection": "ThisWorkbook"
    },
    {
      "Name": "Clear Lambdas",
      "Description": "Clear lambdas that aren't in Lambdas table - for Comp Bot maintenance",
      "Type": "VBAMacroCommand",
      "LaunchCodes": [
        "CL"
      ],
      "MacroExpression": "modLambdas.ClearLambdas()",
      "Tags": [
        "Maintenance"
      ]
    },
    {
      "Name": "Create Blank Sheet",
      "Description": "Creates a blank sheet named based on cell value (Sht otherwise)",
      "Type": "VBAMacroCommand",
      "LaunchCodes": [
        "BS",
        "CBS",
        "S"
      ],
      "MacroExpression": "modMisc.CreateBlankSheet([[ActiveCell]])",
      "Tags": [
        "Prep"
      ],
      "MacroWorkbookConnection": "ThisWorkbook"
    },
    {
      "Name": "Create Bonus Sheet",
      "Description": "Creates bonus sheet \"B\" with bonus questions",
      "Type": "VBAMacroCommand",
      "LaunchCodes": [
        "CB",
        "CBS"
      ],
      "MacroExpression": "modCaseSetup.CreateBonusSheet()",
      "Tags": [
        "Prep"
      ]
    },
    {
      "Name": "Create Case Inputs Sheet",
      "Description": "Creates a case inputs sheet with the inputs for the current case",
      "Type": "VBAMacroCommand",
      "LaunchCodes": [
        "CIS",
        "IS"
      ],
      "MacroExpression": "modCaseSetup.CreateCaseInputsSheet([[ActiveCell]])",
      "Tags": [
        "Prep"
      ],
      "MacroWorkbookConnection": "ThisWorkbook"
    },
    {
      "Name": "Create Data Table",
      "Description": "Creates a data table on the current sheet for level sheets \"L#\" or active cell = \"Example#\"",
      "Type": "VBAMacroCommand",
      "LaunchCodes": [
        "CDT",
        "DT"
      ],
      "MacroExpression": "modCaseSetup.CreateDataTable([[NewTableTargetToRight]])",
      "Tags": [
        "Prep"
      ]
    },
    {
      "Name": "Create Level Sheets",
      "Description": "Creates a sheet for each level in the Case sheet",
      "Type": "VBAMacroCommand",
      "LaunchCodes": [
        "CL",
        "CLS"
      ],
      "MacroExpression": "modCaseSetup.CreateLevelSheets()",
      "Tags": [
        "Prep"
      ]
    },
    {
      "Name": "Default Settings",
      "Description": "Updates default settings to those in Default Settings sheet",
      "Type": "VBAMacroCommand",
      "LaunchCodes": [
        "DS"
      ],
      "MacroExpression": "modMisc.DefaultSettings()",
      "Tags": [
        "Settings"
      ]
    },
    {
      "Name": "Eggy",
      "Description": "Easter Egg Fun",
      "Type": "VBAMacroCommand",
      "MacroExpression": "modUtilities.Eggy()"
    },
    {
      "Name": "Goto Similar Background Color",
      "Description": "Goto similar background color.",
      "Type": "VBAMacroCommand",
      "LaunchCodes": [
        "SBC"
      ],
      "MacroExpression": "modGoToSpecial.GotoSimilarBackgroundColor()",
      "Tags": [
        "GoTo"
      ]
    },
    {
      "Name": "Import Lambda Library",
      "Description": "Imports CompBot's lambda collection into active workbook",
      "Type": "VBAMacroCommand",
      "LaunchCodes": [
        "IL"
      ],
      "MacroExpression": "modImportLambdas.ImportAllLambdas(\"CompBot.xlsm\")",
      "Tags": [
        "LAMBDA",
        "Prep"
      ],
      "MacroWorkbookConnection": "Lambda Robot"
    },
    {
      "Name": "Import Lambdas From",
      "Description": "Import lambdas from a specified workbook",
      "Type": "VBAMacroCommand",
      "LaunchCodes": [
        "ILF"
      ],
      "MacroExpression": "modLambdas.ImportLambdasFrom()",
      "Tags": [
        "LAMBDA",
        "Prep"
      ]
    },
    {
      "Name": "Name All Used Ranges",
      "Description": "Renames used range in all sheets",
      "Type": "VBAMacroCommand",
      "LaunchCodes": [
        "NA",
        "NAUR"
      ],
      "MacroExpression": "modNames.NameAllUsedRanges()",
      "Tags": [
        "Name"
      ]
    },
    {
      "Name": "Name Used Ranges",
      "Description": "Names used range in all sheets starting with the prefix as provided in the active cell",
      "Type": "VBAMacroCommand",
      "LaunchCodes": [
        "NURS"
      ],
      "MacroExpression": "modNames.NameUsedRanges([[ActiveCell]])",
      "Tags": [
        "Name"
      ]
    },
    {
      "Name": "Save Answers To Left",
      "Description": "Saves references to the selected cells in the green answer cells to the left on the same row.",
      "Type": "VBAMacroCommand",
      "LaunchCodes": [
        "SAL"
      ],
      "MacroExpression": "modCaseSetup.SaveAnswersToLeft()",
      "Tags": [
        "Paste"
      ]
    },
    {
      "Name": "Save Copy of File",
      "Description": "Enable editing and save copy of file with suffix based on active cell (otherwise Working)",
      "Type": "VBAMacroCommand",
      "LaunchCodes": [
        "SA"
      ],
      "MacroExpression": "modCaseSetup.SaveCopy([[ActiveCell]])",
      "Tags": [
        "Prep"
      ]
    },
    {
      "Name": "Setup Case",
      "Description": "Setup case by running Backup and Level sheet creation",
      "Type": "VBAMacroCommand",
      "LaunchCodes": [
        "SC"
      ],
      "MacroExpression": "modCaseSetup.Setup()",
      "Tags": [
        "Prep"
      ]
    },
    {
      "Name": "Toggle Calculation Mode",
      "Description": "Toggles calculation mode and places current mode notice in StatusBar",
      "Type": "VBAMacroCommand",
      "LaunchCodes": [
        "TC"
      ],
      "MacroExpression": "modMisc.ToggleCalculationMode()",
      "Tags": [
        "Settings"
      ]
    },
    {
      "Name": "Toggle Iterative Calculation",
      "Description": "Toggles iterative calculation and sets status in status bar",
      "Type": "VBAMacroCommand",
      "LaunchCodes": [
        "IC"
      ],
      "MacroExpression": "modMisc.ToggleIterativeCalculation()",
      "Tags": [
        "Settings"
      ]
    }
  ]
}
]]></JSON>
</file>

<file path=customXml/item4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11/01/2025 15:56:46 +00:00</LastUpdated>
    <CustomXmlPartGuid>{8CBD4347-811B-491A-A135-4C0D6222404C}</CustomXmlPartGuid>
  </CustomXmlPartIndex>
</writeIndexDataTable>
</file>

<file path=customXml/itemProps1.xml><?xml version="1.0" encoding="utf-8"?>
<ds:datastoreItem xmlns:ds="http://schemas.openxmlformats.org/officeDocument/2006/customXml" ds:itemID="{05553D37-558F-48A1-9DC4-4CE07CDFF43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B75D044-D14C-46B9-B18F-FB21AE37D1B1}">
  <ds:schemaRefs>
    <ds:schemaRef ds:uri="http://schemas.advancedformulaenvironment.officeapps.live.com/afejsonblob/1.0"/>
  </ds:schemaRefs>
</ds:datastoreItem>
</file>

<file path=customXml/itemProps3.xml><?xml version="1.0" encoding="utf-8"?>
<ds:datastoreItem xmlns:ds="http://schemas.openxmlformats.org/officeDocument/2006/customXml" ds:itemID="{8CBD4347-811B-491A-A135-4C0D6222404C}">
  <ds:schemaRefs/>
</ds:datastoreItem>
</file>

<file path=customXml/itemProps4.xml><?xml version="1.0" encoding="utf-8"?>
<ds:datastoreItem xmlns:ds="http://schemas.openxmlformats.org/officeDocument/2006/customXml" ds:itemID="{E428E2AD-88A9-4422-A49B-1A3C4C00AFD5}">
  <ds:schemaRefs>
    <ds:schemaRef ds:uri=""/>
    <ds:schemaRef ds:uri="http://www.w3.org/2001/XMLSchema"/>
    <ds:schemaRef ds:uri="urn:schemas-microsoft-com:xml-ms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Info</vt:lpstr>
      <vt:lpstr>Default Settings</vt:lpstr>
      <vt:lpstr>Lambdas List</vt:lpstr>
      <vt:lpstr>Load Lambdas</vt:lpstr>
      <vt:lpstr>Language</vt:lpstr>
      <vt:lpstr>List_Separator</vt:lpstr>
      <vt:lpstr>Thousands_Separator</vt:lpstr>
      <vt:lpstr>Use_System_Separators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 Kennedy</dc:creator>
  <cp:lastModifiedBy>Jaq Kennedy</cp:lastModifiedBy>
  <dcterms:created xsi:type="dcterms:W3CDTF">2025-01-03T14:23:42Z</dcterms:created>
  <dcterms:modified xsi:type="dcterms:W3CDTF">2025-01-11T15:56:51Z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{E428E2AD-88A9-4422-A49B-1A3C4C00AFD5}</vt:lpwstr>
  </property>
  <property fmtid="{D5CDD505-2E9C-101B-9397-08002B2CF9AE}" pid="3" name="OA Tools Last Modified">
    <vt:lpwstr>2025-01-11 15:56:46 UTC</vt:lpwstr>
  </property>
</Properties>
</file>