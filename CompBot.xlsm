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534e1f3e8d9cda95/Documents/OA Robot/"/>
    </mc:Choice>
  </mc:AlternateContent>
  <xr:revisionPtr revIDLastSave="0" documentId="8_{2B0A02B6-7F96-49FA-A72D-6F0A8624E44A}" xr6:coauthVersionLast="47" xr6:coauthVersionMax="47" xr10:uidLastSave="{00000000-0000-0000-0000-000000000000}"/>
  <bookViews>
    <workbookView xWindow="-120" yWindow="-120" windowWidth="51840" windowHeight="21120"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<sst xmlns="http://schemas.openxmlformats.org/spreadsheetml/2006/main" count="1098" uniqueCount="845">
  <si>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</si>
  <si>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</si>
  <si>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</si>
  <si>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</si>
  <si>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</si>
  <si>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</si>
  <si>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</si>
  <si>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</si>
  <si>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</si>
  <si>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</si>
  <si>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</si>
  <si>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</si>
  <si>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</si>
  <si>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</si>
  <si>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</si>
  <si>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</si>
  <si>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</si>
  <si>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</si>
  <si>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</si>
  <si>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</si>
  <si>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</si>
  <si>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</si>
  <si>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</si>
  <si>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</si>
  <si>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</si>
  <si>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</si>
  <si>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</si>
  <si>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</si>
  <si>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</si>
  <si>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</si>
  <si>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</si>
  <si>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</si>
  <si>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</si>
  <si>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</si>
  <si>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</si>
  <si>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</si>
  <si>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</si>
  <si>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</si>
  <si>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</si>
  <si>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</si>
  <si>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</si>
  <si>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</si>
  <si>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</si>
  <si>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</si>
  <si>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</si>
  <si>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</si>
  <si>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</si>
  <si>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</si>
  <si>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</si>
  <si>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</si>
  <si>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</si>
  <si>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</si>
  <si>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</si>
  <si>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</si>
  <si>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</si>
  <si>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</si>
  <si>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</si>
  <si>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</si>
  <si>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</si>
  <si>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</si>
  <si>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</si>
  <si>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</si>
  <si>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</si>
  <si>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</si>
  <si>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</si>
  <si>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</si>
  <si>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</si>
  <si>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</si>
  <si>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</si>
  <si>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</si>
  <si>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</si>
  <si>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</si>
  <si>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</si>
  <si>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</si>
  <si>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</si>
  <si>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</si>
  <si>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</si>
  <si>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</si>
  <si>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</si>
  <si>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</si>
  <si>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</si>
  <si>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</si>
  <si>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</si>
  <si>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</si>
  <si>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</si>
  <si>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</si>
  <si>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</si>
  <si>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</si>
  <si>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</si>
  <si>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</si>
  <si>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</si>
  <si>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</si>
  <si>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</si>
  <si>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</si>
  <si>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</si>
  <si>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</si>
  <si>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</si>
  <si>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</si>
  <si>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</si>
  <si>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</si>
  <si>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</si>
  <si>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</si>
  <si>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</si>
  <si>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</si>
  <si>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</si>
  <si>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</si>
  <si>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</si>
  <si>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</si>
  <si>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</si>
  <si>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</si>
  <si>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</si>
  <si>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</si>
  <si>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</si>
  <si>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</si>
  <si>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</si>
  <si>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</si>
  <si>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</si>
  <si>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</si>
  <si>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</si>
  <si>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</si>
  <si>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</si>
  <si>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</si>
  <si>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</si>
  <si>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</si>
  <si>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</si>
  <si>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</si>
  <si>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</si>
  <si>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</si>
  <si>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</si>
  <si>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</si>
  <si>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</si>
  <si>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</si>
  <si>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</si>
  <si>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</si>
  <si>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</si>
  <si>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</si>
  <si>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</si>
  <si>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</si>
  <si>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</si>
  <si>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</si>
  <si>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</si>
  <si>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</si>
  <si>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</si>
  <si>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</si>
  <si>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</si>
  <si>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</si>
  <si>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</si>
  <si>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</si>
  <si>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</si>
  <si>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</si>
  <si>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</si>
  <si>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</si>
  <si>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</si>
  <si>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</si>
  <si>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</si>
  <si>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</si>
  <si>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</si>
  <si>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</si>
  <si>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</si>
  <si>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</si>
  <si>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</si>
  <si>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</si>
  <si>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</si>
  <si>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</si>
  <si>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</si>
  <si>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</si>
  <si>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</si>
  <si>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</si>
  <si>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</si>
  <si>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</si>
  <si>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</si>
  <si>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</si>
  <si>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</si>
  <si>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</si>
  <si>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</si>
  <si>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</si>
  <si>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</si>
  <si>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</si>
  <si>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</si>
  <si>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</si>
  <si>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</si>
  <si>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</si>
  <si>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</si>
  <si>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</si>
  <si>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</si>
  <si>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</si>
  <si>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</si>
  <si>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</si>
  <si>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</si>
  <si>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</si>
  <si>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</si>
  <si>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</si>
  <si>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</si>
  <si>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</si>
  <si>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</si>
  <si>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</si>
  <si>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</si>
  <si>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</si>
  <si>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</si>
  <si>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</si>
  <si>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</si>
  <si>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</si>
  <si>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</si>
  <si>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</si>
  <si>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</si>
  <si>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</si>
  <si>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</si>
  <si>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</si>
  <si>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</si>
  <si>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</si>
  <si>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</si>
  <si>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</si>
  <si>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</si>
  <si>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</si>
  <si>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</si>
  <si>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</si>
  <si>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</si>
  <si>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</si>
  <si>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</si>
  <si>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</si>
  <si>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</si>
  <si>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</si>
  <si>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</si>
  <si>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</si>
  <si>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</si>
  <si>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</si>
  <si>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</si>
  <si>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</si>
  <si>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</si>
  <si>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</si>
  <si>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</si>
  <si>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</si>
  <si>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</si>
  <si>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</si>
  <si>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</si>
  <si>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</si>
  <si>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</si>
  <si>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</si>
  <si>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</si>
  <si>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</si>
  <si>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</si>
  <si>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</si>
  <si>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</si>
  <si>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</si>
  <si>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</si>
  <si>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</si>
  <si>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</si>
  <si>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</si>
  <si>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</si>
  <si>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</si>
  <si>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</si>
  <si>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</si>
  <si>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</si>
  <si>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</si>
  <si>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</si>
  <si>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</si>
  <si>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</si>
  <si>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</si>
  <si>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</si>
  <si>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</si>
  <si>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</si>
  <si>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</si>
  <si>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</si>
  <si>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</si>
  <si>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</si>
  <si>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</si>
  <si>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</si>
  <si>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</si>
  <si>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</si>
  <si>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</si>
  <si>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</si>
  <si>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</si>
  <si>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</si>
  <si>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</si>
  <si>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</si>
  <si>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</si>
  <si>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</si>
  <si>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</si>
  <si>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</si>
  <si>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</si>
  <si>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</si>
  <si>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</si>
  <si>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</si>
  <si>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</si>
  <si>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</si>
  <si>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</si>
  <si>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</si>
  <si>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</si>
  <si>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</si>
  <si>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</si>
  <si>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</si>
  <si>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</si>
  <si>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</si>
  <si>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</si>
  <si>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</si>
  <si>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</si>
  <si>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</si>
  <si>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</si>
  <si>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</si>
  <si>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</si>
  <si>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</si>
  <si>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</si>
  <si>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</si>
  <si>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</si>
  <si>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</si>
  <si>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</si>
  <si>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</si>
  <si>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</si>
  <si>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</si>
  <si>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</si>
  <si>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</si>
  <si>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</si>
  <si>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</si>
  <si>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</si>
  <si>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</si>
  <si>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</si>
  <si>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</si>
  <si>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</si>
  <si>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</si>
  <si>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</si>
  <si>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</si>
  <si>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</si>
  <si>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</si>
  <si>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</si>
  <si>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</si>
  <si>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</si>
  <si>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</si>
  <si>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</si>
  <si>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</si>
  <si>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</si>
  <si>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</si>
  <si>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</si>
  <si>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</si>
  <si>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</si>
  <si>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</si>
  <si>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</si>
  <si>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</si>
  <si>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</si>
  <si>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</si>
  <si>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</si>
  <si>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</si>
  <si>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</si>
  <si>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</si>
  <si>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</si>
  <si>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</si>
  <si>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</si>
  <si>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</si>
  <si>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</si>
  <si>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</si>
  <si>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</si>
  <si>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</si>
  <si>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</si>
  <si>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</si>
  <si>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</si>
  <si>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</si>
  <si>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</si>
  <si>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</si>
  <si>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</si>
  <si>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</si>
  <si>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</si>
  <si>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</si>
  <si>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</si>
  <si>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</si>
  <si>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</si>
  <si>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</si>
  <si>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</si>
  <si>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</si>
  <si>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</si>
  <si>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</si>
  <si>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</si>
  <si>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</si>
  <si>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</si>
  <si>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</si>
  <si>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</si>
  <si>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</si>
  <si>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</si>
  <si>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</si>
  <si>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</si>
  <si>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</si>
  <si>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</si>
  <si>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</si>
  <si>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</si>
  <si>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</si>
  <si>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</si>
  <si>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</si>
  <si>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</si>
  <si>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</si>
  <si>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</si>
  <si>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</si>
  <si>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</si>
  <si>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</si>
  <si>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</si>
  <si>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</si>
  <si>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</si>
  <si>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</si>
  <si>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</si>
  <si>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</si>
  <si>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</si>
  <si>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</si>
  <si>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</si>
  <si>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</si>
  <si>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</si>
  <si>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</si>
  <si>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</si>
  <si>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</si>
  <si>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</si>
  <si>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</si>
  <si>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</si>
  <si>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</si>
  <si>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</si>
  <si>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</si>
  <si>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</si>
  <si>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</si>
  <si>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</si>
  <si>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</si>
  <si>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</si>
  <si>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</si>
  <si>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</si>
  <si>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</si>
  <si>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</si>
  <si>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</si>
  <si>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</si>
  <si>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</si>
  <si>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</si>
  <si>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</si>
  <si>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</si>
  <si>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</si>
  <si>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</si>
  <si>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</si>
  <si>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</si>
  <si>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</si>
  <si>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</si>
  <si>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</si>
  <si>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</si>
  <si>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</si>
  <si>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</si>
  <si>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</si>
  <si>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</si>
  <si>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</si>
  <si>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</si>
  <si>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</si>
  <si>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</si>
  <si>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</si>
  <si>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</si>
  <si>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</si>
  <si>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</si>
  <si>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</si>
  <si>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</si>
  <si>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</si>
  <si>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</si>
  <si>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</si>
  <si>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</si>
  <si>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</si>
  <si>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</si>
  <si>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</si>
  <si>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</si>
  <si>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</si>
  <si>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</si>
  <si>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</si>
  <si>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</si>
  <si>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</si>
  <si>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</si>
  <si>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</si>
  <si>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</si>
  <si>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</si>
  <si>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</si>
  <si>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</si>
  <si>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</si>
  <si>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</si>
  <si>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</si>
  <si>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</si>
  <si>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</si>
  <si>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</si>
  <si>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</si>
  <si>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</si>
  <si>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</si>
  <si>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</si>
  <si>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</si>
  <si>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</si>
  <si>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</si>
  <si>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</si>
  <si>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</si>
  <si>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</si>
  <si>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</si>
  <si>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</si>
  <si>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</si>
  <si>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</si>
  <si>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</si>
  <si>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</si>
  <si>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</si>
  <si>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</si>
  <si>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</si>
  <si>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</si>
  <si>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</si>
  <si>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</si>
  <si>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</si>
  <si>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</si>
  <si>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</si>
  <si>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</si>
  <si>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</si>
  <si>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</si>
  <si>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</si>
  <si>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</si>
  <si>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</si>
  <si>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</si>
  <si>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</si>
  <si>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</si>
  <si>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</si>
  <si>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</si>
  <si>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</si>
  <si>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</si>
  <si>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</si>
  <si>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</si>
  <si>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</si>
  <si>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</si>
  <si>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</si>
  <si>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</si>
  <si>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</si>
  <si>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</si>
  <si>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</si>
  <si>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</si>
  <si>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</si>
  <si>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Save Answers To Left</t>
  </si>
  <si>
    <t>Saves references to the selected cells in the green answer cells to the left on the same row.</t>
  </si>
  <si>
    <t>Enable editing and save copy of file with suffix based on active cell (otherwise Working)</t>
  </si>
  <si>
    <t>Save From Example</t>
  </si>
  <si>
    <t>SFE</t>
  </si>
  <si>
    <t>src</t>
  </si>
  <si>
    <t>Show Bonus Dock</t>
  </si>
  <si>
    <t>Shows the open bonus questions in a dock on the right; answered ones drop off</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</si>
  <si>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</si>
  <si>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</si>
  <si>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</si>
  <si>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</si>
  <si>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</si>
  <si>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</si>
  <si>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</si>
  <si>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</si>
  <si>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</si>
  <si>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</si>
  <si>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</si>
  <si>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</si>
  <si>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</si>
  <si>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</si>
  <si>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</si>
  <si>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</si>
  <si>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</si>
  <si>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</si>
  <si>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</si>
  <si>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</si>
  <si>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</si>
  <si>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</si>
  <si>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</si>
  <si>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</si>
  <si>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</si>
  <si>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</si>
  <si>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</si>
  <si>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</si>
  <si>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</si>
  <si>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</si>
  <si>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</si>
  <si>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</si>
  <si>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</si>
  <si>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</si>
  <si>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</si>
  <si>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</si>
  <si>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</si>
  <si>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</si>
  <si>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</si>
  <si>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</si>
  <si>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</si>
  <si>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</si>
  <si>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</si>
  <si>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</si>
  <si>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</si>
  <si>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</si>
  <si>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</si>
  <si>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</si>
  <si>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</si>
  <si>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</si>
  <si>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</si>
  <si>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</si>
  <si>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</si>
  <si>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</si>
  <si>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</si>
  <si>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</si>
  <si>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</si>
  <si>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</si>
  <si>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</si>
  <si>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</si>
  <si>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</si>
  <si>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</si>
  <si>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</si>
  <si>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</si>
  <si>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</si>
  <si>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</si>
  <si>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</si>
  <si>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</si>
  <si>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</si>
  <si>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</si>
  <si>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</si>
  <si>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</si>
  <si>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</si>
  <si>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</si>
  <si>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</si>
  <si>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</si>
  <si>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</si>
  <si>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</si>
  <si>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</si>
  <si>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</si>
  <si>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</si>
  <si>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</si>
  <si>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</si>
  <si>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</si>
  <si>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</si>
  <si>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</si>
  <si>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</si>
  <si>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</si>
  <si>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</si>
  <si>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</si>
  <si>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</si>
  <si>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</si>
  <si>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</si>
  <si>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</si>
  <si>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</si>
  <si>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</si>
  <si>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</si>
  <si>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</si>
  <si>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</si>
  <si>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</si>
  <si>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</si>
  <si>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</si>
  <si>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</si>
  <si>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</si>
  <si>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</si>
  <si>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</si>
  <si>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</si>
  <si>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</si>
  <si>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</si>
  <si>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</si>
  <si>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</si>
  <si>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</si>
  <si>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</si>
  <si>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</si>
  <si>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</si>
  <si>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</si>
  <si>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</si>
  <si>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</si>
  <si>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</si>
  <si>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</si>
  <si>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</si>
  <si>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</si>
  <si>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</si>
  <si>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</si>
  <si>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</si>
  <si>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</si>
  <si>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ILL</t>
  </si>
  <si>
    <t>Clear Status Bar</t>
  </si>
  <si>
    <t>Set Lambda Library</t>
  </si>
  <si>
    <t>Points CompBot at YOUR lambda library workbook, once; ILL and Full Setup Case then load it</t>
  </si>
  <si>
    <t>SLL</t>
  </si>
  <si>
    <t>Import Case Lambdas</t>
  </si>
  <si>
    <t>Your library (if set), then CompBot's lambdas, into the active workbook. Chained after Full Setup Case</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</si>
  <si>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</si>
  <si>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</si>
  <si>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</si>
  <si>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</si>
  <si>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</si>
  <si>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</si>
  <si>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</si>
  <si>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</si>
  <si>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</si>
  <si>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</si>
  <si>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</si>
  <si>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</si>
  <si>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</si>
  <si>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</si>
  <si>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</si>
  <si>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</si>
  <si>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</si>
  <si>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</si>
  <si>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</si>
  <si>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</si>
  <si>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</si>
  <si>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</si>
  <si>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</si>
  <si>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</si>
  <si>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</si>
  <si>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</si>
  <si>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</si>
  <si>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</si>
  <si>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</si>
  <si>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Sets up the case: saves a _Solve copy, backs up the sheets, creates the level, bonus and Case inputs sheets, then imports lambdas. Choose the steps with SCS</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</si>
  <si>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</si>
  <si>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</si>
  <si>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</si>
  <si>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</si>
  <si>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</si>
  <si>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</si>
  <si>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</si>
  <si>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</si>
  <si>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</si>
  <si>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</si>
  <si>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</si>
  <si>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</si>
  <si>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</si>
  <si>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</si>
  <si>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</si>
  <si>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</si>
  <si>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</si>
  <si>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</si>
  <si>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</si>
  <si>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</si>
  <si>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</si>
  <si>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</si>
  <si>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</si>
  <si>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</si>
  <si>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</si>
  <si>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</si>
  <si>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</si>
  <si>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</si>
  <si>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</si>
  <si>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</si>
  <si>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</si>
  <si>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</si>
  <si>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</si>
  <si>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</si>
  <si>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</si>
  <si>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</si>
  <si>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</si>
  <si>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</si>
  <si>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</si>
  <si>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</si>
  <si>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</si>
  <si>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</si>
  <si>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</si>
  <si>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</si>
  <si>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</si>
  <si>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</si>
  <si>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</si>
  <si>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</si>
  <si>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</si>
  <si>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</si>
  <si>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Counts the FALSE (0) values in an array: how many rows fail the test</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</si>
  <si>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</si>
  <si>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</si>
  <si>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</si>
  <si>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</si>
  <si>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</si>
  <si>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</si>
  <si>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</si>
  <si>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</si>
  <si>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</si>
  <si>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</si>
  <si>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</si>
  <si>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</si>
  <si>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</si>
  <si>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</si>
  <si>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</si>
  <si>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</si>
  <si>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</si>
  <si>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</si>
  <si>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</si>
  <si>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Stand on the start (e.g. the S) in a map spill, with the target cell COPIED: lists the nearest targets with their addresses and distances, to the right of the map</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</si>
  <si>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</si>
  <si>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</si>
  <si>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</si>
  <si>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</si>
  <si>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</si>
  <si>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</si>
  <si>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</si>
  <si>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</si>
  <si>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</si>
  <si>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</si>
  <si>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</si>
  <si>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</si>
  <si>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</si>
  <si>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</si>
  <si>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</si>
  <si>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</si>
  <si>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</si>
  <si>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</si>
  <si>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</si>
  <si>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</si>
  <si>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</si>
  <si>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</si>
  <si>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Every pairing of the COPIED list with the active spill (each item of one with each item of the other), written to the right of the spill</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</si>
  <si>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</si>
  <si>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</si>
  <si>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</si>
  <si>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</si>
  <si>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</si>
  <si>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</si>
  <si>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</si>
  <si>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</si>
  <si>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</si>
  <si>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</si>
  <si>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</si>
  <si>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</si>
  <si>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</si>
  <si>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</si>
  <si>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</si>
  <si>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</si>
  <si>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</si>
  <si>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</si>
  <si>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</si>
  <si>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</si>
  <si>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</si>
  <si>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Limited collection included with CompBot for demonstration. To add lambdas to your workbook, run "Import Lambdas From CompBot" (ILC) or "Import Lambda Library" (ILL)</t>
  </si>
  <si>
    <t>OA ROBOT COMMAND COLLECTION</t>
  </si>
  <si>
    <t>VERSION 2026.10</t>
  </si>
  <si>
    <t>101 COMMANDS   •   75 LAMBDAS   •   CTRL+SHIFT+O OPENS THE PALETTE   •   BY JAQ KENNEDY</t>
  </si>
  <si>
    <t>Regional Settings</t>
  </si>
  <si>
    <t>Updates default settings to those in Regional Settings sheet</t>
  </si>
  <si>
    <t>none set</t>
  </si>
  <si>
    <t>Run Set Lambda Library (SLL) to choose one</t>
  </si>
  <si>
    <t>Solve folder</t>
  </si>
  <si>
    <t>Set with Set Solve Folder (SSF); forgotten with Clear Solve Folder (CSF). Full Setup Case saves the _Solve copy here, or next to the case if none is set or it is missing. Shown here, not changed here.</t>
  </si>
  <si>
    <t>Your lambda library and Solve folder</t>
  </si>
  <si>
    <t>Your Solve folder</t>
  </si>
  <si>
    <t>Re-set it with Set Solve Folder (SSF): this machine's folders will differ.</t>
  </si>
  <si>
    <t>Run Set Solve Folder (SSF) to choose one</t>
  </si>
  <si>
    <t>Your checklist: on a new or shared machine (the arena)</t>
  </si>
  <si>
    <t>For you to tick as you go. Ticking a box does NOT run anything: run each command yourself.</t>
  </si>
  <si>
    <t>Set Solve Folder</t>
  </si>
  <si>
    <t>Choose the folder Full Setup Case saves your _Solve copy into, once (e.g. OneDrive)</t>
  </si>
  <si>
    <t>SSF</t>
  </si>
  <si>
    <t>Level Inputs</t>
  </si>
  <si>
    <t>Type a level, or levels like 4-5 or 3,5-6: their inputs land as an array to work on, with headers and game/level beside them (blank = this sheet's level)</t>
  </si>
  <si>
    <t>Levels: Levels, e.g. 4 or 4-5 or 3,5-6 (blank = this sheet's level)</t>
  </si>
  <si>
    <t>LI, LLI</t>
  </si>
  <si>
    <t>Clear Solve Folder</t>
  </si>
  <si>
    <t>Forgets your Solve folder, so Full Setup Case saves the _Solve copy next to the case again</t>
  </si>
  <si>
    <t>CSF</t>
  </si>
  <si>
    <t>Creates a case inputs sheet: one row per game with its Game and Level, then every input; names each level L01_Inputs, L02_Inputs, ...</t>
  </si>
  <si>
    <t>Loads YOUR own lambda library (set once with SLL) into the active workbook: its lambdas and its stored values (named constants)</t>
  </si>
  <si>
    <t>Select your answer formula on the example row; the working right of the inputs is copied to every question and the answers linked</t>
  </si>
  <si>
    <t>Create Data Table Here</t>
  </si>
  <si>
    <t>Builds the level's data table block at the selected cell, else beside the inputs</t>
  </si>
  <si>
    <t>CDTH, DT</t>
  </si>
  <si>
    <t>ANS, DT</t>
  </si>
  <si>
    <t>Data table: adds a bonus SIDE column pointed at the active cell; RDT fills it</t>
  </si>
  <si>
    <t>LSC, BDT, DT</t>
  </si>
  <si>
    <t>LDT, LG, DT</t>
  </si>
  <si>
    <t>RDT, 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</si>
</sst>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6"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
      <sz val="16"/>
      <color rgb="FFED7D31"/>
      <name val="Verdana"/>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2">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5" fillId="0" borderId="0" xfId="0" applyFont="1"/>
    <xf numFmtId="0" fontId="10" fillId="5" borderId="3" xfId="7" applyFont="1" applyFill="1" applyBorder="1"/>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18">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47" Type="http://schemas.openxmlformats.org/officeDocument/2006/relationships/customXml" Target="../customXml/item36.xml"/><Relationship Id="rId50" Type="http://schemas.openxmlformats.org/officeDocument/2006/relationships/customXml" Target="../customXml/item39.xml"/><Relationship Id="rId55" Type="http://schemas.openxmlformats.org/officeDocument/2006/relationships/customXml" Target="../customXml/item44.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5.xml"/><Relationship Id="rId29" Type="http://schemas.openxmlformats.org/officeDocument/2006/relationships/customXml" Target="../customXml/item18.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45" Type="http://schemas.openxmlformats.org/officeDocument/2006/relationships/customXml" Target="../customXml/item34.xml"/><Relationship Id="rId53" Type="http://schemas.openxmlformats.org/officeDocument/2006/relationships/customXml" Target="../customXml/item42.xml"/><Relationship Id="rId58" Type="http://schemas.openxmlformats.org/officeDocument/2006/relationships/customXml" Target="../customXml/item47.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customXml" Target="../customXml/item8.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48" Type="http://schemas.openxmlformats.org/officeDocument/2006/relationships/customXml" Target="../customXml/item37.xml"/><Relationship Id="rId56" Type="http://schemas.openxmlformats.org/officeDocument/2006/relationships/customXml" Target="../customXml/item45.xml"/><Relationship Id="rId8" Type="http://schemas.openxmlformats.org/officeDocument/2006/relationships/sharedStrings" Target="sharedStrings.xml"/><Relationship Id="rId51"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 Id="rId46" Type="http://schemas.openxmlformats.org/officeDocument/2006/relationships/customXml" Target="../customXml/item35.xml"/><Relationship Id="rId59" Type="http://schemas.openxmlformats.org/officeDocument/2006/relationships/customXml" Target="../customXml/item48.xml"/><Relationship Id="rId20" Type="http://schemas.openxmlformats.org/officeDocument/2006/relationships/customXml" Target="../customXml/item9.xml"/><Relationship Id="rId41" Type="http://schemas.openxmlformats.org/officeDocument/2006/relationships/customXml" Target="../customXml/item30.xml"/><Relationship Id="rId54"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49" Type="http://schemas.openxmlformats.org/officeDocument/2006/relationships/customXml" Target="../customXml/item38.xml"/><Relationship Id="rId57" Type="http://schemas.openxmlformats.org/officeDocument/2006/relationships/customXml" Target="../customXml/item46.xml"/><Relationship Id="rId10" Type="http://schemas.microsoft.com/office/2022/11/relationships/FeaturePropertyBag" Target="featurePropertyBag/featurePropertyBag.xml"/><Relationship Id="rId31" Type="http://schemas.openxmlformats.org/officeDocument/2006/relationships/customXml" Target="../customXml/item20.xml"/><Relationship Id="rId44" Type="http://schemas.openxmlformats.org/officeDocument/2006/relationships/customXml" Target="../customXml/item33.xml"/><Relationship Id="rId52" Type="http://schemas.openxmlformats.org/officeDocument/2006/relationships/customXml" Target="../customXml/item41.xml"/><Relationship Id="rId60"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F113" totalsRowShown="0" headerRowDxfId="17" dataDxfId="16">
  <autoFilter ref="B8:F113" xr:uid="{0094C780-BB06-4D44-A3B5-11A203AC5962}"/>
  <sortState xmlns:xlrd2="http://schemas.microsoft.com/office/spreadsheetml/2017/richdata2" ref="B9:F113">
    <sortCondition ref="B9:B113"/>
  </sortState>
  <tableColumns count="5">
    <tableColumn id="1" xr3:uid="{E0991380-7C68-4019-8397-222B470C1582}" name="Name" dataDxfId="15"/>
    <tableColumn id="2" xr3:uid="{1D428C75-77DF-45DA-912B-098A1ABAC5AD}" name="Creator" dataDxfId="14"/>
    <tableColumn id="3" xr3:uid="{A6B3CCED-8990-4FBA-ACFB-9A1799381525}" name="Description" dataDxfId="13"/>
    <tableColumn id="4" xr3:uid="{476E0F6A-DE40-44D5-A6AE-77D5D1C4F9C6}" name="Parameters" dataDxfId="12"/>
    <tableColumn id="5" xr3:uid="{1906B3F5-C5BE-47F5-9821-1B5225407536}" name="Launch Code" dataDxfId="1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F83" totalsRowShown="0" headerRowDxfId="10" dataDxfId="9">
  <autoFilter ref="B8:F83" xr:uid="{A558CB64-4555-4E76-9388-CC0298969050}"/>
  <sortState xmlns:xlrd2="http://schemas.microsoft.com/office/spreadsheetml/2017/richdata2" ref="B9:F83">
    <sortCondition ref="B9:B83"/>
  </sortState>
  <tableColumns count="5">
    <tableColumn id="1" xr3:uid="{C7B661F8-E847-4A13-A5CD-4111AD54A043}" name="Name" dataDxfId="8"/>
    <tableColumn id="2" xr3:uid="{402102D7-5F04-4A93-A427-CDD8E9743522}" name="Creator" dataDxfId="7"/>
    <tableColumn id="3" xr3:uid="{29C5C72F-191A-47D7-A0A3-65C070A08FBB}" name="Description" dataDxfId="6"/>
    <tableColumn id="4" xr3:uid="{2F739A7B-0273-48EB-80E8-8D0D97BADC77}" name="Parameters" dataDxfId="5"/>
    <tableColumn id="5" xr3:uid="{AA688AE3-B095-461C-B6E9-13454B67819F}" name="Array friendly"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3" dataDxfId="2">
  <autoFilter ref="L10:M216" xr:uid="{9B73C353-624B-4DAF-9E0A-1ED2AF16BB31}"/>
  <tableColumns count="2">
    <tableColumn id="1" xr3:uid="{EF4963FA-01A4-4AB4-B8F0-463A4B07267F}" name="ID" dataDxfId="1"/>
    <tableColumn id="2" xr3:uid="{3F72C192-AA7E-4BE5-B907-96303AB07CE8}" name="Langua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809</v>
      </c>
      <c r="C3" s="24"/>
      <c r="D3" s="24"/>
      <c r="E3" s="24"/>
      <c r="F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810</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811</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13"/>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105</v>
      </c>
    </row>
    <row r="8" spans="2:10" x14ac:dyDescent="0.25">
      <c r="B8" s="9" t="s">
        <v>4</v>
      </c>
      <c r="C8" s="9" t="s">
        <v>6</v>
      </c>
      <c r="D8" s="9" t="s">
        <v>5</v>
      </c>
      <c r="E8" s="9" t="s">
        <v>8</v>
      </c>
      <c r="F8" s="9" t="s">
        <v>15</v>
      </c>
    </row>
    <row r="9" spans="2:10" x14ac:dyDescent="0.25">
      <c r="B9" s="10" t="s">
        <v>57</v>
      </c>
      <c r="C9" s="9" t="s">
        <v>12</v>
      </c>
      <c r="D9" s="10" t="s">
        <v>62</v>
      </c>
      <c r="E9" s="10"/>
      <c r="F9" s="9" t="s">
        <v>443</v>
      </c>
    </row>
    <row r="10" spans="2:10" ht="58.5" x14ac:dyDescent="0.25">
      <c r="B10" s="10" t="s">
        <v>306</v>
      </c>
      <c r="C10" s="9" t="s">
        <v>12</v>
      </c>
      <c r="D10" s="10" t="s">
        <v>444</v>
      </c>
      <c r="E10" s="10"/>
      <c r="F10" s="9" t="s">
        <v>298</v>
      </c>
    </row>
    <row r="11" spans="2:10" x14ac:dyDescent="0.25">
      <c r="B11" s="10" t="s">
        <v>17</v>
      </c>
      <c r="C11" s="9" t="s">
        <v>12</v>
      </c>
      <c r="D11" s="10" t="s">
        <v>445</v>
      </c>
      <c r="E11" s="10"/>
      <c r="F11" s="9" t="s">
        <v>42</v>
      </c>
    </row>
    <row r="12" spans="2:10" ht="58.5" x14ac:dyDescent="0.25">
      <c r="B12" s="10" t="s">
        <v>446</v>
      </c>
      <c r="C12" s="9" t="s">
        <v>12</v>
      </c>
      <c r="D12" s="10" t="s">
        <v>447</v>
      </c>
      <c r="E12" s="10" t="s">
        <v>571</v>
      </c>
      <c r="F12" s="9" t="s">
        <v>448</v>
      </c>
    </row>
    <row r="13" spans="2:10" ht="39" x14ac:dyDescent="0.25">
      <c r="B13" s="10" t="s">
        <v>663</v>
      </c>
      <c r="C13" s="9" t="s">
        <v>12</v>
      </c>
      <c r="D13" s="10" t="s">
        <v>664</v>
      </c>
      <c r="E13" s="10"/>
      <c r="F13" s="9" t="s">
        <v>665</v>
      </c>
    </row>
    <row r="14" spans="2:10" ht="78" x14ac:dyDescent="0.25">
      <c r="B14" s="10" t="s">
        <v>45</v>
      </c>
      <c r="C14" s="9" t="s">
        <v>12</v>
      </c>
      <c r="D14" s="10" t="s">
        <v>652</v>
      </c>
      <c r="E14" s="10"/>
    </row>
    <row r="15" spans="2:10" ht="39" x14ac:dyDescent="0.25">
      <c r="B15" s="10" t="s">
        <v>831</v>
      </c>
      <c r="C15" s="9" t="s">
        <v>12</v>
      </c>
      <c r="D15" s="10" t="s">
        <v>832</v>
      </c>
      <c r="E15" s="10"/>
      <c r="F15" s="9" t="s">
        <v>833</v>
      </c>
    </row>
    <row r="16" spans="2:10" x14ac:dyDescent="0.25">
      <c r="B16" s="10" t="s">
        <v>657</v>
      </c>
      <c r="C16" s="9" t="s">
        <v>12</v>
      </c>
      <c r="D16" s="10" t="s">
        <v>706</v>
      </c>
      <c r="E16" s="10"/>
      <c r="F16" s="9" t="s">
        <v>707</v>
      </c>
    </row>
    <row r="17" spans="2:6" ht="58.5" x14ac:dyDescent="0.25">
      <c r="B17" s="10" t="s">
        <v>449</v>
      </c>
      <c r="C17" s="9" t="s">
        <v>12</v>
      </c>
      <c r="D17" s="10" t="s">
        <v>790</v>
      </c>
      <c r="E17" s="10"/>
    </row>
    <row r="18" spans="2:6" ht="52.5" customHeight="1" x14ac:dyDescent="0.25">
      <c r="B18" s="10" t="s">
        <v>450</v>
      </c>
      <c r="C18" s="9" t="s">
        <v>12</v>
      </c>
      <c r="D18" s="10" t="s">
        <v>553</v>
      </c>
      <c r="E18" s="10"/>
    </row>
    <row r="19" spans="2:6" ht="52.5" customHeight="1" x14ac:dyDescent="0.25">
      <c r="B19" s="10" t="s">
        <v>799</v>
      </c>
      <c r="C19" s="9" t="s">
        <v>12</v>
      </c>
      <c r="D19" s="10" t="s">
        <v>806</v>
      </c>
      <c r="E19" s="10" t="s">
        <v>800</v>
      </c>
      <c r="F19" s="9" t="s">
        <v>801</v>
      </c>
    </row>
    <row r="20" spans="2:6" x14ac:dyDescent="0.25">
      <c r="B20" s="10" t="s">
        <v>11</v>
      </c>
      <c r="C20" s="9" t="s">
        <v>12</v>
      </c>
      <c r="D20" s="10" t="s">
        <v>13</v>
      </c>
      <c r="E20" s="10"/>
      <c r="F20" s="9" t="s">
        <v>451</v>
      </c>
    </row>
    <row r="21" spans="2:6" x14ac:dyDescent="0.25">
      <c r="B21" s="10" t="s">
        <v>41</v>
      </c>
      <c r="C21" s="9" t="s">
        <v>12</v>
      </c>
      <c r="D21" s="10" t="s">
        <v>452</v>
      </c>
      <c r="E21" s="10"/>
      <c r="F21" s="9" t="s">
        <v>453</v>
      </c>
    </row>
    <row r="22" spans="2:6" ht="58.5" x14ac:dyDescent="0.25">
      <c r="B22" s="10" t="s">
        <v>63</v>
      </c>
      <c r="C22" s="9" t="s">
        <v>12</v>
      </c>
      <c r="D22" s="10" t="s">
        <v>834</v>
      </c>
      <c r="E22" s="10"/>
      <c r="F22" s="9" t="s">
        <v>454</v>
      </c>
    </row>
    <row r="23" spans="2:6" ht="58.5" x14ac:dyDescent="0.25">
      <c r="B23" s="10" t="s">
        <v>33</v>
      </c>
      <c r="C23" s="9" t="s">
        <v>12</v>
      </c>
      <c r="D23" s="10" t="s">
        <v>666</v>
      </c>
      <c r="E23" s="10"/>
      <c r="F23" s="9" t="s">
        <v>455</v>
      </c>
    </row>
    <row r="24" spans="2:6" ht="39" x14ac:dyDescent="0.25">
      <c r="B24" s="10" t="s">
        <v>837</v>
      </c>
      <c r="C24" s="9" t="s">
        <v>12</v>
      </c>
      <c r="D24" s="10" t="s">
        <v>838</v>
      </c>
      <c r="E24" s="10"/>
      <c r="F24" s="9" t="s">
        <v>839</v>
      </c>
    </row>
    <row r="25" spans="2:6" x14ac:dyDescent="0.25">
      <c r="B25" s="10" t="s">
        <v>18</v>
      </c>
      <c r="C25" s="9" t="s">
        <v>12</v>
      </c>
      <c r="D25" s="10" t="s">
        <v>456</v>
      </c>
      <c r="E25" s="10"/>
      <c r="F25" s="9" t="s">
        <v>457</v>
      </c>
    </row>
    <row r="26" spans="2:6" x14ac:dyDescent="0.25">
      <c r="B26" s="10" t="s">
        <v>58</v>
      </c>
      <c r="C26" s="9" t="s">
        <v>12</v>
      </c>
      <c r="D26" s="10" t="s">
        <v>570</v>
      </c>
      <c r="E26" s="10"/>
      <c r="F26" s="9" t="s">
        <v>458</v>
      </c>
    </row>
    <row r="27" spans="2:6" x14ac:dyDescent="0.25">
      <c r="B27" s="10" t="s">
        <v>459</v>
      </c>
      <c r="C27" s="9" t="s">
        <v>12</v>
      </c>
      <c r="D27" s="10" t="s">
        <v>460</v>
      </c>
      <c r="E27" s="10"/>
    </row>
    <row r="28" spans="2:6" ht="39" x14ac:dyDescent="0.25">
      <c r="B28" s="10" t="s">
        <v>461</v>
      </c>
      <c r="C28" s="9" t="s">
        <v>12</v>
      </c>
      <c r="D28" s="10" t="s">
        <v>462</v>
      </c>
      <c r="E28" s="10"/>
      <c r="F28" s="9" t="s">
        <v>56</v>
      </c>
    </row>
    <row r="29" spans="2:6" ht="39" x14ac:dyDescent="0.25">
      <c r="B29" s="10" t="s">
        <v>463</v>
      </c>
      <c r="C29" s="9" t="s">
        <v>12</v>
      </c>
      <c r="D29" s="10" t="s">
        <v>464</v>
      </c>
      <c r="E29" s="10"/>
      <c r="F29" s="9" t="s">
        <v>465</v>
      </c>
    </row>
    <row r="30" spans="2:6" ht="39" x14ac:dyDescent="0.25">
      <c r="B30" s="10" t="s">
        <v>466</v>
      </c>
      <c r="C30" s="9" t="s">
        <v>12</v>
      </c>
      <c r="D30" s="10" t="s">
        <v>467</v>
      </c>
      <c r="E30" s="10"/>
    </row>
    <row r="31" spans="2:6" ht="39" x14ac:dyDescent="0.25">
      <c r="B31" s="10" t="s">
        <v>468</v>
      </c>
      <c r="C31" s="9" t="s">
        <v>12</v>
      </c>
      <c r="D31" s="10" t="s">
        <v>802</v>
      </c>
      <c r="E31" s="10"/>
      <c r="F31" s="9" t="s">
        <v>469</v>
      </c>
    </row>
    <row r="32" spans="2:6" ht="39" x14ac:dyDescent="0.25">
      <c r="B32" s="10" t="s">
        <v>49</v>
      </c>
      <c r="C32" s="9" t="s">
        <v>12</v>
      </c>
      <c r="D32" s="10" t="s">
        <v>758</v>
      </c>
      <c r="E32" s="10"/>
      <c r="F32" s="9" t="s">
        <v>470</v>
      </c>
    </row>
    <row r="33" spans="2:6" ht="39" x14ac:dyDescent="0.25">
      <c r="B33" s="10" t="s">
        <v>471</v>
      </c>
      <c r="C33" s="9" t="s">
        <v>12</v>
      </c>
      <c r="D33" s="10" t="s">
        <v>554</v>
      </c>
      <c r="E33" s="10" t="s">
        <v>762</v>
      </c>
      <c r="F33" s="9" t="s">
        <v>472</v>
      </c>
    </row>
    <row r="34" spans="2:6" ht="58.5" x14ac:dyDescent="0.25">
      <c r="B34" s="10" t="s">
        <v>473</v>
      </c>
      <c r="C34" s="9" t="s">
        <v>12</v>
      </c>
      <c r="D34" s="10" t="s">
        <v>763</v>
      </c>
      <c r="E34" s="10"/>
      <c r="F34" s="9" t="s">
        <v>474</v>
      </c>
    </row>
    <row r="35" spans="2:6" ht="58.5" x14ac:dyDescent="0.25">
      <c r="B35" s="10" t="s">
        <v>475</v>
      </c>
      <c r="C35" s="9" t="s">
        <v>12</v>
      </c>
      <c r="D35" s="10" t="s">
        <v>759</v>
      </c>
      <c r="E35" s="10" t="s">
        <v>760</v>
      </c>
      <c r="F35" s="9" t="s">
        <v>476</v>
      </c>
    </row>
    <row r="36" spans="2:6" ht="39" x14ac:dyDescent="0.25">
      <c r="B36" s="10" t="s">
        <v>477</v>
      </c>
      <c r="C36" s="9" t="s">
        <v>12</v>
      </c>
      <c r="D36" s="10" t="s">
        <v>765</v>
      </c>
      <c r="E36" s="10"/>
      <c r="F36" s="9" t="s">
        <v>478</v>
      </c>
    </row>
    <row r="37" spans="2:6" x14ac:dyDescent="0.25">
      <c r="B37" s="10" t="s">
        <v>779</v>
      </c>
      <c r="C37" s="9" t="s">
        <v>12</v>
      </c>
      <c r="D37" s="10" t="s">
        <v>780</v>
      </c>
      <c r="E37" s="10"/>
      <c r="F37" s="9" t="s">
        <v>781</v>
      </c>
    </row>
    <row r="38" spans="2:6" x14ac:dyDescent="0.25">
      <c r="B38" s="10" t="s">
        <v>782</v>
      </c>
      <c r="C38" s="9" t="s">
        <v>12</v>
      </c>
      <c r="D38" s="10" t="s">
        <v>783</v>
      </c>
      <c r="E38" s="10"/>
      <c r="F38" s="9" t="s">
        <v>784</v>
      </c>
    </row>
    <row r="39" spans="2:6" ht="58.5" x14ac:dyDescent="0.25">
      <c r="B39" s="10" t="s">
        <v>54</v>
      </c>
      <c r="C39" s="9" t="s">
        <v>12</v>
      </c>
      <c r="D39" s="10" t="s">
        <v>692</v>
      </c>
      <c r="E39" s="10"/>
      <c r="F39" s="9" t="s">
        <v>693</v>
      </c>
    </row>
    <row r="40" spans="2:6" x14ac:dyDescent="0.25">
      <c r="B40" s="10" t="s">
        <v>301</v>
      </c>
      <c r="C40" s="9" t="s">
        <v>12</v>
      </c>
      <c r="D40" s="10" t="s">
        <v>479</v>
      </c>
      <c r="E40" s="10"/>
      <c r="F40" s="9" t="s">
        <v>303</v>
      </c>
    </row>
    <row r="41" spans="2:6" ht="39" x14ac:dyDescent="0.25">
      <c r="B41" s="10" t="s">
        <v>703</v>
      </c>
      <c r="C41" s="9" t="s">
        <v>12</v>
      </c>
      <c r="D41" s="10" t="s">
        <v>704</v>
      </c>
      <c r="E41" s="10"/>
      <c r="F41" s="9" t="s">
        <v>705</v>
      </c>
    </row>
    <row r="42" spans="2:6" ht="39" x14ac:dyDescent="0.25">
      <c r="B42" s="10" t="s">
        <v>64</v>
      </c>
      <c r="C42" s="9" t="s">
        <v>12</v>
      </c>
      <c r="D42" s="10" t="s">
        <v>803</v>
      </c>
      <c r="E42" s="10"/>
      <c r="F42" s="9" t="s">
        <v>37</v>
      </c>
    </row>
    <row r="43" spans="2:6" ht="39" x14ac:dyDescent="0.25">
      <c r="B43" s="10" t="s">
        <v>661</v>
      </c>
      <c r="C43" s="9" t="s">
        <v>12</v>
      </c>
      <c r="D43" s="10" t="s">
        <v>662</v>
      </c>
      <c r="E43" s="10"/>
    </row>
    <row r="44" spans="2:6" ht="58.5" x14ac:dyDescent="0.25">
      <c r="B44" s="10" t="s">
        <v>61</v>
      </c>
      <c r="C44" s="9" t="s">
        <v>12</v>
      </c>
      <c r="D44" s="10" t="s">
        <v>835</v>
      </c>
      <c r="E44" s="10"/>
      <c r="F44" s="9" t="s">
        <v>656</v>
      </c>
    </row>
    <row r="45" spans="2:6" ht="39" x14ac:dyDescent="0.25">
      <c r="B45" s="10" t="s">
        <v>654</v>
      </c>
      <c r="C45" s="9" t="s">
        <v>12</v>
      </c>
      <c r="D45" s="10" t="s">
        <v>696</v>
      </c>
      <c r="E45" s="10"/>
      <c r="F45" s="9" t="s">
        <v>655</v>
      </c>
    </row>
    <row r="46" spans="2:6" ht="39" x14ac:dyDescent="0.25">
      <c r="B46" s="10" t="s">
        <v>80</v>
      </c>
      <c r="C46" s="9" t="s">
        <v>12</v>
      </c>
      <c r="D46" s="10" t="s">
        <v>480</v>
      </c>
      <c r="E46" s="10"/>
      <c r="F46" s="9" t="s">
        <v>81</v>
      </c>
    </row>
    <row r="47" spans="2:6" ht="39" x14ac:dyDescent="0.25">
      <c r="B47" s="10" t="s">
        <v>770</v>
      </c>
      <c r="C47" s="9" t="s">
        <v>12</v>
      </c>
      <c r="D47" s="10" t="s">
        <v>771</v>
      </c>
      <c r="E47" s="10"/>
      <c r="F47" s="9" t="s">
        <v>772</v>
      </c>
    </row>
    <row r="48" spans="2:6" ht="39" x14ac:dyDescent="0.25">
      <c r="B48" s="10" t="s">
        <v>776</v>
      </c>
      <c r="C48" s="9" t="s">
        <v>12</v>
      </c>
      <c r="D48" s="10" t="s">
        <v>777</v>
      </c>
      <c r="E48" s="10"/>
      <c r="F48" s="9" t="s">
        <v>778</v>
      </c>
    </row>
    <row r="49" spans="2:6" ht="58.5" x14ac:dyDescent="0.25">
      <c r="B49" s="10" t="s">
        <v>827</v>
      </c>
      <c r="C49" s="9" t="s">
        <v>12</v>
      </c>
      <c r="D49" s="10" t="s">
        <v>828</v>
      </c>
      <c r="E49" s="10" t="s">
        <v>829</v>
      </c>
      <c r="F49" s="9" t="s">
        <v>830</v>
      </c>
    </row>
    <row r="50" spans="2:6" ht="39" x14ac:dyDescent="0.25">
      <c r="B50" s="10" t="s">
        <v>708</v>
      </c>
      <c r="C50" s="9" t="s">
        <v>12</v>
      </c>
      <c r="D50" s="10" t="s">
        <v>709</v>
      </c>
      <c r="E50" s="10"/>
      <c r="F50" s="9" t="s">
        <v>840</v>
      </c>
    </row>
    <row r="51" spans="2:6" ht="39" x14ac:dyDescent="0.25">
      <c r="B51" s="10" t="s">
        <v>717</v>
      </c>
      <c r="C51" s="9" t="s">
        <v>12</v>
      </c>
      <c r="D51" s="10" t="s">
        <v>841</v>
      </c>
      <c r="E51" s="10"/>
      <c r="F51" s="9" t="s">
        <v>842</v>
      </c>
    </row>
    <row r="52" spans="2:6" ht="39" x14ac:dyDescent="0.25">
      <c r="B52" s="10" t="s">
        <v>481</v>
      </c>
      <c r="C52" s="9" t="s">
        <v>12</v>
      </c>
      <c r="D52" s="10" t="s">
        <v>766</v>
      </c>
      <c r="E52" s="10"/>
      <c r="F52" s="9" t="s">
        <v>482</v>
      </c>
    </row>
    <row r="53" spans="2:6" ht="39" x14ac:dyDescent="0.25">
      <c r="B53" s="10" t="s">
        <v>483</v>
      </c>
      <c r="C53" s="9" t="s">
        <v>12</v>
      </c>
      <c r="D53" s="10" t="s">
        <v>555</v>
      </c>
      <c r="E53" s="10"/>
    </row>
    <row r="54" spans="2:6" ht="58.5" x14ac:dyDescent="0.25">
      <c r="B54" s="10" t="s">
        <v>785</v>
      </c>
      <c r="C54" s="9" t="s">
        <v>12</v>
      </c>
      <c r="D54" s="10" t="s">
        <v>786</v>
      </c>
      <c r="E54" s="10"/>
      <c r="F54" s="9" t="s">
        <v>787</v>
      </c>
    </row>
    <row r="55" spans="2:6" ht="39" x14ac:dyDescent="0.25">
      <c r="B55" s="10" t="s">
        <v>484</v>
      </c>
      <c r="C55" s="9" t="s">
        <v>12</v>
      </c>
      <c r="D55" s="10" t="s">
        <v>485</v>
      </c>
      <c r="E55" s="10"/>
      <c r="F55" s="9" t="s">
        <v>843</v>
      </c>
    </row>
    <row r="56" spans="2:6" ht="58.5" x14ac:dyDescent="0.25">
      <c r="B56" s="10" t="s">
        <v>486</v>
      </c>
      <c r="C56" s="9" t="s">
        <v>12</v>
      </c>
      <c r="D56" s="10" t="s">
        <v>487</v>
      </c>
      <c r="E56" s="10" t="s">
        <v>572</v>
      </c>
      <c r="F56" s="9" t="s">
        <v>488</v>
      </c>
    </row>
    <row r="57" spans="2:6" x14ac:dyDescent="0.25">
      <c r="B57" s="10" t="s">
        <v>65</v>
      </c>
      <c r="C57" s="9" t="s">
        <v>12</v>
      </c>
      <c r="D57" s="10" t="s">
        <v>66</v>
      </c>
      <c r="E57" s="10"/>
      <c r="F57" s="9" t="s">
        <v>489</v>
      </c>
    </row>
    <row r="58" spans="2:6" ht="39" x14ac:dyDescent="0.25">
      <c r="B58" s="10" t="s">
        <v>767</v>
      </c>
      <c r="C58" s="9" t="s">
        <v>12</v>
      </c>
      <c r="D58" s="10" t="s">
        <v>768</v>
      </c>
      <c r="E58" s="10"/>
      <c r="F58" s="9" t="s">
        <v>769</v>
      </c>
    </row>
    <row r="59" spans="2:6" ht="39" x14ac:dyDescent="0.25">
      <c r="B59" s="10" t="s">
        <v>773</v>
      </c>
      <c r="C59" s="9" t="s">
        <v>12</v>
      </c>
      <c r="D59" s="10" t="s">
        <v>774</v>
      </c>
      <c r="E59" s="10"/>
      <c r="F59" s="9" t="s">
        <v>775</v>
      </c>
    </row>
    <row r="60" spans="2:6" x14ac:dyDescent="0.25">
      <c r="B60" s="10" t="s">
        <v>699</v>
      </c>
      <c r="C60" s="9" t="s">
        <v>12</v>
      </c>
      <c r="D60" s="10" t="s">
        <v>700</v>
      </c>
      <c r="E60" s="10"/>
      <c r="F60" s="9" t="s">
        <v>701</v>
      </c>
    </row>
    <row r="61" spans="2:6" ht="39" x14ac:dyDescent="0.25">
      <c r="B61" s="10" t="s">
        <v>490</v>
      </c>
      <c r="C61" s="9" t="s">
        <v>12</v>
      </c>
      <c r="D61" s="10" t="s">
        <v>491</v>
      </c>
      <c r="E61" s="10"/>
      <c r="F61" s="9" t="s">
        <v>490</v>
      </c>
    </row>
    <row r="62" spans="2:6" ht="39" x14ac:dyDescent="0.25">
      <c r="B62" s="10" t="s">
        <v>492</v>
      </c>
      <c r="C62" s="9" t="s">
        <v>12</v>
      </c>
      <c r="D62" s="10" t="s">
        <v>556</v>
      </c>
      <c r="E62" s="10" t="s">
        <v>573</v>
      </c>
      <c r="F62" s="9" t="s">
        <v>493</v>
      </c>
    </row>
    <row r="63" spans="2:6" ht="39" x14ac:dyDescent="0.25">
      <c r="B63" s="10" t="s">
        <v>494</v>
      </c>
      <c r="C63" s="9" t="s">
        <v>12</v>
      </c>
      <c r="D63" s="10" t="s">
        <v>798</v>
      </c>
      <c r="E63" s="10" t="s">
        <v>573</v>
      </c>
      <c r="F63" s="9" t="s">
        <v>495</v>
      </c>
    </row>
    <row r="64" spans="2:6" x14ac:dyDescent="0.25">
      <c r="B64" s="10" t="s">
        <v>34</v>
      </c>
      <c r="C64" s="9" t="s">
        <v>12</v>
      </c>
      <c r="D64" s="10" t="s">
        <v>496</v>
      </c>
      <c r="E64" s="10"/>
      <c r="F64" s="9" t="s">
        <v>497</v>
      </c>
    </row>
    <row r="65" spans="2:6" ht="39" x14ac:dyDescent="0.25">
      <c r="B65" s="10" t="s">
        <v>67</v>
      </c>
      <c r="C65" s="9" t="s">
        <v>12</v>
      </c>
      <c r="D65" s="10" t="s">
        <v>498</v>
      </c>
      <c r="E65" s="10"/>
      <c r="F65" s="9" t="s">
        <v>35</v>
      </c>
    </row>
    <row r="66" spans="2:6" x14ac:dyDescent="0.25">
      <c r="B66" s="10" t="s">
        <v>59</v>
      </c>
      <c r="C66" s="9" t="s">
        <v>12</v>
      </c>
      <c r="D66" s="10" t="s">
        <v>68</v>
      </c>
      <c r="E66" s="10"/>
      <c r="F66" s="9" t="s">
        <v>499</v>
      </c>
    </row>
    <row r="67" spans="2:6" ht="39" x14ac:dyDescent="0.25">
      <c r="B67" s="10" t="s">
        <v>500</v>
      </c>
      <c r="C67" s="9" t="s">
        <v>12</v>
      </c>
      <c r="D67" s="10" t="s">
        <v>501</v>
      </c>
      <c r="E67" s="10"/>
      <c r="F67" s="9" t="s">
        <v>502</v>
      </c>
    </row>
    <row r="68" spans="2:6" ht="39" x14ac:dyDescent="0.25">
      <c r="B68" s="10" t="s">
        <v>503</v>
      </c>
      <c r="C68" s="9" t="s">
        <v>12</v>
      </c>
      <c r="D68" s="10" t="s">
        <v>804</v>
      </c>
      <c r="E68" s="10"/>
      <c r="F68" s="9" t="s">
        <v>504</v>
      </c>
    </row>
    <row r="69" spans="2:6" x14ac:dyDescent="0.25">
      <c r="B69" s="10" t="s">
        <v>505</v>
      </c>
      <c r="C69" s="9" t="s">
        <v>12</v>
      </c>
      <c r="D69" s="10" t="s">
        <v>506</v>
      </c>
      <c r="E69" s="10"/>
      <c r="F69" s="9" t="s">
        <v>507</v>
      </c>
    </row>
    <row r="70" spans="2:6" ht="39" x14ac:dyDescent="0.25">
      <c r="B70" s="10" t="s">
        <v>508</v>
      </c>
      <c r="C70" s="9" t="s">
        <v>12</v>
      </c>
      <c r="D70" s="10" t="s">
        <v>509</v>
      </c>
      <c r="E70" s="10"/>
      <c r="F70" s="9" t="s">
        <v>510</v>
      </c>
    </row>
    <row r="71" spans="2:6" ht="58.5" x14ac:dyDescent="0.25">
      <c r="B71" s="10" t="s">
        <v>788</v>
      </c>
      <c r="C71" s="9" t="s">
        <v>12</v>
      </c>
      <c r="D71" s="10" t="s">
        <v>807</v>
      </c>
      <c r="E71" s="10"/>
      <c r="F71" s="9" t="s">
        <v>789</v>
      </c>
    </row>
    <row r="72" spans="2:6" ht="39" x14ac:dyDescent="0.25">
      <c r="B72" s="10" t="s">
        <v>69</v>
      </c>
      <c r="C72" s="9" t="s">
        <v>12</v>
      </c>
      <c r="D72" s="10" t="s">
        <v>695</v>
      </c>
      <c r="E72" s="10"/>
      <c r="F72" s="9" t="s">
        <v>511</v>
      </c>
    </row>
    <row r="73" spans="2:6" x14ac:dyDescent="0.25">
      <c r="B73" s="10" t="s">
        <v>512</v>
      </c>
      <c r="C73" s="9" t="s">
        <v>12</v>
      </c>
      <c r="D73" s="10" t="s">
        <v>513</v>
      </c>
      <c r="E73" s="10"/>
      <c r="F73" s="9" t="s">
        <v>514</v>
      </c>
    </row>
    <row r="74" spans="2:6" x14ac:dyDescent="0.25">
      <c r="B74" s="10" t="s">
        <v>302</v>
      </c>
      <c r="C74" s="9" t="s">
        <v>12</v>
      </c>
      <c r="D74" s="10" t="s">
        <v>515</v>
      </c>
      <c r="E74" s="10"/>
      <c r="F74" s="9" t="s">
        <v>516</v>
      </c>
    </row>
    <row r="75" spans="2:6" ht="39" x14ac:dyDescent="0.25">
      <c r="B75" s="10" t="s">
        <v>517</v>
      </c>
      <c r="C75" s="9" t="s">
        <v>12</v>
      </c>
      <c r="D75" s="10" t="s">
        <v>764</v>
      </c>
      <c r="E75" s="10"/>
      <c r="F75" s="9" t="s">
        <v>518</v>
      </c>
    </row>
    <row r="76" spans="2:6" ht="58.5" x14ac:dyDescent="0.25">
      <c r="B76" s="10" t="s">
        <v>297</v>
      </c>
      <c r="C76" s="9" t="s">
        <v>12</v>
      </c>
      <c r="D76" s="10" t="s">
        <v>557</v>
      </c>
      <c r="E76" s="10"/>
      <c r="F76" s="9" t="s">
        <v>519</v>
      </c>
    </row>
    <row r="77" spans="2:6" ht="39" x14ac:dyDescent="0.25">
      <c r="B77" s="10" t="s">
        <v>520</v>
      </c>
      <c r="C77" s="9" t="s">
        <v>12</v>
      </c>
      <c r="D77" s="10" t="s">
        <v>521</v>
      </c>
      <c r="E77" s="10"/>
      <c r="F77" s="9" t="s">
        <v>844</v>
      </c>
    </row>
    <row r="78" spans="2:6" ht="39" x14ac:dyDescent="0.25">
      <c r="B78" s="10" t="s">
        <v>748</v>
      </c>
      <c r="C78" s="9" t="s">
        <v>12</v>
      </c>
      <c r="D78" s="10" t="s">
        <v>749</v>
      </c>
      <c r="E78" s="10"/>
      <c r="F78" s="9" t="s">
        <v>750</v>
      </c>
    </row>
    <row r="79" spans="2:6" ht="58.5" x14ac:dyDescent="0.25">
      <c r="B79" s="10" t="s">
        <v>755</v>
      </c>
      <c r="C79" s="9" t="s">
        <v>12</v>
      </c>
      <c r="D79" s="10" t="s">
        <v>756</v>
      </c>
      <c r="E79" s="10"/>
      <c r="F79" s="9" t="s">
        <v>757</v>
      </c>
    </row>
    <row r="80" spans="2:6" ht="58.5" x14ac:dyDescent="0.25">
      <c r="B80" s="10" t="s">
        <v>751</v>
      </c>
      <c r="C80" s="9" t="s">
        <v>12</v>
      </c>
      <c r="D80" s="10" t="s">
        <v>752</v>
      </c>
      <c r="E80" s="10" t="s">
        <v>753</v>
      </c>
      <c r="F80" s="9" t="s">
        <v>754</v>
      </c>
    </row>
    <row r="81" spans="2:6" ht="39" x14ac:dyDescent="0.25">
      <c r="B81" s="10" t="s">
        <v>718</v>
      </c>
      <c r="C81" s="9" t="s">
        <v>12</v>
      </c>
      <c r="D81" s="10" t="s">
        <v>719</v>
      </c>
      <c r="E81" s="10"/>
      <c r="F81" s="9" t="s">
        <v>720</v>
      </c>
    </row>
    <row r="82" spans="2:6" ht="39" x14ac:dyDescent="0.25">
      <c r="B82" s="10" t="s">
        <v>721</v>
      </c>
      <c r="C82" s="9" t="s">
        <v>12</v>
      </c>
      <c r="D82" s="10" t="s">
        <v>722</v>
      </c>
      <c r="E82" s="10"/>
      <c r="F82" s="9" t="s">
        <v>723</v>
      </c>
    </row>
    <row r="83" spans="2:6" ht="39" x14ac:dyDescent="0.25">
      <c r="B83" s="10" t="s">
        <v>724</v>
      </c>
      <c r="C83" s="9" t="s">
        <v>12</v>
      </c>
      <c r="D83" s="10" t="s">
        <v>725</v>
      </c>
      <c r="E83" s="10"/>
      <c r="F83" s="9" t="s">
        <v>726</v>
      </c>
    </row>
    <row r="84" spans="2:6" ht="39" x14ac:dyDescent="0.25">
      <c r="B84" s="10" t="s">
        <v>727</v>
      </c>
      <c r="C84" s="9" t="s">
        <v>12</v>
      </c>
      <c r="D84" s="10" t="s">
        <v>728</v>
      </c>
      <c r="E84" s="10"/>
      <c r="F84" s="9" t="s">
        <v>729</v>
      </c>
    </row>
    <row r="85" spans="2:6" ht="39" x14ac:dyDescent="0.25">
      <c r="B85" s="10" t="s">
        <v>730</v>
      </c>
      <c r="C85" s="9" t="s">
        <v>12</v>
      </c>
      <c r="D85" s="10" t="s">
        <v>731</v>
      </c>
      <c r="E85" s="10"/>
      <c r="F85" s="9" t="s">
        <v>732</v>
      </c>
    </row>
    <row r="86" spans="2:6" ht="39" x14ac:dyDescent="0.25">
      <c r="B86" s="10" t="s">
        <v>522</v>
      </c>
      <c r="C86" s="9" t="s">
        <v>12</v>
      </c>
      <c r="D86" s="10" t="s">
        <v>523</v>
      </c>
      <c r="E86" s="10"/>
      <c r="F86" s="9" t="s">
        <v>38</v>
      </c>
    </row>
    <row r="87" spans="2:6" ht="39" x14ac:dyDescent="0.25">
      <c r="B87" s="10" t="s">
        <v>43</v>
      </c>
      <c r="C87" s="9" t="s">
        <v>12</v>
      </c>
      <c r="D87" s="10" t="s">
        <v>524</v>
      </c>
      <c r="E87" s="10"/>
      <c r="F87" s="9" t="s">
        <v>44</v>
      </c>
    </row>
    <row r="88" spans="2:6" ht="58.5" x14ac:dyDescent="0.25">
      <c r="B88" s="10" t="s">
        <v>525</v>
      </c>
      <c r="C88" s="9" t="s">
        <v>12</v>
      </c>
      <c r="D88" s="10" t="s">
        <v>836</v>
      </c>
      <c r="E88" s="10"/>
      <c r="F88" s="9" t="s">
        <v>526</v>
      </c>
    </row>
    <row r="89" spans="2:6" x14ac:dyDescent="0.25">
      <c r="B89" s="10" t="s">
        <v>48</v>
      </c>
      <c r="C89" s="9" t="s">
        <v>12</v>
      </c>
      <c r="D89" s="10" t="s">
        <v>70</v>
      </c>
      <c r="E89" s="10"/>
      <c r="F89" s="9" t="s">
        <v>527</v>
      </c>
    </row>
    <row r="90" spans="2:6" ht="39" x14ac:dyDescent="0.25">
      <c r="B90" s="10" t="s">
        <v>658</v>
      </c>
      <c r="C90" s="9" t="s">
        <v>12</v>
      </c>
      <c r="D90" s="10" t="s">
        <v>659</v>
      </c>
      <c r="E90" s="10"/>
      <c r="F90" s="9" t="s">
        <v>660</v>
      </c>
    </row>
    <row r="91" spans="2:6" ht="39" x14ac:dyDescent="0.25">
      <c r="B91" s="10" t="s">
        <v>824</v>
      </c>
      <c r="C91" s="9" t="s">
        <v>12</v>
      </c>
      <c r="D91" s="10" t="s">
        <v>825</v>
      </c>
      <c r="E91" s="10"/>
      <c r="F91" s="9" t="s">
        <v>826</v>
      </c>
    </row>
    <row r="92" spans="2:6" ht="39" x14ac:dyDescent="0.25">
      <c r="B92" s="10" t="s">
        <v>667</v>
      </c>
      <c r="C92" s="9" t="s">
        <v>12</v>
      </c>
      <c r="D92" s="10" t="s">
        <v>697</v>
      </c>
      <c r="E92" s="10"/>
      <c r="F92" s="9" t="s">
        <v>698</v>
      </c>
    </row>
    <row r="93" spans="2:6" ht="39" x14ac:dyDescent="0.25">
      <c r="B93" s="10" t="s">
        <v>528</v>
      </c>
      <c r="C93" s="9" t="s">
        <v>12</v>
      </c>
      <c r="D93" s="10" t="s">
        <v>529</v>
      </c>
      <c r="E93" s="10"/>
      <c r="F93" s="9" t="s">
        <v>530</v>
      </c>
    </row>
    <row r="94" spans="2:6" ht="58.5" x14ac:dyDescent="0.25">
      <c r="B94" s="10" t="s">
        <v>82</v>
      </c>
      <c r="C94" s="9" t="s">
        <v>12</v>
      </c>
      <c r="D94" s="10" t="s">
        <v>761</v>
      </c>
      <c r="E94" s="10"/>
      <c r="F94" s="9" t="s">
        <v>83</v>
      </c>
    </row>
    <row r="95" spans="2:6" ht="39" x14ac:dyDescent="0.25">
      <c r="B95" s="10" t="s">
        <v>531</v>
      </c>
      <c r="C95" s="9" t="s">
        <v>12</v>
      </c>
      <c r="D95" s="10" t="s">
        <v>532</v>
      </c>
      <c r="E95" s="10"/>
      <c r="F95" s="9" t="s">
        <v>533</v>
      </c>
    </row>
    <row r="96" spans="2:6" ht="39" x14ac:dyDescent="0.25">
      <c r="B96" s="10" t="s">
        <v>534</v>
      </c>
      <c r="C96" s="9" t="s">
        <v>12</v>
      </c>
      <c r="D96" s="10" t="s">
        <v>535</v>
      </c>
      <c r="E96" s="10"/>
      <c r="F96" s="9" t="s">
        <v>536</v>
      </c>
    </row>
    <row r="97" spans="2:6" ht="39" x14ac:dyDescent="0.25">
      <c r="B97" s="10" t="s">
        <v>537</v>
      </c>
      <c r="C97" s="9" t="s">
        <v>12</v>
      </c>
      <c r="D97" s="10" t="s">
        <v>558</v>
      </c>
      <c r="E97" s="10"/>
      <c r="F97" s="9" t="s">
        <v>538</v>
      </c>
    </row>
    <row r="98" spans="2:6" ht="39" x14ac:dyDescent="0.25">
      <c r="B98" s="10" t="s">
        <v>539</v>
      </c>
      <c r="C98" s="9" t="s">
        <v>12</v>
      </c>
      <c r="D98" s="10" t="s">
        <v>540</v>
      </c>
      <c r="E98" s="10"/>
      <c r="F98" s="9" t="s">
        <v>541</v>
      </c>
    </row>
    <row r="99" spans="2:6" ht="39" x14ac:dyDescent="0.25">
      <c r="B99" s="10" t="s">
        <v>742</v>
      </c>
      <c r="C99" s="9" t="s">
        <v>12</v>
      </c>
      <c r="D99" s="10" t="s">
        <v>743</v>
      </c>
      <c r="E99" s="10"/>
      <c r="F99" s="9" t="s">
        <v>744</v>
      </c>
    </row>
    <row r="100" spans="2:6" ht="39" x14ac:dyDescent="0.25">
      <c r="B100" s="10" t="s">
        <v>542</v>
      </c>
      <c r="C100" s="9" t="s">
        <v>12</v>
      </c>
      <c r="D100" s="10" t="s">
        <v>740</v>
      </c>
      <c r="E100" s="10"/>
      <c r="F100" s="9" t="s">
        <v>741</v>
      </c>
    </row>
    <row r="101" spans="2:6" ht="39" x14ac:dyDescent="0.25">
      <c r="B101" s="10" t="s">
        <v>71</v>
      </c>
      <c r="C101" s="9" t="s">
        <v>12</v>
      </c>
      <c r="D101" s="10" t="s">
        <v>543</v>
      </c>
      <c r="E101" s="10"/>
      <c r="F101" s="9" t="s">
        <v>39</v>
      </c>
    </row>
    <row r="102" spans="2:6" x14ac:dyDescent="0.25">
      <c r="B102" s="10" t="s">
        <v>72</v>
      </c>
      <c r="C102" s="9" t="s">
        <v>12</v>
      </c>
      <c r="D102" s="10" t="s">
        <v>544</v>
      </c>
      <c r="E102" s="10"/>
      <c r="F102" s="9" t="s">
        <v>40</v>
      </c>
    </row>
    <row r="103" spans="2:6" ht="58.5" x14ac:dyDescent="0.25">
      <c r="B103" s="10" t="s">
        <v>545</v>
      </c>
      <c r="C103" s="9" t="s">
        <v>12</v>
      </c>
      <c r="D103" s="10" t="s">
        <v>694</v>
      </c>
      <c r="E103" s="10"/>
    </row>
    <row r="104" spans="2:6" x14ac:dyDescent="0.25">
      <c r="B104" s="10" t="s">
        <v>299</v>
      </c>
      <c r="C104" s="9" t="s">
        <v>12</v>
      </c>
      <c r="D104" s="10" t="s">
        <v>813</v>
      </c>
      <c r="E104" s="10"/>
      <c r="F104" s="9" t="s">
        <v>300</v>
      </c>
    </row>
    <row r="105" spans="2:6" ht="39" x14ac:dyDescent="0.25">
      <c r="B105" s="10" t="s">
        <v>546</v>
      </c>
      <c r="C105" s="9" t="s">
        <v>12</v>
      </c>
      <c r="D105" s="10" t="s">
        <v>559</v>
      </c>
      <c r="E105" s="10" t="s">
        <v>574</v>
      </c>
      <c r="F105" s="9" t="s">
        <v>547</v>
      </c>
    </row>
    <row r="106" spans="2:6" ht="39" x14ac:dyDescent="0.25">
      <c r="B106" s="10" t="s">
        <v>73</v>
      </c>
      <c r="C106" s="9" t="s">
        <v>12</v>
      </c>
      <c r="D106" s="10" t="s">
        <v>560</v>
      </c>
      <c r="E106" s="10"/>
      <c r="F106" s="9" t="s">
        <v>74</v>
      </c>
    </row>
    <row r="107" spans="2:6" ht="39" x14ac:dyDescent="0.25">
      <c r="B107" s="10" t="s">
        <v>52</v>
      </c>
      <c r="C107" s="9" t="s">
        <v>12</v>
      </c>
      <c r="D107" s="10" t="s">
        <v>561</v>
      </c>
      <c r="E107" s="10"/>
      <c r="F107" s="9" t="s">
        <v>548</v>
      </c>
    </row>
    <row r="108" spans="2:6" ht="39" x14ac:dyDescent="0.25">
      <c r="B108" s="10" t="s">
        <v>51</v>
      </c>
      <c r="C108" s="9" t="s">
        <v>12</v>
      </c>
      <c r="D108" s="10" t="s">
        <v>549</v>
      </c>
      <c r="E108" s="10"/>
      <c r="F108" s="9" t="s">
        <v>50</v>
      </c>
    </row>
    <row r="109" spans="2:6" ht="39" x14ac:dyDescent="0.25">
      <c r="B109" s="10" t="s">
        <v>75</v>
      </c>
      <c r="C109" s="9" t="s">
        <v>12</v>
      </c>
      <c r="D109" s="10" t="s">
        <v>76</v>
      </c>
      <c r="E109" s="10"/>
      <c r="F109" s="9" t="s">
        <v>77</v>
      </c>
    </row>
    <row r="110" spans="2:6" ht="39" x14ac:dyDescent="0.25">
      <c r="B110" s="10" t="s">
        <v>78</v>
      </c>
      <c r="C110" s="9" t="s">
        <v>12</v>
      </c>
      <c r="D110" s="10" t="s">
        <v>562</v>
      </c>
      <c r="E110" s="10"/>
      <c r="F110" s="9" t="s">
        <v>550</v>
      </c>
    </row>
    <row r="111" spans="2:6" ht="58.5" x14ac:dyDescent="0.25">
      <c r="B111" s="10" t="s">
        <v>55</v>
      </c>
      <c r="C111" s="9" t="s">
        <v>12</v>
      </c>
      <c r="D111" s="10" t="s">
        <v>563</v>
      </c>
      <c r="E111" s="10"/>
      <c r="F111" s="9" t="s">
        <v>551</v>
      </c>
    </row>
    <row r="112" spans="2:6" ht="39" x14ac:dyDescent="0.25">
      <c r="B112" s="10" t="s">
        <v>304</v>
      </c>
      <c r="C112" s="9" t="s">
        <v>12</v>
      </c>
      <c r="D112" s="10" t="s">
        <v>805</v>
      </c>
      <c r="E112" s="10"/>
      <c r="F112" s="9" t="s">
        <v>305</v>
      </c>
    </row>
    <row r="113" spans="2:6" ht="39" x14ac:dyDescent="0.25">
      <c r="B113" s="10" t="s">
        <v>53</v>
      </c>
      <c r="C113" s="9" t="s">
        <v>12</v>
      </c>
      <c r="D113" s="10" t="s">
        <v>79</v>
      </c>
      <c r="E113" s="10"/>
      <c r="F113" s="9" t="s">
        <v>552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3"/>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808</v>
      </c>
      <c r="C6" s="5"/>
      <c r="D6" s="5"/>
      <c r="E6" s="5"/>
      <c r="F6" s="5"/>
      <c r="G6" s="6"/>
      <c r="H6" s="6"/>
      <c r="I6" s="6"/>
      <c r="J6" s="6"/>
    </row>
    <row r="7" spans="2:10" x14ac:dyDescent="0.25">
      <c r="B7" s="9">
        <f>ROWS(Lambdas[])</f>
        <v>75</v>
      </c>
    </row>
    <row r="8" spans="2:10" x14ac:dyDescent="0.25">
      <c r="B8" s="9" t="s">
        <v>4</v>
      </c>
      <c r="C8" s="9" t="s">
        <v>6</v>
      </c>
      <c r="D8" s="9" t="s">
        <v>5</v>
      </c>
      <c r="E8" s="9" t="s">
        <v>8</v>
      </c>
      <c r="F8" s="9" t="s">
        <v>9</v>
      </c>
    </row>
    <row r="9" spans="2:10" x14ac:dyDescent="0.25">
      <c r="B9" s="9" t="s">
        <v>402</v>
      </c>
      <c r="C9" s="9" t="s">
        <v>19</v>
      </c>
      <c r="D9" s="9" t="s">
        <v>403</v>
      </c>
      <c r="E9" s="9" t="s">
        <v>644</v>
      </c>
      <c r="F9" s="10" t="s">
        <v>615</v>
      </c>
    </row>
    <row r="10" spans="2:10" x14ac:dyDescent="0.25">
      <c r="B10" s="9" t="s">
        <v>307</v>
      </c>
      <c r="C10" s="9" t="s">
        <v>341</v>
      </c>
      <c r="D10" s="9" t="s">
        <v>404</v>
      </c>
      <c r="E10" s="9" t="s">
        <v>14</v>
      </c>
      <c r="F10" s="10" t="s">
        <v>21</v>
      </c>
    </row>
    <row r="11" spans="2:10" ht="156" x14ac:dyDescent="0.25">
      <c r="B11" s="9" t="s">
        <v>308</v>
      </c>
      <c r="C11" s="9" t="s">
        <v>341</v>
      </c>
      <c r="D11" s="9" t="s">
        <v>342</v>
      </c>
      <c r="E11" s="10" t="s">
        <v>576</v>
      </c>
      <c r="F11" s="10" t="s">
        <v>21</v>
      </c>
    </row>
    <row r="12" spans="2:10" x14ac:dyDescent="0.25">
      <c r="B12" s="9" t="s">
        <v>309</v>
      </c>
      <c r="C12" s="9" t="s">
        <v>341</v>
      </c>
      <c r="D12" s="9" t="s">
        <v>405</v>
      </c>
      <c r="E12" s="9" t="s">
        <v>597</v>
      </c>
      <c r="F12" s="10" t="s">
        <v>21</v>
      </c>
    </row>
    <row r="13" spans="2:10" ht="58.5" x14ac:dyDescent="0.25">
      <c r="B13" s="9" t="s">
        <v>310</v>
      </c>
      <c r="C13" s="9" t="s">
        <v>341</v>
      </c>
      <c r="D13" s="9" t="s">
        <v>568</v>
      </c>
      <c r="E13" s="10" t="s">
        <v>594</v>
      </c>
      <c r="F13" s="10" t="s">
        <v>21</v>
      </c>
    </row>
    <row r="14" spans="2:10" ht="117" x14ac:dyDescent="0.25">
      <c r="B14" s="9" t="s">
        <v>311</v>
      </c>
      <c r="C14" s="9" t="s">
        <v>341</v>
      </c>
      <c r="D14" s="9" t="s">
        <v>399</v>
      </c>
      <c r="E14" s="10" t="s">
        <v>642</v>
      </c>
      <c r="F14" s="10" t="s">
        <v>21</v>
      </c>
    </row>
    <row r="15" spans="2:10" ht="58.5" x14ac:dyDescent="0.25">
      <c r="B15" s="9" t="s">
        <v>312</v>
      </c>
      <c r="C15" s="9" t="s">
        <v>341</v>
      </c>
      <c r="D15" s="9" t="s">
        <v>569</v>
      </c>
      <c r="E15" s="10" t="s">
        <v>595</v>
      </c>
      <c r="F15" s="10" t="s">
        <v>21</v>
      </c>
    </row>
    <row r="16" spans="2:10" ht="39" x14ac:dyDescent="0.25">
      <c r="B16" s="9" t="s">
        <v>313</v>
      </c>
      <c r="C16" s="9" t="s">
        <v>341</v>
      </c>
      <c r="D16" s="9" t="s">
        <v>796</v>
      </c>
      <c r="E16" s="10" t="s">
        <v>797</v>
      </c>
      <c r="F16" s="10" t="s">
        <v>21</v>
      </c>
    </row>
    <row r="17" spans="2:6" ht="195" x14ac:dyDescent="0.25">
      <c r="B17" s="9" t="s">
        <v>395</v>
      </c>
      <c r="C17" s="9" t="s">
        <v>366</v>
      </c>
      <c r="D17" s="9" t="s">
        <v>396</v>
      </c>
      <c r="E17" s="10" t="s">
        <v>653</v>
      </c>
      <c r="F17" s="10" t="s">
        <v>620</v>
      </c>
    </row>
    <row r="18" spans="2:6" ht="136.5" x14ac:dyDescent="0.25">
      <c r="B18" s="9" t="s">
        <v>365</v>
      </c>
      <c r="C18" s="9" t="s">
        <v>366</v>
      </c>
      <c r="D18" s="9" t="s">
        <v>367</v>
      </c>
      <c r="E18" s="10" t="s">
        <v>628</v>
      </c>
      <c r="F18" s="10" t="s">
        <v>615</v>
      </c>
    </row>
    <row r="19" spans="2:6" ht="195" x14ac:dyDescent="0.25">
      <c r="B19" t="s">
        <v>314</v>
      </c>
      <c r="C19" s="9" t="s">
        <v>341</v>
      </c>
      <c r="D19" s="9" t="s">
        <v>363</v>
      </c>
      <c r="E19" s="10" t="s">
        <v>586</v>
      </c>
      <c r="F19" s="10" t="s">
        <v>21</v>
      </c>
    </row>
    <row r="20" spans="2:6" ht="78" x14ac:dyDescent="0.25">
      <c r="B20" s="9" t="s">
        <v>397</v>
      </c>
      <c r="C20" s="9" t="s">
        <v>366</v>
      </c>
      <c r="D20" s="9" t="s">
        <v>398</v>
      </c>
      <c r="E20" s="10" t="s">
        <v>641</v>
      </c>
      <c r="F20" s="10" t="s">
        <v>21</v>
      </c>
    </row>
    <row r="21" spans="2:6" ht="331.5" x14ac:dyDescent="0.25">
      <c r="B21" s="9" t="s">
        <v>315</v>
      </c>
      <c r="C21" s="9" t="s">
        <v>341</v>
      </c>
      <c r="D21" s="9" t="s">
        <v>368</v>
      </c>
      <c r="E21" s="10" t="s">
        <v>629</v>
      </c>
      <c r="F21" s="10" t="s">
        <v>615</v>
      </c>
    </row>
    <row r="22" spans="2:6" ht="58.5" x14ac:dyDescent="0.25">
      <c r="B22" s="9" t="s">
        <v>316</v>
      </c>
      <c r="C22" s="9" t="s">
        <v>341</v>
      </c>
      <c r="D22" s="9" t="s">
        <v>411</v>
      </c>
      <c r="E22" s="10" t="s">
        <v>645</v>
      </c>
      <c r="F22" s="10" t="s">
        <v>21</v>
      </c>
    </row>
    <row r="23" spans="2:6" x14ac:dyDescent="0.25">
      <c r="B23" s="9" t="s">
        <v>317</v>
      </c>
      <c r="C23" s="9" t="s">
        <v>341</v>
      </c>
      <c r="D23" s="9" t="s">
        <v>406</v>
      </c>
      <c r="E23" s="9" t="s">
        <v>598</v>
      </c>
      <c r="F23" s="10" t="s">
        <v>21</v>
      </c>
    </row>
    <row r="24" spans="2:6" ht="136.5" x14ac:dyDescent="0.25">
      <c r="B24" s="9" t="s">
        <v>318</v>
      </c>
      <c r="C24" s="9" t="s">
        <v>341</v>
      </c>
      <c r="D24" s="9" t="s">
        <v>412</v>
      </c>
      <c r="E24" s="10" t="s">
        <v>646</v>
      </c>
      <c r="F24" s="10" t="s">
        <v>21</v>
      </c>
    </row>
    <row r="25" spans="2:6" ht="117" x14ac:dyDescent="0.25">
      <c r="B25" s="9" t="s">
        <v>319</v>
      </c>
      <c r="C25" s="9" t="s">
        <v>341</v>
      </c>
      <c r="D25" s="9" t="s">
        <v>426</v>
      </c>
      <c r="E25" s="10" t="s">
        <v>647</v>
      </c>
      <c r="F25" s="10" t="s">
        <v>21</v>
      </c>
    </row>
    <row r="26" spans="2:6" ht="136.5" x14ac:dyDescent="0.25">
      <c r="B26" s="9" t="s">
        <v>320</v>
      </c>
      <c r="C26" s="9" t="s">
        <v>341</v>
      </c>
      <c r="D26" s="9" t="s">
        <v>427</v>
      </c>
      <c r="E26" s="10" t="s">
        <v>648</v>
      </c>
      <c r="F26" s="10" t="s">
        <v>21</v>
      </c>
    </row>
    <row r="27" spans="2:6" ht="58.5" x14ac:dyDescent="0.25">
      <c r="B27" s="9" t="s">
        <v>321</v>
      </c>
      <c r="C27" s="9" t="s">
        <v>341</v>
      </c>
      <c r="D27" s="9" t="s">
        <v>364</v>
      </c>
      <c r="E27" s="10" t="s">
        <v>587</v>
      </c>
      <c r="F27" s="10" t="s">
        <v>21</v>
      </c>
    </row>
    <row r="28" spans="2:6" ht="175.5" x14ac:dyDescent="0.25">
      <c r="B28" s="9" t="s">
        <v>322</v>
      </c>
      <c r="C28" s="9" t="s">
        <v>341</v>
      </c>
      <c r="D28" s="9" t="s">
        <v>566</v>
      </c>
      <c r="E28" s="10" t="s">
        <v>588</v>
      </c>
      <c r="F28" s="10" t="s">
        <v>21</v>
      </c>
    </row>
    <row r="29" spans="2:6" ht="97.5" x14ac:dyDescent="0.25">
      <c r="B29" s="9" t="s">
        <v>369</v>
      </c>
      <c r="C29" s="9" t="s">
        <v>19</v>
      </c>
      <c r="D29" s="9" t="s">
        <v>370</v>
      </c>
      <c r="E29" s="10" t="s">
        <v>630</v>
      </c>
      <c r="F29" s="10" t="s">
        <v>21</v>
      </c>
    </row>
    <row r="30" spans="2:6" x14ac:dyDescent="0.25">
      <c r="B30" s="9" t="s">
        <v>323</v>
      </c>
      <c r="C30" s="9" t="s">
        <v>341</v>
      </c>
      <c r="D30" s="9" t="s">
        <v>423</v>
      </c>
      <c r="E30" s="9" t="s">
        <v>607</v>
      </c>
      <c r="F30" s="10" t="s">
        <v>21</v>
      </c>
    </row>
    <row r="31" spans="2:6" ht="97.5" x14ac:dyDescent="0.25">
      <c r="B31" s="9" t="s">
        <v>343</v>
      </c>
      <c r="C31" s="9" t="s">
        <v>341</v>
      </c>
      <c r="D31" s="9" t="s">
        <v>344</v>
      </c>
      <c r="E31" s="10" t="s">
        <v>577</v>
      </c>
      <c r="F31" s="10" t="s">
        <v>21</v>
      </c>
    </row>
    <row r="32" spans="2:6" ht="58.5" x14ac:dyDescent="0.25">
      <c r="B32" s="9" t="s">
        <v>345</v>
      </c>
      <c r="C32" s="9" t="s">
        <v>341</v>
      </c>
      <c r="D32" s="9" t="s">
        <v>564</v>
      </c>
      <c r="E32" s="10" t="s">
        <v>578</v>
      </c>
      <c r="F32" s="10" t="s">
        <v>21</v>
      </c>
    </row>
    <row r="33" spans="2:6" ht="78" x14ac:dyDescent="0.25">
      <c r="B33" s="9" t="s">
        <v>324</v>
      </c>
      <c r="C33" s="9" t="s">
        <v>341</v>
      </c>
      <c r="D33" s="9" t="s">
        <v>407</v>
      </c>
      <c r="E33" s="10" t="s">
        <v>599</v>
      </c>
      <c r="F33" s="10" t="s">
        <v>21</v>
      </c>
    </row>
    <row r="34" spans="2:6" ht="58.5" x14ac:dyDescent="0.25">
      <c r="B34" s="9" t="s">
        <v>428</v>
      </c>
      <c r="C34" s="9" t="s">
        <v>12</v>
      </c>
      <c r="D34" s="9" t="s">
        <v>429</v>
      </c>
      <c r="E34" s="10" t="s">
        <v>609</v>
      </c>
      <c r="F34" s="10" t="s">
        <v>21</v>
      </c>
    </row>
    <row r="35" spans="2:6" ht="39" x14ac:dyDescent="0.25">
      <c r="B35" s="9" t="s">
        <v>430</v>
      </c>
      <c r="C35" s="9" t="s">
        <v>12</v>
      </c>
      <c r="D35" s="9" t="s">
        <v>431</v>
      </c>
      <c r="E35" s="10" t="s">
        <v>610</v>
      </c>
      <c r="F35" s="10" t="s">
        <v>622</v>
      </c>
    </row>
    <row r="36" spans="2:6" ht="58.5" x14ac:dyDescent="0.25">
      <c r="B36" s="9" t="s">
        <v>325</v>
      </c>
      <c r="C36" s="9" t="s">
        <v>341</v>
      </c>
      <c r="D36" s="9" t="s">
        <v>432</v>
      </c>
      <c r="E36" s="10" t="s">
        <v>611</v>
      </c>
      <c r="F36" s="10" t="s">
        <v>21</v>
      </c>
    </row>
    <row r="37" spans="2:6" ht="39" x14ac:dyDescent="0.25">
      <c r="B37" s="9" t="s">
        <v>433</v>
      </c>
      <c r="C37" s="9" t="s">
        <v>12</v>
      </c>
      <c r="D37" s="9" t="s">
        <v>434</v>
      </c>
      <c r="E37" s="10" t="s">
        <v>612</v>
      </c>
      <c r="F37" s="10" t="s">
        <v>622</v>
      </c>
    </row>
    <row r="38" spans="2:6" ht="156" x14ac:dyDescent="0.25">
      <c r="B38" s="9" t="s">
        <v>791</v>
      </c>
      <c r="C38" s="9" t="s">
        <v>12</v>
      </c>
      <c r="D38" s="9" t="s">
        <v>792</v>
      </c>
      <c r="E38" s="10" t="s">
        <v>793</v>
      </c>
      <c r="F38" s="10" t="s">
        <v>616</v>
      </c>
    </row>
    <row r="39" spans="2:6" ht="117" x14ac:dyDescent="0.25">
      <c r="B39" s="9" t="s">
        <v>371</v>
      </c>
      <c r="C39" s="9" t="s">
        <v>341</v>
      </c>
      <c r="D39" s="9" t="s">
        <v>372</v>
      </c>
      <c r="E39" s="10" t="s">
        <v>631</v>
      </c>
      <c r="F39" s="10" t="s">
        <v>616</v>
      </c>
    </row>
    <row r="40" spans="2:6" ht="156" x14ac:dyDescent="0.25">
      <c r="B40" s="9" t="s">
        <v>326</v>
      </c>
      <c r="C40" s="9" t="s">
        <v>341</v>
      </c>
      <c r="D40" s="9" t="s">
        <v>346</v>
      </c>
      <c r="E40" s="10" t="s">
        <v>579</v>
      </c>
      <c r="F40" s="10" t="s">
        <v>615</v>
      </c>
    </row>
    <row r="41" spans="2:6" ht="136.5" x14ac:dyDescent="0.25">
      <c r="B41" s="9" t="s">
        <v>327</v>
      </c>
      <c r="C41" s="9" t="s">
        <v>341</v>
      </c>
      <c r="D41" s="10" t="s">
        <v>347</v>
      </c>
      <c r="E41" s="10" t="s">
        <v>624</v>
      </c>
      <c r="F41" s="10" t="s">
        <v>615</v>
      </c>
    </row>
    <row r="42" spans="2:6" ht="234" x14ac:dyDescent="0.25">
      <c r="B42" s="9" t="s">
        <v>373</v>
      </c>
      <c r="C42" s="9" t="s">
        <v>12</v>
      </c>
      <c r="D42" s="9" t="s">
        <v>374</v>
      </c>
      <c r="E42" s="10" t="s">
        <v>632</v>
      </c>
      <c r="F42" s="10" t="s">
        <v>616</v>
      </c>
    </row>
    <row r="43" spans="2:6" ht="390" x14ac:dyDescent="0.25">
      <c r="B43" s="9" t="s">
        <v>353</v>
      </c>
      <c r="C43" s="10" t="s">
        <v>20</v>
      </c>
      <c r="D43" s="10" t="s">
        <v>354</v>
      </c>
      <c r="E43" s="10" t="s">
        <v>627</v>
      </c>
      <c r="F43" s="10" t="s">
        <v>21</v>
      </c>
    </row>
    <row r="44" spans="2:6" ht="234" x14ac:dyDescent="0.25">
      <c r="B44" s="9" t="s">
        <v>375</v>
      </c>
      <c r="C44" s="9" t="s">
        <v>341</v>
      </c>
      <c r="D44" s="9" t="s">
        <v>376</v>
      </c>
      <c r="E44" s="10" t="s">
        <v>589</v>
      </c>
      <c r="F44" s="10" t="s">
        <v>615</v>
      </c>
    </row>
    <row r="45" spans="2:6" ht="39" x14ac:dyDescent="0.25">
      <c r="B45" s="9" t="s">
        <v>60</v>
      </c>
      <c r="C45" s="9" t="s">
        <v>36</v>
      </c>
      <c r="D45" s="9" t="s">
        <v>46</v>
      </c>
      <c r="E45" s="10" t="s">
        <v>592</v>
      </c>
      <c r="F45" s="10" t="s">
        <v>21</v>
      </c>
    </row>
    <row r="46" spans="2:6" ht="97.5" x14ac:dyDescent="0.25">
      <c r="B46" s="9" t="s">
        <v>413</v>
      </c>
      <c r="C46" s="9" t="s">
        <v>341</v>
      </c>
      <c r="D46" s="9" t="s">
        <v>414</v>
      </c>
      <c r="E46" s="10" t="s">
        <v>602</v>
      </c>
      <c r="F46" s="10" t="s">
        <v>21</v>
      </c>
    </row>
    <row r="47" spans="2:6" ht="78" x14ac:dyDescent="0.25">
      <c r="B47" s="9" t="s">
        <v>328</v>
      </c>
      <c r="C47" s="9" t="s">
        <v>341</v>
      </c>
      <c r="D47" s="9" t="s">
        <v>794</v>
      </c>
      <c r="E47" s="10" t="s">
        <v>795</v>
      </c>
      <c r="F47" s="10" t="s">
        <v>21</v>
      </c>
    </row>
    <row r="48" spans="2:6" ht="195" x14ac:dyDescent="0.25">
      <c r="B48" s="9" t="s">
        <v>377</v>
      </c>
      <c r="C48" s="9" t="s">
        <v>341</v>
      </c>
      <c r="D48" s="9" t="s">
        <v>378</v>
      </c>
      <c r="E48" s="10" t="s">
        <v>633</v>
      </c>
      <c r="F48" s="10" t="s">
        <v>615</v>
      </c>
    </row>
    <row r="49" spans="2:6" ht="156" x14ac:dyDescent="0.25">
      <c r="B49" s="9" t="s">
        <v>379</v>
      </c>
      <c r="C49" s="9" t="s">
        <v>341</v>
      </c>
      <c r="D49" s="9" t="s">
        <v>380</v>
      </c>
      <c r="E49" s="10" t="s">
        <v>590</v>
      </c>
      <c r="F49" s="10" t="s">
        <v>615</v>
      </c>
    </row>
    <row r="50" spans="2:6" ht="175.5" x14ac:dyDescent="0.25">
      <c r="B50" s="9" t="s">
        <v>435</v>
      </c>
      <c r="C50" s="9" t="s">
        <v>341</v>
      </c>
      <c r="D50" s="9" t="s">
        <v>436</v>
      </c>
      <c r="E50" s="10" t="s">
        <v>649</v>
      </c>
      <c r="F50" s="10" t="s">
        <v>21</v>
      </c>
    </row>
    <row r="51" spans="2:6" ht="156" x14ac:dyDescent="0.25">
      <c r="B51" s="9" t="s">
        <v>329</v>
      </c>
      <c r="C51" s="9" t="s">
        <v>341</v>
      </c>
      <c r="D51" s="9" t="s">
        <v>381</v>
      </c>
      <c r="E51" s="10" t="s">
        <v>591</v>
      </c>
      <c r="F51" s="10" t="s">
        <v>617</v>
      </c>
    </row>
    <row r="52" spans="2:6" ht="409.5" x14ac:dyDescent="0.25">
      <c r="B52" s="9" t="s">
        <v>330</v>
      </c>
      <c r="C52" s="9" t="s">
        <v>341</v>
      </c>
      <c r="D52" s="9" t="s">
        <v>567</v>
      </c>
      <c r="E52" s="10" t="s">
        <v>634</v>
      </c>
      <c r="F52" s="10" t="s">
        <v>617</v>
      </c>
    </row>
    <row r="53" spans="2:6" ht="117" x14ac:dyDescent="0.25">
      <c r="B53" s="9" t="s">
        <v>437</v>
      </c>
      <c r="C53" s="9" t="s">
        <v>12</v>
      </c>
      <c r="D53" s="9" t="s">
        <v>438</v>
      </c>
      <c r="E53" s="10" t="s">
        <v>650</v>
      </c>
      <c r="F53" s="10" t="s">
        <v>623</v>
      </c>
    </row>
    <row r="54" spans="2:6" x14ac:dyDescent="0.25">
      <c r="B54" s="9" t="s">
        <v>400</v>
      </c>
      <c r="C54" s="9" t="s">
        <v>20</v>
      </c>
      <c r="D54" s="9" t="s">
        <v>401</v>
      </c>
      <c r="E54" s="9" t="s">
        <v>643</v>
      </c>
      <c r="F54" s="10" t="s">
        <v>615</v>
      </c>
    </row>
    <row r="55" spans="2:6" ht="234" x14ac:dyDescent="0.25">
      <c r="B55" s="9" t="s">
        <v>331</v>
      </c>
      <c r="C55" s="9" t="s">
        <v>341</v>
      </c>
      <c r="D55" s="9" t="s">
        <v>382</v>
      </c>
      <c r="E55" s="10" t="s">
        <v>635</v>
      </c>
      <c r="F55" s="10" t="s">
        <v>615</v>
      </c>
    </row>
    <row r="56" spans="2:6" ht="253.5" x14ac:dyDescent="0.25">
      <c r="B56" s="9" t="s">
        <v>332</v>
      </c>
      <c r="C56" s="9" t="s">
        <v>341</v>
      </c>
      <c r="D56" s="9" t="s">
        <v>383</v>
      </c>
      <c r="E56" s="10" t="s">
        <v>636</v>
      </c>
      <c r="F56" s="10" t="s">
        <v>21</v>
      </c>
    </row>
    <row r="57" spans="2:6" ht="58.5" x14ac:dyDescent="0.25">
      <c r="B57" s="9" t="s">
        <v>385</v>
      </c>
      <c r="C57" s="9" t="s">
        <v>12</v>
      </c>
      <c r="D57" s="9" t="s">
        <v>386</v>
      </c>
      <c r="E57" s="10" t="s">
        <v>638</v>
      </c>
      <c r="F57" s="10" t="s">
        <v>618</v>
      </c>
    </row>
    <row r="58" spans="2:6" ht="78" x14ac:dyDescent="0.25">
      <c r="B58" s="9" t="s">
        <v>710</v>
      </c>
      <c r="C58" s="9" t="s">
        <v>12</v>
      </c>
      <c r="D58" s="9" t="s">
        <v>711</v>
      </c>
      <c r="E58" s="10" t="s">
        <v>712</v>
      </c>
      <c r="F58" s="10" t="s">
        <v>713</v>
      </c>
    </row>
    <row r="59" spans="2:6" ht="175.5" x14ac:dyDescent="0.25">
      <c r="B59" s="9" t="s">
        <v>348</v>
      </c>
      <c r="C59" s="10" t="s">
        <v>349</v>
      </c>
      <c r="D59" s="10" t="s">
        <v>565</v>
      </c>
      <c r="E59" s="10" t="s">
        <v>625</v>
      </c>
      <c r="F59" s="10" t="s">
        <v>21</v>
      </c>
    </row>
    <row r="60" spans="2:6" ht="39" x14ac:dyDescent="0.25">
      <c r="B60" s="9" t="s">
        <v>415</v>
      </c>
      <c r="C60" s="9" t="s">
        <v>341</v>
      </c>
      <c r="D60" s="9" t="s">
        <v>416</v>
      </c>
      <c r="E60" s="10" t="s">
        <v>603</v>
      </c>
      <c r="F60" s="10" t="s">
        <v>21</v>
      </c>
    </row>
    <row r="61" spans="2:6" ht="156" x14ac:dyDescent="0.25">
      <c r="B61" s="9" t="s">
        <v>417</v>
      </c>
      <c r="C61" s="9" t="s">
        <v>366</v>
      </c>
      <c r="D61" s="9" t="s">
        <v>418</v>
      </c>
      <c r="E61" s="10" t="s">
        <v>604</v>
      </c>
      <c r="F61" s="10" t="s">
        <v>620</v>
      </c>
    </row>
    <row r="62" spans="2:6" ht="78" x14ac:dyDescent="0.25">
      <c r="B62" s="9" t="s">
        <v>424</v>
      </c>
      <c r="C62" s="9" t="s">
        <v>575</v>
      </c>
      <c r="D62" s="9" t="s">
        <v>425</v>
      </c>
      <c r="E62" s="10" t="s">
        <v>608</v>
      </c>
      <c r="F62" s="10" t="s">
        <v>21</v>
      </c>
    </row>
    <row r="63" spans="2:6" ht="39" x14ac:dyDescent="0.25">
      <c r="B63" s="9" t="s">
        <v>408</v>
      </c>
      <c r="C63" s="9" t="s">
        <v>341</v>
      </c>
      <c r="D63" s="9" t="s">
        <v>409</v>
      </c>
      <c r="E63" s="9" t="s">
        <v>600</v>
      </c>
      <c r="F63" s="10" t="s">
        <v>621</v>
      </c>
    </row>
    <row r="64" spans="2:6" ht="195" x14ac:dyDescent="0.25">
      <c r="B64" s="9" t="s">
        <v>333</v>
      </c>
      <c r="C64" s="9" t="s">
        <v>341</v>
      </c>
      <c r="D64" s="9" t="s">
        <v>384</v>
      </c>
      <c r="E64" s="10" t="s">
        <v>637</v>
      </c>
      <c r="F64" s="10" t="s">
        <v>617</v>
      </c>
    </row>
    <row r="65" spans="2:6" ht="97.5" x14ac:dyDescent="0.25">
      <c r="B65" s="9" t="s">
        <v>439</v>
      </c>
      <c r="C65" s="9" t="s">
        <v>341</v>
      </c>
      <c r="D65" s="9" t="s">
        <v>440</v>
      </c>
      <c r="E65" s="10" t="s">
        <v>613</v>
      </c>
      <c r="F65" s="10" t="s">
        <v>21</v>
      </c>
    </row>
    <row r="66" spans="2:6" ht="97.5" x14ac:dyDescent="0.25">
      <c r="B66" s="9" t="s">
        <v>334</v>
      </c>
      <c r="C66" s="10" t="s">
        <v>341</v>
      </c>
      <c r="D66" s="10" t="s">
        <v>350</v>
      </c>
      <c r="E66" s="10" t="s">
        <v>580</v>
      </c>
      <c r="F66" s="10" t="s">
        <v>615</v>
      </c>
    </row>
    <row r="67" spans="2:6" x14ac:dyDescent="0.25">
      <c r="B67" s="9" t="s">
        <v>335</v>
      </c>
      <c r="C67" s="9" t="s">
        <v>341</v>
      </c>
      <c r="D67" s="9" t="s">
        <v>410</v>
      </c>
      <c r="E67" s="9" t="s">
        <v>601</v>
      </c>
      <c r="F67" s="10" t="s">
        <v>21</v>
      </c>
    </row>
    <row r="68" spans="2:6" ht="39" x14ac:dyDescent="0.25">
      <c r="B68" s="9" t="s">
        <v>351</v>
      </c>
      <c r="C68" s="10" t="s">
        <v>341</v>
      </c>
      <c r="D68" s="10" t="s">
        <v>352</v>
      </c>
      <c r="E68" s="10" t="s">
        <v>626</v>
      </c>
      <c r="F68" s="10" t="s">
        <v>21</v>
      </c>
    </row>
    <row r="69" spans="2:6" ht="156" x14ac:dyDescent="0.25">
      <c r="B69" s="9" t="s">
        <v>745</v>
      </c>
      <c r="C69" s="9" t="s">
        <v>12</v>
      </c>
      <c r="D69" s="9" t="s">
        <v>746</v>
      </c>
      <c r="E69" s="10" t="s">
        <v>747</v>
      </c>
      <c r="F69" s="10" t="s">
        <v>21</v>
      </c>
    </row>
    <row r="70" spans="2:6" ht="156" x14ac:dyDescent="0.25">
      <c r="B70" s="9" t="s">
        <v>336</v>
      </c>
      <c r="C70" s="9" t="s">
        <v>341</v>
      </c>
      <c r="D70" s="9" t="s">
        <v>441</v>
      </c>
      <c r="E70" s="10" t="s">
        <v>651</v>
      </c>
      <c r="F70" s="10" t="s">
        <v>21</v>
      </c>
    </row>
    <row r="71" spans="2:6" ht="136.5" x14ac:dyDescent="0.25">
      <c r="B71" s="9" t="s">
        <v>337</v>
      </c>
      <c r="C71" s="10" t="s">
        <v>341</v>
      </c>
      <c r="D71" s="10" t="s">
        <v>355</v>
      </c>
      <c r="E71" s="10" t="s">
        <v>581</v>
      </c>
      <c r="F71" s="10" t="s">
        <v>615</v>
      </c>
    </row>
    <row r="72" spans="2:6" ht="117" x14ac:dyDescent="0.25">
      <c r="B72" s="9" t="s">
        <v>338</v>
      </c>
      <c r="C72" s="9" t="s">
        <v>341</v>
      </c>
      <c r="D72" s="9" t="s">
        <v>442</v>
      </c>
      <c r="E72" s="10" t="s">
        <v>614</v>
      </c>
      <c r="F72" s="10" t="s">
        <v>21</v>
      </c>
    </row>
    <row r="73" spans="2:6" ht="214.5" x14ac:dyDescent="0.25">
      <c r="B73" s="9" t="s">
        <v>387</v>
      </c>
      <c r="C73" s="9" t="s">
        <v>12</v>
      </c>
      <c r="D73" s="10" t="s">
        <v>388</v>
      </c>
      <c r="E73" s="10" t="s">
        <v>593</v>
      </c>
      <c r="F73" s="10" t="s">
        <v>619</v>
      </c>
    </row>
    <row r="74" spans="2:6" ht="78" x14ac:dyDescent="0.25">
      <c r="B74" s="9" t="s">
        <v>419</v>
      </c>
      <c r="C74" s="9" t="s">
        <v>341</v>
      </c>
      <c r="D74" s="9" t="s">
        <v>420</v>
      </c>
      <c r="E74" s="10" t="s">
        <v>605</v>
      </c>
      <c r="F74" s="10" t="s">
        <v>21</v>
      </c>
    </row>
    <row r="75" spans="2:6" ht="97.5" x14ac:dyDescent="0.25">
      <c r="B75" s="9" t="s">
        <v>421</v>
      </c>
      <c r="C75" s="9" t="s">
        <v>341</v>
      </c>
      <c r="D75" s="9" t="s">
        <v>422</v>
      </c>
      <c r="E75" s="10" t="s">
        <v>606</v>
      </c>
      <c r="F75" s="10" t="s">
        <v>21</v>
      </c>
    </row>
    <row r="76" spans="2:6" ht="97.5" x14ac:dyDescent="0.25">
      <c r="B76" s="9" t="s">
        <v>339</v>
      </c>
      <c r="C76" s="9" t="s">
        <v>341</v>
      </c>
      <c r="D76" s="9" t="s">
        <v>356</v>
      </c>
      <c r="E76" s="10" t="s">
        <v>582</v>
      </c>
      <c r="F76" s="10" t="s">
        <v>21</v>
      </c>
    </row>
    <row r="77" spans="2:6" ht="58.5" x14ac:dyDescent="0.25">
      <c r="B77" s="9" t="s">
        <v>357</v>
      </c>
      <c r="C77" s="9" t="s">
        <v>358</v>
      </c>
      <c r="D77" s="9" t="s">
        <v>359</v>
      </c>
      <c r="E77" s="10" t="s">
        <v>583</v>
      </c>
      <c r="F77" s="10" t="s">
        <v>21</v>
      </c>
    </row>
    <row r="78" spans="2:6" ht="78" x14ac:dyDescent="0.25">
      <c r="B78" s="9" t="s">
        <v>714</v>
      </c>
      <c r="C78" s="9" t="s">
        <v>12</v>
      </c>
      <c r="D78" s="9" t="s">
        <v>715</v>
      </c>
      <c r="E78" s="10" t="s">
        <v>716</v>
      </c>
      <c r="F78" s="10" t="s">
        <v>713</v>
      </c>
    </row>
    <row r="79" spans="2:6" ht="78" x14ac:dyDescent="0.25">
      <c r="B79" s="9" t="s">
        <v>340</v>
      </c>
      <c r="C79" s="9" t="s">
        <v>341</v>
      </c>
      <c r="D79" s="10" t="s">
        <v>360</v>
      </c>
      <c r="E79" s="10" t="s">
        <v>584</v>
      </c>
      <c r="F79" s="10" t="s">
        <v>21</v>
      </c>
    </row>
    <row r="80" spans="2:6" ht="97.5" x14ac:dyDescent="0.25">
      <c r="B80" s="9" t="s">
        <v>391</v>
      </c>
      <c r="C80" s="9" t="s">
        <v>7</v>
      </c>
      <c r="D80" s="9" t="s">
        <v>392</v>
      </c>
      <c r="E80" s="10" t="s">
        <v>640</v>
      </c>
      <c r="F80" s="10" t="s">
        <v>21</v>
      </c>
    </row>
    <row r="81" spans="2:6" ht="78" x14ac:dyDescent="0.25">
      <c r="B81" s="9" t="s">
        <v>393</v>
      </c>
      <c r="C81" s="9" t="s">
        <v>7</v>
      </c>
      <c r="D81" s="9" t="s">
        <v>394</v>
      </c>
      <c r="E81" s="10" t="s">
        <v>596</v>
      </c>
      <c r="F81" s="10" t="s">
        <v>21</v>
      </c>
    </row>
    <row r="82" spans="2:6" ht="195" x14ac:dyDescent="0.25">
      <c r="B82" s="9" t="s">
        <v>47</v>
      </c>
      <c r="C82" s="9" t="s">
        <v>389</v>
      </c>
      <c r="D82" s="9" t="s">
        <v>390</v>
      </c>
      <c r="E82" s="10" t="s">
        <v>639</v>
      </c>
      <c r="F82" s="10" t="s">
        <v>21</v>
      </c>
    </row>
    <row r="83" spans="2:6" ht="58.5" x14ac:dyDescent="0.25">
      <c r="B83" s="9" t="s">
        <v>361</v>
      </c>
      <c r="C83" s="9" t="s">
        <v>20</v>
      </c>
      <c r="D83" s="9" t="s">
        <v>362</v>
      </c>
      <c r="E83" s="10" t="s">
        <v>585</v>
      </c>
      <c r="F83" s="10" t="s">
        <v>10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31"/>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691</v>
      </c>
    </row>
    <row r="3" spans="2:27" ht="19.5" customHeight="1" x14ac:dyDescent="0.25"/>
    <row r="4" spans="2:27" ht="19.5" customHeight="1" x14ac:dyDescent="0.25"/>
    <row r="5" spans="2:27" ht="21" customHeight="1" thickBot="1" x14ac:dyDescent="0.35">
      <c r="B5" s="11" t="s">
        <v>667</v>
      </c>
      <c r="C5" s="11"/>
      <c r="D5" s="11"/>
      <c r="E5" s="11"/>
      <c r="F5" s="11"/>
      <c r="G5" s="11"/>
      <c r="H5" s="11"/>
      <c r="I5" s="11"/>
      <c r="J5" s="11"/>
      <c r="K5" s="11"/>
      <c r="L5" s="4"/>
      <c r="M5" s="4"/>
    </row>
    <row r="6" spans="2:27" ht="20.25" customHeight="1" thickTop="1" x14ac:dyDescent="0.25">
      <c r="B6" s="12" t="s">
        <v>733</v>
      </c>
      <c r="C6" s="12"/>
      <c r="D6" s="12"/>
      <c r="E6" s="12"/>
      <c r="F6" s="12"/>
      <c r="G6" s="12"/>
      <c r="H6" s="12"/>
      <c r="I6" s="12"/>
      <c r="J6" s="12"/>
      <c r="K6" s="12"/>
      <c r="L6" s="6"/>
      <c r="M6" s="6"/>
    </row>
    <row r="7" spans="2:27" ht="39" customHeight="1" x14ac:dyDescent="0.25">
      <c r="B7" s="13" t="s">
        <v>734</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668</v>
      </c>
      <c r="E10" t="s">
        <v>669</v>
      </c>
    </row>
    <row r="11" spans="2:27" ht="19.5" customHeight="1" x14ac:dyDescent="0.25">
      <c r="B11" s="16" t="s">
        <v>670</v>
      </c>
      <c r="C11" s="21" t="b">
        <v>1</v>
      </c>
      <c r="E11" s="19" t="s">
        <v>671</v>
      </c>
    </row>
    <row r="12" spans="2:27" ht="19.5" customHeight="1" x14ac:dyDescent="0.25">
      <c r="B12" s="16" t="s">
        <v>672</v>
      </c>
      <c r="C12" s="21" t="b">
        <v>1</v>
      </c>
      <c r="E12" s="19" t="s">
        <v>673</v>
      </c>
    </row>
    <row r="13" spans="2:27" ht="19.5" customHeight="1" x14ac:dyDescent="0.25">
      <c r="B13" s="16" t="s">
        <v>674</v>
      </c>
      <c r="C13" s="21" t="b">
        <v>1</v>
      </c>
      <c r="E13" s="19" t="s">
        <v>675</v>
      </c>
    </row>
    <row r="14" spans="2:27" ht="19.5" customHeight="1" x14ac:dyDescent="0.25">
      <c r="B14" s="16" t="s">
        <v>676</v>
      </c>
      <c r="C14" s="21" t="b">
        <v>1</v>
      </c>
      <c r="E14" s="19" t="s">
        <v>702</v>
      </c>
    </row>
    <row r="15" spans="2:27" ht="19.5" customHeight="1" x14ac:dyDescent="0.25">
      <c r="B15" s="16" t="s">
        <v>677</v>
      </c>
      <c r="C15" s="21" t="b">
        <v>1</v>
      </c>
      <c r="E15" s="19" t="s">
        <v>678</v>
      </c>
    </row>
    <row r="16" spans="2:27" ht="19.5" customHeight="1" x14ac:dyDescent="0.25">
      <c r="B16" s="16" t="s">
        <v>679</v>
      </c>
      <c r="C16" s="21" t="b">
        <v>1</v>
      </c>
      <c r="E16" s="19" t="s">
        <v>680</v>
      </c>
    </row>
    <row r="17" spans="2:9" ht="19.5" customHeight="1" x14ac:dyDescent="0.25">
      <c r="B17" s="16" t="s">
        <v>681</v>
      </c>
      <c r="C17" s="21" t="b">
        <v>1</v>
      </c>
      <c r="E17" s="19" t="s">
        <v>682</v>
      </c>
    </row>
    <row r="18" spans="2:9" ht="19.5" customHeight="1" x14ac:dyDescent="0.25">
      <c r="B18" s="16" t="s">
        <v>683</v>
      </c>
      <c r="C18" s="21" t="b">
        <v>1</v>
      </c>
      <c r="E18" s="19" t="s">
        <v>684</v>
      </c>
    </row>
    <row r="19" spans="2:9" ht="19.5" customHeight="1" x14ac:dyDescent="0.25">
      <c r="B19" s="16" t="s">
        <v>685</v>
      </c>
      <c r="C19" s="20" t="s">
        <v>0</v>
      </c>
      <c r="E19" s="19" t="s">
        <v>686</v>
      </c>
    </row>
    <row r="20" spans="2:9" ht="19.5" customHeight="1" x14ac:dyDescent="0.25"/>
    <row r="21" spans="2:9" ht="19.5" customHeight="1" x14ac:dyDescent="0.25">
      <c r="B21" t="s">
        <v>818</v>
      </c>
    </row>
    <row r="22" spans="2:9" ht="19.5" customHeight="1" x14ac:dyDescent="0.25">
      <c r="B22" s="16" t="s">
        <v>688</v>
      </c>
      <c r="C22" s="17" t="s">
        <v>814</v>
      </c>
      <c r="E22" s="19" t="s">
        <v>689</v>
      </c>
    </row>
    <row r="23" spans="2:9" ht="19.5" customHeight="1" x14ac:dyDescent="0.25">
      <c r="B23" s="16" t="s">
        <v>690</v>
      </c>
      <c r="C23" s="31" t="s">
        <v>815</v>
      </c>
      <c r="D23" s="31"/>
      <c r="E23" s="31"/>
      <c r="F23" s="31"/>
      <c r="G23" s="31"/>
      <c r="H23" s="31"/>
      <c r="I23" s="31"/>
    </row>
    <row r="24" spans="2:9" ht="19.5" customHeight="1" x14ac:dyDescent="0.25">
      <c r="B24" s="16" t="s">
        <v>816</v>
      </c>
      <c r="C24" s="17" t="s">
        <v>814</v>
      </c>
      <c r="E24" s="19" t="s">
        <v>817</v>
      </c>
    </row>
    <row r="25" spans="2:9" ht="19.5" customHeight="1" x14ac:dyDescent="0.25">
      <c r="B25" s="16" t="s">
        <v>690</v>
      </c>
      <c r="C25" s="31" t="s">
        <v>821</v>
      </c>
      <c r="D25" s="31"/>
      <c r="E25" s="31"/>
      <c r="F25" s="31"/>
      <c r="G25" s="31"/>
      <c r="H25" s="31"/>
      <c r="I25" s="31"/>
    </row>
    <row r="26" spans="2:9" ht="19.5" customHeight="1" x14ac:dyDescent="0.25"/>
    <row r="27" spans="2:9" x14ac:dyDescent="0.25">
      <c r="B27" t="s">
        <v>822</v>
      </c>
      <c r="E27" s="30" t="s">
        <v>823</v>
      </c>
    </row>
    <row r="28" spans="2:9" ht="19.5" customHeight="1" x14ac:dyDescent="0.25">
      <c r="B28" s="16" t="s">
        <v>735</v>
      </c>
      <c r="C28" s="22" t="b">
        <v>0</v>
      </c>
      <c r="E28" s="19" t="s">
        <v>736</v>
      </c>
    </row>
    <row r="29" spans="2:9" ht="19.5" customHeight="1" x14ac:dyDescent="0.25">
      <c r="B29" s="16" t="s">
        <v>687</v>
      </c>
      <c r="C29" s="22" t="b">
        <v>0</v>
      </c>
      <c r="E29" s="19" t="s">
        <v>737</v>
      </c>
    </row>
    <row r="30" spans="2:9" ht="19.5" customHeight="1" x14ac:dyDescent="0.25">
      <c r="B30" s="16" t="s">
        <v>738</v>
      </c>
      <c r="C30" s="22" t="b">
        <v>0</v>
      </c>
      <c r="E30" s="19" t="s">
        <v>739</v>
      </c>
    </row>
    <row r="31" spans="2:9" ht="19.5" customHeight="1" x14ac:dyDescent="0.25">
      <c r="B31" s="16" t="s">
        <v>819</v>
      </c>
      <c r="C31" s="22" t="b">
        <v>0</v>
      </c>
      <c r="E31" s="19" t="s">
        <v>820</v>
      </c>
    </row>
  </sheetData>
  <mergeCells count="2">
    <mergeCell ref="C23:I23"/>
    <mergeCell ref="C25:I25"/>
  </mergeCells>
  <dataValidations count="1">
    <dataValidation type="list" showInputMessage="1" sqref="C19"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812</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IsInList_byErikOehm = LAMBDA(array,list,LET(\\LambdaName, "IsInList", MAP(array, LAMBDA(x, OR(list = x)))));
]]></Text>
</file>

<file path=customXml/item2.xml><?xml version="1.0" encoding="utf-8"?>
<Text><![CDATA[
]]></Text>
</file>

<file path=customXml/item3.xml><?xml version="1.0" encoding="utf-8"?>
<Text><![CDATA[
FilterArray = LAMBDA(data,column_indexes,filter_values,LET(\\LambdaName, "FilterArray", FILTER(data, BYROW(IsInList(CHOOSECOLS(data, column_indexes), filter_values), LAMBDA(x, AND(x))))));
]]></Text>
</file>

<file path=customXml/item4.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5.xml><?xml version="1.0" encoding="utf-8"?>
<Text><![CDATA[
]]></Text>
</file>

<file path=customXml/item6.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7.xml><?xml version="1.0" encoding="utf-8"?>
<Text><![CDATA[
]]></Text>
</file>

<file path=customXml/item8.xml><?xml version="1.0" encoding="utf-8"?>
<Text><![CDATA[
DiffByRow_byJaqKennedy = LAMBDA(Input,LET(\\LambdaName, "DiffByRow", \\CommandName, "Difference of array columns by row", \\Description, "Returns first column - last column in array", \\Source, "Jaq Kennedy", TAKE(Input, , 1) - TAKE(Input, , -1)));
]]></Text>
</file>

<file path=customXml/item9.xml><?xml version="1.0" encoding="utf-8"?>
<Text><![CDATA[
]]></Text>
</file>

<file path=customXml/item10.xml><?xml version="1.0" encoding="utf-8"?>
<Text><![CDATA[
/*Returns the cell address of a range*/
ADDRESSES_byDiarmuidEarly = LAMBDA(rng, ADDRESS(ROW(rng), COLUMN(rng), 4));
]]></Text>
</file>

<file path=customXml/item11.xml><?xml version="1.0" encoding="utf-8"?>
<Text><![CDATA[
]]></Text>
</file>

<file path=customXml/item12.xml><?xml version="1.0" encoding="utf-8"?>
<Text><![CDATA[
]]></Text>
</file>

<file path=customXml/item13.xml><?xml version="1.0" encoding="utf-8"?>
<Text><![CDATA[
IsInList =     LAMBDA(array,list,LET(
   \\LambdaName, "IsInList",
MAP(array,LAMBDA(x,OR(list=x))))
);
]]></Text>
</file>

<file path=customXml/item14.xml><?xml version="1.0" encoding="utf-8"?>
<Text><![CDATA[
]]></Text>
</file>

<file path=customXml/item15.xml><?xml version="1.0" encoding="utf-8"?>
<Text><![CDATA[
]]></Text>
</file>

<file path=customXml/item16.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17.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18.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19.xml><?xml version="1.0" encoding="utf-8"?>
<Text><![CDATA[
]]></Text>
</file>

<file path=customXml/item20.xml><?xml version="1.0" encoding="utf-8"?>
<Text><![CDATA[
]]></Text>
</file>

<file path=customXml/item21.xml><?xml version="1.0" encoding="utf-8"?>
<Text><![CDATA[
IFBLANK = LAMBDA(value,value_if_blank, IF(ISBLANK(value), value_if_blank, value));
]]></Text>
</file>

<file path=customXml/item22.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23.xml><?xml version="1.0" encoding="utf-8"?>
<Text><![CDATA[
]]></Text>
</file>

<file path=customXml/item24.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25.xml><?xml version="1.0" encoding="utf-8"?>
<Text><![CDATA[
]]></Text>
</file>

<file path=customXml/item26.xml><?xml version="1.0" encoding="utf-8"?>
<Text><![CDATA[
]]></Text>
</file>

<file path=customXml/item27.xml><?xml version="1.0" encoding="utf-8"?>
<Text><![CDATA[
]]></Text>
</file>

<file path=customXml/item28.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29.xml><?xml version="1.0" encoding="utf-8"?>
<Text><![CDATA[
]]></Text>
</file>

<file path=customXml/item30.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olve Folder","Description":"Forgets your Solve folder, so Full Setup Case saves the _Solve copy next to the case again","Type":"VBAMacroCommand","Note":"Removes the per-user setting Set Solve Folder (SSF) saved. Changes no folder and no file. To switch to a different folder you do not need this: run SSF again. Added 2026-10-08 (GitHub #4).","LaunchCodes":["CSF"],"MacroExpression":"modSetupSettings.ClearSolveFolder()","Tags":["Prep"]},{"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one row per game with its Game and Level, then every input; names each level L01_Inputs, L02_Inputs, ...","Type":"VBAMacroCommand","Note":"Run by Full Setup Case. Column B is the game number and column C its LEVEL (from the case\u0027s own Level column; a case with none gets no levels), so the header row\u0027s filter shows one level at a time; the inputs follow from column D. Each level\u0027s rows are also named L01_Inputs, L02_Inputs, ... (Game, Level and the input columns that level uses), for the Name Box and for Level Inputs (LI), which drops one or more levels\u0027 inputs into the active cell. Level column and names added 2026-10-08 (GitHub #3, Ben de Leon). The same day its unused MacroWorkbookConnection reference (\u0027ThisWorkbook\u0027, which named no Connection) was removed, so it runs like every other CompBot macro command.","LaunchCodes":["CIS","IS"],"MacroExpression":"modCaseSetup.CreateCaseInputsSheet([[ActiveCell]])","Tags":["Prep"]},{"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then imports lambdas.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then Import Case Lambdas runs (your library and CompBot\u0027s, the winner first).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CommandAfter":"Import Case Lambdas","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Chained after Full Setup Case","Type":"VBAMacroCommand","Note":"Hidden: it exists to be Full Setup Case\u0027s CommandAfter.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Its report is appended to Full Setup Case\u0027s own status-bar line rather than replacing it. Added 2026-09-24; winner and switches 2026-09-24.","Visibility":"Hidden","MacroExpression":"modLambdas.ImportCaseLambdas()","Tags":["LAMBDA","Prep"]},{"Name":"Import Lambda Library","Description":"Loads YOUR own lambda library (set once with SLL) into the active workbook: its lambdas and its stored values (named constants)","Type":"VBAMacroCommand","Note":"Everyone keeps their own lambda library in a workbook of their own. Set Lambda Library (SLL) remembers where it is, once; this copies its lambdas, and its STORED VALUES (named constants and arrays such as =0.05, =\u0022Red\u0022, ={1,2,3}, and formula names with no cell reference), into whatever workbook is active. Names that point at ranges in the library are not copied (they would link back to the library file); the status bar counts them. It opens the library read-only with its macros kept quiet and closes it again (or uses it as-is if you already have it open). By default a lambda ALREADY in the file is skipped (left as it is) and listed on the status bar, so your copy does not replace CompBot\u0027s improved version; if Setup Case Settings (SCS) says your library wins, it replaces instead. Stored values follow the same rule; ILL marks the values it copies with [CompBot ILL] in their Name Manager comment, and those are the ones it updates. Refuses to run with CompBot or the library itself active. No dialogs; failures start ILL FAILED on the status bar. WHY NOT KEEP YOUR LAMBDAS INSIDE COMPBOT: a GitHub update replaces CompBot.xlsm wholesale, and most people run it hidden and read-only anyway. The library location is a per-user Windows setting, so it survives every update. Stored values added 2026-10-08 (GitHub #5, Fabian Sj\u00F6blom).","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evel Inputs","Description":"Type a level, or levels like 4-5 or 3,5-6: their inputs land as an array to work on, with headers and game/level beside them (blank = this sheet\u0027s level)","Type":"VBAMacroCommand","Parameters":[{"Name":"Levels","Type":"InputParameter","DataType":"String","Prompt":"Levels, e.g. 4 or 4-5 or 3,5-6 (blank = this sheet\u0027s level)"}],"Note":"For solving bonuses that ask about one level\u0027s games: from any sheet, type the levels the way you would say them (4, 4-5, 3,5-6; any number of levels, so 5-, 8- and 10-level cases work). From the active cell (say Z5): Game | Level headers in Z5 with the game and level numbers as their own array in Z6#; the INPUTS as an array of their own two columns right, in AB6#, with their headers above in AB5. You finish on AB6, ready to work on the inputs. Input columns blank for every chosen level are left out, empty inputs stay blank rather than showing 0, and columns holding nothing but the result are auto-fitted. The formulas are built to be read: LET names levels, caseInputs, levelRows (a FILTER using IsInList_byErikOehm, which this command loads as a dependency), tidyRows, inputs, usedCols. The data is the CaseInputs table that Create Case Inputs Sheet (CIS) builds during Full Setup Case, with its Level column; a case with no Level column has no levels tagged and this command says so. Left blank on a level sheet (L06) it uses that level. It checks that the four anchor cells are empty before writing, and if a spill would run into anything the result is taken back out. Every outcome is on the status bar; a failure starts LEVEL INPUTS FAILED. Launch code LI (the name\u0027s initials too); LLI also works. Added 2026-10-08 (GitHub #3, Ben de Leon).","LaunchCodes":["LI","LLI"],"MacroExpression":"modCaseNav.LoadLevelInputs({{Levels}})","Tags":["Prep"],"FormulaDependencies":["IsInList_byErikOehm.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DT"],"MacroExpression":"modDataTable.LinkAnswerCell()","Tags":["DataTable"]},{"Name":"Link Side Cell","Description":"Data table: adds a bonus SIDE column pointed at the active cell; RDT fills it","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Bonus"],"LaunchCodes":["LSC","BDT","DT"]},{"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DT"],"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elect your answer formula on the example row; the working right of the inputs is copied to every question and the answers linked","Type":"VBAMacroCommand","UserContextFilter":"ExcelActiveCellIsNotEmpty;ExcelSelectionIsSingleCell","Note":"Select ONE cell: your answer formula on the example row. Every calculation on that row to the right of the case\u0027s last input comes with it, on either side of the answer, spills and typed values included, out to the last filled cell (a gap of 3\u002B empty columns, or a column with typed values on the question rows such as a case table, ends it). It is copied to every question row of the level and the answer cells are linked to your answer column, ready to paste from the clipboard. Re-run it after correcting the example: links it wrote earlier are replaced. Before copying it checks the cells it will fill, and stops and says so if any of them hold case content. Every outcome is on the status bar; a failure starts SAVE FROM EXAMPLE FAILED. Modelled on MEWC Robot\u0027s command of the same name, but finds the first question by its empty answer cell (any number of example rows) and the answer column by its \u0027Answer\u0027 header, falling back to the sheet\u0027s own answer colour. Added 2026-09-22; working and re-run rules 2026-10-08 (GitHub #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 Solve Folder","Description":"Choose the folder Full Setup Case saves your _Solve copy into, once (e.g. OneDrive)","Type":"VBAMacroCommand","Note":"A setup-time command, run once (and again only if the folder moves). Opens a folder picker. The folder is saved as a per-user Windows setting (HKCU, VB and VBA Program Settings\\CompBot\\Setup), NOT inside CompBot, so it survives every CompBot update. A OneDrive or SharePoint folder is stored as its local synced path. If the folder is missing when you run Full Setup Case, the copy goes next to the case and the status bar says so. Undo with Clear Solve Folder (CSF). Added 2026-10-08 (GitHub #4).","LaunchCodes":["SSF"],"MacroExpression":"modSetupSettings.SetSolveFolder()","Tags":["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Output: OA Robot\u0027s task pane, title \u0027Bonus Questions\u0027, Text content, wrapped at 55 characters by the VBA (HTML renders in a tiny fixed box, Markdown rendered blank; tested 2026-09-16). Re-run to refresh; chain it with CommandAfter behind commands that save bonus answers.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Name":"Create Data Table Here","Type":"VBAMacroCommand","MacroExpression":"modDataTable.CreateDataTableHere()","Description":"Builds the level\u0027s data table block at the selected cell, else beside the inputs","Note":"Create Data Table (CDT) with the block\u0027s input cell at the ACTIVE cell. Stand on an empty cell in the level, right of the inputs, and run it: the block is built there (header row above, Expected / Check / ANSWER below, games down) and you land on its last input. The cell is not used, and the block goes where CDT would put it, when it is the Example# label, on row 1, not empty, or its footprint holds anything; the status bar says which. If the level already has a block it takes you there, like CDT. Asked for by Laza (GitHub #6, 2026-10-09); added 2026-10-11 (Jaq\u0027s naming: CDTH).","LaunchCodes":["CDTH","DT"],"Tags":["Prep","DataTable"]}],"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31.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32.xml><?xml version="1.0" encoding="utf-8"?>
<Text><![CDATA[
]]></Text>
</file>

<file path=customXml/item33.xml><?xml version="1.0" encoding="utf-8"?>
<Text><![CDATA[
FilterArray_byErikOehm = LAMBDA(data,column_indexes,filter_values,LET(\\LambdaName, "FilterArray", FILTER(data, BYROW(IsInList_byErikOehm(CHOOSECOLS(data, column_indexes), filter_values), LAMBDA(x, AND(x))))));
]]></Text>
</file>

<file path=customXml/item34.xml><?xml version="1.0" encoding="utf-8"?>
<Text><![CDATA[
]]></Text>
</file>

<file path=customXml/item35.xml><?xml version="1.0" encoding="utf-8"?>
<Text><![CDATA[
]]></Text>
</file>

<file path=customXml/item36.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37.xml><?xml version="1.0" encoding="utf-8"?>
<Text><![CDATA[
]]></Text>
</file>

<file path=customXml/item38.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39.xml><?xml version="1.0" encoding="utf-8"?>
<Text><![CDATA[
]]></Text>
</file>

<file path=customXml/item40.xml><?xml version="1.0" encoding="utf-8"?>
<Text><![CDATA[
]]></Text>
</file>

<file path=customXml/item41.xml><?xml version="1.0" encoding="utf-8"?>
<Text><![CDATA[
]]></Text>
</file>

<file path=customXml/item4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43.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2026-10-09T12:11:51.6257080+00:00</LastUpdated>
    <CustomXmlPartGuid>{26913951-5EAC-4A58-B59D-3F2C7E1A8B29}</CustomXmlPartGuid>
  </CustomXmlPartIndex>
  <CustomXmlPartIndex>
    <CollectionName>HotkeyCommands</CollectionName>
    <ItemName>ARROWSHIFT.lambda</ItemName>
    <ItemDescription/>
    <ItemType>Text</ItemType>
    <ItemSubtype/>
    <LastUpdated>2026-10-09T12:11:51.6277440+00:00</LastUpdated>
    <CustomXmlPartGuid>{B571487A-B756-47F9-A161-3EF0D733037B}</CustomXmlPartGuid>
  </CustomXmlPartIndex>
  <CustomXmlPartIndex>
    <CollectionName>HotkeyCommands</CollectionName>
    <ItemName>ARROWSHIFT_byEmilieWilliams.lambda</ItemName>
    <ItemDescription/>
    <ItemType>Text</ItemType>
    <ItemSubtype/>
    <LastUpdated>2026-10-09T12:11:51.6287465+00:00</LastUpdated>
    <CustomXmlPartGuid>{927F1119-D752-48D4-81B7-CAE50CC6AEFB}</CustomXmlPartGuid>
  </CustomXmlPartIndex>
  <CustomXmlPartIndex>
    <CollectionName>HotkeyCommands</CollectionName>
    <ItemName>BiCol_byHadynWiseman.lambda</ItemName>
    <ItemDescription/>
    <ItemType>Text</ItemType>
    <ItemSubtype/>
    <LastUpdated>2026-10-09T12:11:51.6297479+00:00</LastUpdated>
    <CustomXmlPartGuid>{353950F5-0FD7-4D98-A740-FD5C8C715097}</CustomXmlPartGuid>
  </CustomXmlPartIndex>
  <CustomXmlPartIndex>
    <CollectionName>HotkeyCommands</CollectionName>
    <ItemName>BiRow_byHadynWiseman.lambda</ItemName>
    <ItemDescription/>
    <ItemType>Text</ItemType>
    <ItemSubtype/>
    <LastUpdated>2026-10-09T12:11:51.6307956+00:00</LastUpdated>
    <CustomXmlPartGuid>{59558348-9FA0-4B97-9A3A-377A23B1869E}</CustomXmlPartGuid>
  </CustomXmlPartIndex>
  <CustomXmlPartIndex>
    <CollectionName>HotkeyCommands</CollectionName>
    <ItemName>BoardGameMove_byHadynWiseman.lambda</ItemName>
    <ItemDescription/>
    <ItemType>Text</ItemType>
    <ItemSubtype/>
    <LastUpdated>2026-10-09T12:11:51.6317966+00:00</LastUpdated>
    <CustomXmlPartGuid>{7E1B659C-CF64-4AF0-9FA1-784BC3E25131}</CustomXmlPartGuid>
  </CustomXmlPartIndex>
  <CustomXmlPartIndex>
    <CollectionName>HotkeyCommands</CollectionName>
    <ItemName>ClosestOnMap_byHadynWiseman.lambda</ItemName>
    <ItemDescription/>
    <ItemType>Text</ItemType>
    <ItemSubtype/>
    <LastUpdated>2026-10-09T12:11:51.6327974+00:00</LastUpdated>
    <CustomXmlPartGuid>{A43A433D-D952-465E-892C-A61C6169B6D5}</CustomXmlPartGuid>
  </CustomXmlPartIndex>
  <CustomXmlPartIndex>
    <CollectionName>HotkeyCommands</CollectionName>
    <ItemName>ColNum_byHadynWiseman.lambda</ItemName>
    <ItemDescription/>
    <ItemType>Text</ItemType>
    <ItemSubtype/>
    <LastUpdated>2026-10-09T12:11:51.6343014+00:00</LastUpdated>
    <CustomXmlPartGuid>{05958C26-E3D1-43D9-9203-1802B8D97404}</CustomXmlPartGuid>
  </CustomXmlPartIndex>
  <CustomXmlPartIndex>
    <CollectionName>HotkeyCommands</CollectionName>
    <ItemName>Combinations_byHadynWiseman.lambda</ItemName>
    <ItemDescription/>
    <ItemType>Text</ItemType>
    <ItemSubtype/>
    <LastUpdated>2026-10-09T12:11:51.6363042+00:00</LastUpdated>
    <CustomXmlPartGuid>{4321C5FB-996B-41A3-95ED-0F6C87758249}</CustomXmlPartGuid>
  </CustomXmlPartIndex>
  <CustomXmlPartIndex>
    <CollectionName>HotkeyCommands</CollectionName>
    <ItemName>Dice_byHadynWiseman.lambda</ItemName>
    <ItemDescription/>
    <ItemType>Text</ItemType>
    <ItemSubtype/>
    <LastUpdated>2026-10-09T12:11:51.6373051+00:00</LastUpdated>
    <CustomXmlPartGuid>{E7C3FC10-EE89-43E7-88BD-38DE4DB8C4C3}</CustomXmlPartGuid>
  </CustomXmlPartIndex>
  <CustomXmlPartIndex>
    <CollectionName>HotkeyCommands</CollectionName>
    <ItemName>DiffByRow_byJaqKennedy.lambda</ItemName>
    <ItemDescription/>
    <ItemType>Text</ItemType>
    <ItemSubtype/>
    <LastUpdated>2026-10-09T12:11:51.6383068+00:00</LastUpdated>
    <CustomXmlPartGuid>{5C2E4A1E-C7DF-4576-97B0-39DD1450449C}</CustomXmlPartGuid>
  </CustomXmlPartIndex>
  <CustomXmlPartIndex>
    <CollectionName>HotkeyCommands</CollectionName>
    <ItemName>Distance_byHadynWiseman.lambda</ItemName>
    <ItemDescription/>
    <ItemType>Text</ItemType>
    <ItemSubtype/>
    <LastUpdated>2026-10-09T12:11:51.6403085+00:00</LastUpdated>
    <CustomXmlPartGuid>{E16A87AC-8F0A-496C-92D7-7DCC2F8D595D}</CustomXmlPartGuid>
  </CustomXmlPartIndex>
  <CustomXmlPartIndex>
    <CollectionName>HotkeyCommands</CollectionName>
    <ItemName>Exists_byHadynWiseman.lambda</ItemName>
    <ItemDescription/>
    <ItemType>Text</ItemType>
    <ItemSubtype/>
    <LastUpdated>2026-10-09T12:11:51.6413095+00:00</LastUpdated>
    <CustomXmlPartGuid>{FB175206-B447-4CC5-84CD-A4F19FD483D5}</CustomXmlPartGuid>
  </CustomXmlPartIndex>
  <CustomXmlPartIndex>
    <CollectionName>HotkeyCommands</CollectionName>
    <ItemName>Extract_byJaqKennedy.lambda</ItemName>
    <ItemDescription/>
    <ItemType>Text</ItemType>
    <ItemSubtype/>
    <LastUpdated>2026-10-09T12:11:51.6433110+00:00</LastUpdated>
    <CustomXmlPartGuid>{0E5E5368-B740-4F83-9273-A72709A2F837}</CustomXmlPartGuid>
  </CustomXmlPartIndex>
  <CustomXmlPartIndex>
    <CollectionName>HotkeyCommands</CollectionName>
    <ItemName>FilterArray_byErikOehm.lambda</ItemName>
    <ItemDescription/>
    <ItemType>Text</ItemType>
    <ItemSubtype/>
    <LastUpdated>2026-10-09T12:11:51.6453131+00:00</LastUpdated>
    <CustomXmlPartGuid>{703ED32A-35BE-4110-ADC8-063E9168D3AB}</CustomXmlPartGuid>
  </CustomXmlPartIndex>
  <CustomXmlPartIndex>
    <CollectionName>HotkeyCommands</CollectionName>
    <ItemName>FindInMap_byHadynWiseman.lambda</ItemName>
    <ItemDescription/>
    <ItemType>Text</ItemType>
    <ItemSubtype/>
    <LastUpdated>2026-10-09T12:11:51.6473148+00:00</LastUpdated>
    <CustomXmlPartGuid>{824708FF-8D8C-4B25-AA00-32D823C5CA21}</CustomXmlPartGuid>
  </CustomXmlPartIndex>
  <CustomXmlPartIndex>
    <CollectionName>HotkeyCommands</CollectionName>
    <ItemName>Flip_byHadynWiseman.lambda</ItemName>
    <ItemDescription/>
    <ItemType>Text</ItemType>
    <ItemSubtype/>
    <LastUpdated>2026-10-09T12:11:51.6483156+00:00</LastUpdated>
    <CustomXmlPartGuid>{5A85A277-A60E-4F49-B25C-A0902D98B2C4}</CustomXmlPartGuid>
  </CustomXmlPartIndex>
  <CustomXmlPartIndex>
    <CollectionName>HotkeyCommands</CollectionName>
    <ItemName>GetAddress.lambda</ItemName>
    <ItemDescription/>
    <ItemType>Text</ItemType>
    <ItemSubtype/>
    <LastUpdated>2026-10-09T12:11:51.6503176+00:00</LastUpdated>
    <CustomXmlPartGuid>{5B7C04E4-F910-4392-8BD2-B9FC27E31B70}</CustomXmlPartGuid>
  </CustomXmlPartIndex>
  <CustomXmlPartIndex>
    <CollectionName>HotkeyCommands</CollectionName>
    <ItemName>GetAddressesByLookup.lambda</ItemName>
    <ItemDescription/>
    <ItemType>Text</ItemType>
    <ItemSubtype/>
    <LastUpdated>2026-10-09T12:11:51.6528219+00:00</LastUpdated>
    <CustomXmlPartGuid>{6A267448-6CA9-4A07-8847-22FD41B762C1}</CustomXmlPartGuid>
  </CustomXmlPartIndex>
  <CustomXmlPartIndex>
    <CollectionName>HotkeyCommands</CollectionName>
    <ItemName>GRIDTOCOL_byLiannaGerrish.lambda</ItemName>
    <ItemDescription/>
    <ItemType>Text</ItemType>
    <ItemSubtype/>
    <LastUpdated>2026-10-09T12:11:51.6538233+00:00</LastUpdated>
    <CustomXmlPartGuid>{9489DD57-E33F-45C8-A6B9-CF24097DFA61}</CustomXmlPartGuid>
  </CustomXmlPartIndex>
  <CustomXmlPartIndex>
    <CollectionName>HotkeyCommands</CollectionName>
    <ItemName>IFBLANK.lambda</ItemName>
    <ItemDescription/>
    <ItemType>Text</ItemType>
    <ItemSubtype/>
    <LastUpdated>2026-10-09T12:11:51.6558252+00:00</LastUpdated>
    <CustomXmlPartGuid>{F0115A7B-DC63-4C48-95C3-4D7A34B3BB0E}</CustomXmlPartGuid>
  </CustomXmlPartIndex>
  <CustomXmlPartIndex>
    <CollectionName>HotkeyCommands</CollectionName>
    <ItemName>IsInList_byErikOehm.lambda</ItemName>
    <ItemDescription/>
    <ItemType>Text</ItemType>
    <ItemSubtype/>
    <LastUpdated>2026-10-09T12:11:51.6578270+00:00</LastUpdated>
    <CustomXmlPartGuid>{9FF1AADD-16AD-4CA8-9CF0-319CDCB7DD7E}</CustomXmlPartGuid>
  </CustomXmlPartIndex>
  <CustomXmlPartIndex>
    <CollectionName>HotkeyCommands</CollectionName>
    <ItemName>LkpRC.lambda</ItemName>
    <ItemDescription/>
    <ItemType>Text</ItemType>
    <ItemSubtype/>
    <LastUpdated>2026-10-09T12:11:51.6608297+00:00</LastUpdated>
    <CustomXmlPartGuid>{2A2CAA49-D828-46BC-93A5-40D6D5CB00C0}</CustomXmlPartGuid>
  </CustomXmlPartIndex>
  <CustomXmlPartIndex>
    <CollectionName>HotkeyCommands</CollectionName>
    <ItemName>LkpRCByRow.lambda</ItemName>
    <ItemDescription/>
    <ItemType>Text</ItemType>
    <ItemSubtype/>
    <LastUpdated>2026-10-09T12:11:51.6628315+00:00</LastUpdated>
    <CustomXmlPartGuid>{C7E35D92-A619-4D4B-826A-27D080EBC84C}</CustomXmlPartGuid>
  </CustomXmlPartIndex>
  <CustomXmlPartIndex>
    <CollectionName>HotkeyCommands</CollectionName>
    <ItemName>MazeDistance_byHadynWiseman.lambda</ItemName>
    <ItemDescription/>
    <ItemType>Text</ItemType>
    <ItemSubtype/>
    <LastUpdated>2026-10-09T12:11:51.6648334+00:00</LastUpdated>
    <CustomXmlPartGuid>{794B88C7-6629-4DC3-A3E5-7BB162E75910}</CustomXmlPartGuid>
  </CustomXmlPartIndex>
  <CustomXmlPartIndex>
    <CollectionName>HotkeyCommands</CollectionName>
    <ItemName>MM_byHaDang.lambda</ItemName>
    <ItemDescription/>
    <ItemType>Text</ItemType>
    <ItemSubtype/>
    <LastUpdated>2026-10-09T12:11:51.6668351+00:00</LastUpdated>
    <CustomXmlPartGuid>{08222260-76CA-44A7-938F-1F301CBDA669}</CustomXmlPartGuid>
  </CustomXmlPartIndex>
  <CustomXmlPartIndex>
    <CollectionName>HotkeyCommands</CollectionName>
    <ItemName>PerCom_byBoRydobon.lambda</ItemName>
    <ItemDescription/>
    <ItemType>Text</ItemType>
    <ItemSubtype/>
    <LastUpdated>2026-10-09T12:11:51.6698378+00:00</LastUpdated>
    <CustomXmlPartGuid>{314086A5-E895-4278-8733-545291FAD6A6}</CustomXmlPartGuid>
  </CustomXmlPartIndex>
  <CustomXmlPartIndex>
    <CollectionName>HotkeyCommands</CollectionName>
    <ItemName>Regions_byHadynWiseman.lambda</ItemName>
    <ItemDescription/>
    <ItemType>Text</ItemType>
    <ItemSubtype/>
    <LastUpdated>2026-10-09T12:11:51.6718397+00:00</LastUpdated>
    <CustomXmlPartGuid>{DCA22E0F-7155-4464-9123-4CAC6EAD921D}</CustomXmlPartGuid>
  </CustomXmlPartIndex>
  <CustomXmlPartIndex>
    <CollectionName>HotkeyCommands</CollectionName>
    <ItemName>RightAlignedArray_byJaqKennedy.lambda</ItemName>
    <ItemDescription/>
    <ItemType>Text</ItemType>
    <ItemSubtype/>
    <LastUpdated>2026-10-09T12:11:51.6738417+00:00</LastUpdated>
    <CustomXmlPartGuid>{05821652-98C8-4F46-913D-A2BBB8AA7793}</CustomXmlPartGuid>
  </CustomXmlPartIndex>
  <CustomXmlPartIndex>
    <CollectionName>HotkeyCommands</CollectionName>
    <ItemName>Rotate_byHadynWiseman.lambda</ItemName>
    <ItemDescription/>
    <ItemType>Text</ItemType>
    <ItemSubtype/>
    <LastUpdated>2026-10-09T12:11:51.6768442+00:00</LastUpdated>
    <CustomXmlPartGuid>{E6BBE98A-6D38-4170-923B-A7E403C20312}</CustomXmlPartGuid>
  </CustomXmlPartIndex>
  <CustomXmlPartIndex>
    <CollectionName>HotkeyCommands</CollectionName>
    <ItemName>RowNum_byHadynWiseman.lambda</ItemName>
    <ItemDescription/>
    <ItemType>Text</ItemType>
    <ItemSubtype/>
    <LastUpdated>2026-10-09T12:11:51.6788461+00:00</LastUpdated>
    <CustomXmlPartGuid>{4F3B43DD-CD02-439D-A641-F01D9CA9D6A3}</CustomXmlPartGuid>
  </CustomXmlPartIndex>
  <CustomXmlPartIndex>
    <CollectionName>HotkeyCommands</CollectionName>
    <ItemName>RunningTotal_byJaqKennedy.lambda</ItemName>
    <ItemDescription/>
    <ItemType>Text</ItemType>
    <ItemSubtype/>
    <LastUpdated>2026-10-09T12:11:51.6818487+00:00</LastUpdated>
    <CustomXmlPartGuid>{D2FE4DC5-0337-457C-A4AE-CE1D63337F34}</CustomXmlPartGuid>
  </CustomXmlPartIndex>
  <CustomXmlPartIndex>
    <CollectionName>HotkeyCommands</CollectionName>
    <ItemName>SplitText_byHadynWiseman.lambda</ItemName>
    <ItemDescription/>
    <ItemType>Text</ItemType>
    <ItemSubtype/>
    <LastUpdated>2026-10-09T12:11:51.6848515+00:00</LastUpdated>
    <CustomXmlPartGuid>{107B0341-0E94-43D0-BD42-CED95CD11DC9}</CustomXmlPartGuid>
  </CustomXmlPartIndex>
  <CustomXmlPartIndex>
    <CollectionName>HotkeyCommands</CollectionName>
    <ItemName>HotkeyCommands</ItemName>
    <ItemDescription/>
    <ItemType>JSON</ItemType>
    <LastUpdated>2026-10-11T11:40:46.9787003+00:00</LastUpdated>
    <CustomXmlPartGuid>{6B6FD9AD-D6DB-4B16-A00C-C9BD57D0A177}</CustomXmlPartGuid>
  </CustomXmlPartIndex>
</writeIndexDataTable>
</file>

<file path=customXml/item44.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45.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46.xml><?xml version="1.0" encoding="utf-8"?>
<Text><![CDATA[
IFBLANK = LAMBDA(value,value_if_blank, IF(ISBLANK(value), value_if_blank, value));
]]></Text>
</file>

<file path=customXml/item47.xml>�� 
</file>

<file path=customXml/item48.xml><?xml version="1.0" encoding="utf-8"?>
<Text><![CDATA[
ADDRESSES_byDiarmuidEarly = LAMBDA(rng, ADDRESS(ROW(rng), COLUMN(rng), 4));
]]></Text>
</file>

<file path=customXml/item49.xml><?xml version="1.0" encoding="utf-8"?>
<Text><![CDATA[
]]></Text>
</file>

<file path=customXml/itemProps1.xml><?xml version="1.0" encoding="utf-8"?>
<ds:datastoreItem xmlns:ds="http://schemas.openxmlformats.org/officeDocument/2006/customXml" ds:itemID="{9FF1AADD-16AD-4CA8-9CF0-319CDCB7DD7E}">
  <ds:schemaRefs/>
</ds:datastoreItem>
</file>

<file path=customXml/itemProps2.xml><?xml version="1.0" encoding="utf-8"?>
<ds:datastoreItem xmlns:ds="http://schemas.openxmlformats.org/officeDocument/2006/customXml" ds:itemID="{107B0341-0E94-43D0-BD42-CED95CD11DC9}">
  <ds:schemaRefs/>
</ds:datastoreItem>
</file>

<file path=customXml/itemProps3.xml><?xml version="1.0" encoding="utf-8"?>
<ds:datastoreItem xmlns:ds="http://schemas.openxmlformats.org/officeDocument/2006/customXml" ds:itemID="{A83826B5-B686-40BC-844F-041648993120}">
  <ds:schemaRefs/>
</ds:datastoreItem>
</file>

<file path=customXml/itemProps4.xml><?xml version="1.0" encoding="utf-8"?>
<ds:datastoreItem xmlns:ds="http://schemas.openxmlformats.org/officeDocument/2006/customXml" ds:itemID="{9489DD57-E33F-45C8-A6B9-CF24097DFA61}">
  <ds:schemaRefs/>
</ds:datastoreItem>
</file>

<file path=customXml/itemProps5.xml><?xml version="1.0" encoding="utf-8"?>
<ds:datastoreItem xmlns:ds="http://schemas.openxmlformats.org/officeDocument/2006/customXml" ds:itemID="{FB175206-B447-4CC5-84CD-A4F19FD483D5}">
  <ds:schemaRefs/>
</ds:datastoreItem>
</file>

<file path=customXml/itemProps6.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7.xml><?xml version="1.0" encoding="utf-8"?>
<ds:datastoreItem xmlns:ds="http://schemas.openxmlformats.org/officeDocument/2006/customXml" ds:itemID="{05958C26-E3D1-43D9-9203-1802B8D97404}">
  <ds:schemaRefs/>
</ds:datastoreItem>
</file>

<file path=customXml/itemProps8.xml><?xml version="1.0" encoding="utf-8"?>
<ds:datastoreItem xmlns:ds="http://schemas.openxmlformats.org/officeDocument/2006/customXml" ds:itemID="{5C2E4A1E-C7DF-4576-97B0-39DD1450449C}">
  <ds:schemaRefs/>
</ds:datastoreItem>
</file>

<file path=customXml/itemProps9.xml><?xml version="1.0" encoding="utf-8"?>
<ds:datastoreItem xmlns:ds="http://schemas.openxmlformats.org/officeDocument/2006/customXml" ds:itemID="{314086A5-E895-4278-8733-545291FAD6A6}">
  <ds:schemaRefs/>
</ds:datastoreItem>
</file>

<file path=customXml/itemProps10.xml><?xml version="1.0" encoding="utf-8"?>
<ds:datastoreItem xmlns:ds="http://schemas.openxmlformats.org/officeDocument/2006/customXml" ds:itemID="{26913951-5EAC-4A58-B59D-3F2C7E1A8B29}">
  <ds:schemaRefs/>
</ds:datastoreItem>
</file>

<file path=customXml/itemProps11.xml><?xml version="1.0" encoding="utf-8"?>
<ds:datastoreItem xmlns:ds="http://schemas.openxmlformats.org/officeDocument/2006/customXml" ds:itemID="{5A85A277-A60E-4F49-B25C-A0902D98B2C4}">
  <ds:schemaRefs/>
</ds:datastoreItem>
</file>

<file path=customXml/itemProps12.xml><?xml version="1.0" encoding="utf-8"?>
<ds:datastoreItem xmlns:ds="http://schemas.openxmlformats.org/officeDocument/2006/customXml" ds:itemID="{A43A433D-D952-465E-892C-A61C6169B6D5}">
  <ds:schemaRefs/>
</ds:datastoreItem>
</file>

<file path=customXml/itemProps13.xml><?xml version="1.0" encoding="utf-8"?>
<ds:datastoreItem xmlns:ds="http://schemas.openxmlformats.org/officeDocument/2006/customXml" ds:itemID="{2EC15307-E297-4155-8C64-BD7C819FC834}">
  <ds:schemaRefs/>
</ds:datastoreItem>
</file>

<file path=customXml/itemProps14.xml><?xml version="1.0" encoding="utf-8"?>
<ds:datastoreItem xmlns:ds="http://schemas.openxmlformats.org/officeDocument/2006/customXml" ds:itemID="{4F3B43DD-CD02-439D-A641-F01D9CA9D6A3}">
  <ds:schemaRefs/>
</ds:datastoreItem>
</file>

<file path=customXml/itemProps15.xml><?xml version="1.0" encoding="utf-8"?>
<ds:datastoreItem xmlns:ds="http://schemas.openxmlformats.org/officeDocument/2006/customXml" ds:itemID="{59558348-9FA0-4B97-9A3A-377A23B1869E}">
  <ds:schemaRefs/>
</ds:datastoreItem>
</file>

<file path=customXml/itemProps16.xml><?xml version="1.0" encoding="utf-8"?>
<ds:datastoreItem xmlns:ds="http://schemas.openxmlformats.org/officeDocument/2006/customXml" ds:itemID="{148CA7B6-1095-4B59-A609-F0DD3983C05B}">
  <ds:schemaRefs/>
</ds:datastoreItem>
</file>

<file path=customXml/itemProps17.xml><?xml version="1.0" encoding="utf-8"?>
<ds:datastoreItem xmlns:ds="http://schemas.openxmlformats.org/officeDocument/2006/customXml" ds:itemID="{05821652-98C8-4F46-913D-A2BBB8AA7793}">
  <ds:schemaRefs/>
</ds:datastoreItem>
</file>

<file path=customXml/itemProps18.xml><?xml version="1.0" encoding="utf-8"?>
<ds:datastoreItem xmlns:ds="http://schemas.openxmlformats.org/officeDocument/2006/customXml" ds:itemID="{4E9FD6E5-37CB-441F-9645-F6D489E32598}">
  <ds:schemaRefs/>
</ds:datastoreItem>
</file>

<file path=customXml/itemProps19.xml><?xml version="1.0" encoding="utf-8"?>
<ds:datastoreItem xmlns:ds="http://schemas.openxmlformats.org/officeDocument/2006/customXml" ds:itemID="{1A9F9B0F-1F08-4F37-9A0C-B6CBC0761010}">
  <ds:schemaRefs/>
</ds:datastoreItem>
</file>

<file path=customXml/itemProps20.xml><?xml version="1.0" encoding="utf-8"?>
<ds:datastoreItem xmlns:ds="http://schemas.openxmlformats.org/officeDocument/2006/customXml" ds:itemID="{E6BBE98A-6D38-4170-923B-A7E403C20312}">
  <ds:schemaRefs/>
</ds:datastoreItem>
</file>

<file path=customXml/itemProps21.xml><?xml version="1.0" encoding="utf-8"?>
<ds:datastoreItem xmlns:ds="http://schemas.openxmlformats.org/officeDocument/2006/customXml" ds:itemID="{B3FD0068-9C97-44E4-93C5-75B53553265A}">
  <ds:schemaRefs/>
</ds:datastoreItem>
</file>

<file path=customXml/itemProps22.xml><?xml version="1.0" encoding="utf-8"?>
<ds:datastoreItem xmlns:ds="http://schemas.openxmlformats.org/officeDocument/2006/customXml" ds:itemID="{2A2CAA49-D828-46BC-93A5-40D6D5CB00C0}">
  <ds:schemaRefs/>
</ds:datastoreItem>
</file>

<file path=customXml/itemProps23.xml><?xml version="1.0" encoding="utf-8"?>
<ds:datastoreItem xmlns:ds="http://schemas.openxmlformats.org/officeDocument/2006/customXml" ds:itemID="{E16A87AC-8F0A-496C-92D7-7DCC2F8D595D}">
  <ds:schemaRefs/>
</ds:datastoreItem>
</file>

<file path=customXml/itemProps24.xml><?xml version="1.0" encoding="utf-8"?>
<ds:datastoreItem xmlns:ds="http://schemas.openxmlformats.org/officeDocument/2006/customXml" ds:itemID="{B571487A-B756-47F9-A161-3EF0D733037B}">
  <ds:schemaRefs/>
</ds:datastoreItem>
</file>

<file path=customXml/itemProps25.xml><?xml version="1.0" encoding="utf-8"?>
<ds:datastoreItem xmlns:ds="http://schemas.openxmlformats.org/officeDocument/2006/customXml" ds:itemID="{5B7C04E4-F910-4392-8BD2-B9FC27E31B70}">
  <ds:schemaRefs/>
</ds:datastoreItem>
</file>

<file path=customXml/itemProps26.xml><?xml version="1.0" encoding="utf-8"?>
<ds:datastoreItem xmlns:ds="http://schemas.openxmlformats.org/officeDocument/2006/customXml" ds:itemID="{824708FF-8D8C-4B25-AA00-32D823C5CA21}">
  <ds:schemaRefs/>
</ds:datastoreItem>
</file>

<file path=customXml/itemProps27.xml><?xml version="1.0" encoding="utf-8"?>
<ds:datastoreItem xmlns:ds="http://schemas.openxmlformats.org/officeDocument/2006/customXml" ds:itemID="{6A267448-6CA9-4A07-8847-22FD41B762C1}">
  <ds:schemaRefs/>
</ds:datastoreItem>
</file>

<file path=customXml/itemProps28.xml><?xml version="1.0" encoding="utf-8"?>
<ds:datastoreItem xmlns:ds="http://schemas.openxmlformats.org/officeDocument/2006/customXml" ds:itemID="{D2670061-FB7D-41F0-AB90-118C32DC6B5A}">
  <ds:schemaRefs/>
</ds:datastoreItem>
</file>

<file path=customXml/itemProps29.xml><?xml version="1.0" encoding="utf-8"?>
<ds:datastoreItem xmlns:ds="http://schemas.openxmlformats.org/officeDocument/2006/customXml" ds:itemID="{794B88C7-6629-4DC3-A3E5-7BB162E75910}">
  <ds:schemaRefs/>
</ds:datastoreItem>
</file>

<file path=customXml/itemProps30.xml><?xml version="1.0" encoding="utf-8"?>
<ds:datastoreItem xmlns:ds="http://schemas.openxmlformats.org/officeDocument/2006/customXml" ds:itemID="{6B6FD9AD-D6DB-4B16-A00C-C9BD57D0A177}">
  <ds:schemaRefs/>
</ds:datastoreItem>
</file>

<file path=customXml/itemProps31.xml><?xml version="1.0" encoding="utf-8"?>
<ds:datastoreItem xmlns:ds="http://schemas.openxmlformats.org/officeDocument/2006/customXml" ds:itemID="{CC8676E6-6DD4-4D3A-B5C3-FEDBE93B926B}">
  <ds:schemaRefs/>
</ds:datastoreItem>
</file>

<file path=customXml/itemProps32.xml><?xml version="1.0" encoding="utf-8"?>
<ds:datastoreItem xmlns:ds="http://schemas.openxmlformats.org/officeDocument/2006/customXml" ds:itemID="{4321C5FB-996B-41A3-95ED-0F6C87758249}">
  <ds:schemaRefs/>
</ds:datastoreItem>
</file>

<file path=customXml/itemProps33.xml><?xml version="1.0" encoding="utf-8"?>
<ds:datastoreItem xmlns:ds="http://schemas.openxmlformats.org/officeDocument/2006/customXml" ds:itemID="{703ED32A-35BE-4110-ADC8-063E9168D3AB}">
  <ds:schemaRefs/>
</ds:datastoreItem>
</file>

<file path=customXml/itemProps34.xml><?xml version="1.0" encoding="utf-8"?>
<ds:datastoreItem xmlns:ds="http://schemas.openxmlformats.org/officeDocument/2006/customXml" ds:itemID="{E7C3FC10-EE89-43E7-88BD-38DE4DB8C4C3}">
  <ds:schemaRefs/>
</ds:datastoreItem>
</file>

<file path=customXml/itemProps35.xml><?xml version="1.0" encoding="utf-8"?>
<ds:datastoreItem xmlns:ds="http://schemas.openxmlformats.org/officeDocument/2006/customXml" ds:itemID="{927F1119-D752-48D4-81B7-CAE50CC6AEFB}">
  <ds:schemaRefs/>
</ds:datastoreItem>
</file>

<file path=customXml/itemProps36.xml><?xml version="1.0" encoding="utf-8"?>
<ds:datastoreItem xmlns:ds="http://schemas.openxmlformats.org/officeDocument/2006/customXml" ds:itemID="{C7E35D92-A619-4D4B-826A-27D080EBC84C}">
  <ds:schemaRefs/>
</ds:datastoreItem>
</file>

<file path=customXml/itemProps37.xml><?xml version="1.0" encoding="utf-8"?>
<ds:datastoreItem xmlns:ds="http://schemas.openxmlformats.org/officeDocument/2006/customXml" ds:itemID="{0E5E5368-B740-4F83-9273-A72709A2F837}">
  <ds:schemaRefs/>
</ds:datastoreItem>
</file>

<file path=customXml/itemProps38.xml><?xml version="1.0" encoding="utf-8"?>
<ds:datastoreItem xmlns:ds="http://schemas.openxmlformats.org/officeDocument/2006/customXml" ds:itemID="{77900331-8BCF-4A61-83B4-0F22D244E56E}">
  <ds:schemaRefs/>
</ds:datastoreItem>
</file>

<file path=customXml/itemProps39.xml><?xml version="1.0" encoding="utf-8"?>
<ds:datastoreItem xmlns:ds="http://schemas.openxmlformats.org/officeDocument/2006/customXml" ds:itemID="{DCA22E0F-7155-4464-9123-4CAC6EAD921D}">
  <ds:schemaRefs/>
</ds:datastoreItem>
</file>

<file path=customXml/itemProps40.xml><?xml version="1.0" encoding="utf-8"?>
<ds:datastoreItem xmlns:ds="http://schemas.openxmlformats.org/officeDocument/2006/customXml" ds:itemID="{7E1B659C-CF64-4AF0-9FA1-784BC3E25131}">
  <ds:schemaRefs/>
</ds:datastoreItem>
</file>

<file path=customXml/itemProps41.xml><?xml version="1.0" encoding="utf-8"?>
<ds:datastoreItem xmlns:ds="http://schemas.openxmlformats.org/officeDocument/2006/customXml" ds:itemID="{353950F5-0FD7-4D98-A740-FD5C8C715097}">
  <ds:schemaRefs/>
</ds:datastoreItem>
</file>

<file path=customXml/itemProps42.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43.xml><?xml version="1.0" encoding="utf-8"?>
<ds:datastoreItem xmlns:ds="http://schemas.openxmlformats.org/officeDocument/2006/customXml" ds:itemID="{B0F6DD9A-85E5-4E81-8789-215F23B5D491}">
  <ds:schemaRefs>
    <ds:schemaRef ds:uri=""/>
    <ds:schemaRef ds:uri="http://www.w3.org/2001/XMLSchema"/>
    <ds:schemaRef ds:uri="urn:schemas-microsoft-com:xml-msdata"/>
  </ds:schemaRefs>
</ds:datastoreItem>
</file>

<file path=customXml/itemProps44.xml><?xml version="1.0" encoding="utf-8"?>
<ds:datastoreItem xmlns:ds="http://schemas.openxmlformats.org/officeDocument/2006/customXml" ds:itemID="{60136850-0A80-46DA-A7BC-83E4B88FD331}">
  <ds:schemaRefs/>
</ds:datastoreItem>
</file>

<file path=customXml/itemProps45.xml><?xml version="1.0" encoding="utf-8"?>
<ds:datastoreItem xmlns:ds="http://schemas.openxmlformats.org/officeDocument/2006/customXml" ds:itemID="{08222260-76CA-44A7-938F-1F301CBDA669}">
  <ds:schemaRefs/>
</ds:datastoreItem>
</file>

<file path=customXml/itemProps46.xml><?xml version="1.0" encoding="utf-8"?>
<ds:datastoreItem xmlns:ds="http://schemas.openxmlformats.org/officeDocument/2006/customXml" ds:itemID="{F0115A7B-DC63-4C48-95C3-4D7A34B3BB0E}">
  <ds:schemaRefs/>
</ds:datastoreItem>
</file>

<file path=customXml/itemProps47.xml><?xml version="1.0" encoding="utf-8"?>
<ds:datastoreItem xmlns:ds="http://schemas.openxmlformats.org/officeDocument/2006/customXml" ds:itemID="{05553D37-558F-48A1-9DC4-4CE07CDFF43D}">
  <ds:schemaRefs>
    <ds:schemaRef ds:uri="http://schemas.microsoft.com/DataMashup"/>
  </ds:schemaRefs>
</ds:datastoreItem>
</file>

<file path=customXml/itemProps48.xml><?xml version="1.0" encoding="utf-8"?>
<ds:datastoreItem xmlns:ds="http://schemas.openxmlformats.org/officeDocument/2006/customXml" ds:itemID="{9C3962FE-B426-46FD-8FB0-7535580B8A92}">
  <ds:schemaRefs/>
</ds:datastoreItem>
</file>

<file path=customXml/itemProps49.xml><?xml version="1.0" encoding="utf-8"?>
<ds:datastoreItem xmlns:ds="http://schemas.openxmlformats.org/officeDocument/2006/customXml" ds:itemID="{D2FE4DC5-0337-457C-A4AE-CE1D63337F3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2026-10-15T20:31:48Z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{B0F6DD9A-85E5-4E81-8789-215F23B5D491}</vt:lpwstr>
  </property>
  <property fmtid="{D5CDD505-2E9C-101B-9397-08002B2CF9AE}" pid="4" name="OA Tools Last Modified">
    <vt:lpwstr>2026-10-11 11:40:47 UTC</vt:lpwstr>
  </property>
  <property fmtid="{D5CDD505-2E9C-101B-9397-08002B2CF9AE}" pid="5" name="OA Tools Last Modified Precise">
    <vt:lpwstr>2026-10-11T11:40:47.1897565+00:00</vt:lpwstr>
  </property>
</Properties>
</file>