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OA Robot/"/>
    </mc:Choice>
  </mc:AlternateContent>
  <xr:revisionPtr revIDLastSave="520" documentId="8_{A230C946-2769-48D5-87B5-4AB19236B738}" xr6:coauthVersionLast="47" xr6:coauthVersionMax="47" xr10:uidLastSave="{8A6B6981-42AC-4259-8815-E2A0FBDB4AEB}"/>
  <bookViews>
    <workbookView xWindow="-108" yWindow="-108" windowWidth="30936" windowHeight="18696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state="hidden" r:id="rId6"/>
  </sheets>
  <functionGroups builtInGroupCount="19"/>
  <definedNames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HSTACK" hidden="1" xlm="1">#NAME?</definedName>
    <definedName name="_xleta.LEFT" hidden="1" xlm="1">#NAME?</definedName>
    <definedName name="_xleta.MIN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CleanData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latten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n" hidden="1" xlm="1">#NAME?</definedName>
    <definedName name="_xlop.include_grand_total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ut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Upp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GetMax" hidden="1" xlm="1">#NAME?</definedName>
    <definedName name="_xlpm._GetMin" hidden="1" xlm="1">#NAME?</definedName>
    <definedName name="_xlpm._include" hidden="1" xlm="1">#NAME?</definedName>
    <definedName name="_xlpm._Included" hidden="1" xlm="1">#NAME?</definedName>
    <definedName name="_xlpm._IsArray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MinMax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Transpose" hidden="1" xlm="1">#NAME?</definedName>
    <definedName name="_xlpm._unique" hidden="1" xlm="1">#NAME?</definedName>
    <definedName name="_xlpm._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arr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cardind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ar" hidden="1" xlm="1">#NAME?</definedName>
    <definedName name="_xlpm.Card" hidden="1" xlm="1">#NAME?</definedName>
    <definedName name="_xlpm.CardComment" hidden="1" xlm="1">#NAME?</definedName>
    <definedName name="_xlpm.CardInd" hidden="1" xlm="1">#NAME?</definedName>
    <definedName name="_xlpm.Cards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eanData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ilter_values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ol" hidden="1" xlm="1">#NAME?</definedName>
    <definedName name="_xlpm.firstrow" hidden="1" xlm="1">#NAME?</definedName>
    <definedName name="_xlpm.Flatten" hidden="1" xlm="1">#NAME?</definedName>
    <definedName name="_xlpm.fnSingle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kpin" hidden="1" xlm="1">#NAME?</definedName>
    <definedName name="_xlpm.lkpout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atchMode" hidden="1" xlm="1">#NAME?</definedName>
    <definedName name="_xlpm.Mcls" hidden="1" xlm="1">#NAME?</definedName>
    <definedName name="_xlpm.mExist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Data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hird" hidden="1" xlm="1">#NAME?</definedName>
    <definedName name="_xlpm.ToFind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List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_byDiarmuidEarly" comment="Returns the cell address of a range">_xlfn.LAMBDA(_xlpm.rng, ADDRESS(ROW(_xlpm.rng), COLUMN(_xlpm.rng), 4))</definedName>
    <definedName name="ARROWSHIFT_byEmilieWilliams">_xlfn.LAMBDA(_xlpm.starting_cell,_xlpm.arrow, _xlfn.LET(
   _xlpm.Arrows, _xlfn.VSTACK("↗", "↓", "↖", "←", "→", "↙", "↘", "↑"),
   _xlpm.Cards, _xlfn.VSTACK("NE", "S", "NW", "W", "E", "SW", "SE", "N"),
   _xlpm.Arrowsx, _xlfn.VSTACK(1, 0, -1, -1, 1, -1, 1, 0),
   _xlpm.Arrowsy, _xlfn.VSTACK(-1, 1, -1, 0, 0, 1, 1, -1),
   _xlpm.CardInd, ISERROR(_xlfn.XMATCH(RIGHT(_xlpm.arrow), _xlpm.Arrows, 0)),
   _xlpm.CardComment, "Multiplier Can Only Be Used On Arrows",
   _xlpm.d, IF(_xlpm.CardInd, _xlpm.arrow, RIGHT(_xlpm.arrow, 1)),
   _xlpm.m, IF((LEN(_xlpm.arrow) = 1) + _xlpm.CardInd, 1, 1 * LEFT(_xlpm.arrow, LEN(_xlpm.arrow) - 1)),
   _xlpm.xmoveunit, _xlfn.XLOOKUP(_xlpm.d, IF(_xlpm.CardInd, _xlpm.Cards, _xlpm.Arrows), _xlpm.Arrowsx),
   _xlpm.ymoveunit, _xlfn.XLOOKUP(_xlpm.d, IF(_xlpm.CardInd, _xlpm.Cards, _xlpm.Arrows), _xlpm.Arrowsy),
   _xlpm.xmove, _xlpm.xmoveunit * _xlpm.m,
   _xlpm.ymove, _xlpm.ymoveunit * _xlpm.m,
   _xlpm.collet, _xlfn.TAKE(_xlfn.TEXTSPLIT(_xlpm.starting_cell, _xlfn.SEQUENCE(, 10, 0)), , 1),
   _xlpm.startcol, COLUMN(INDIRECT(_xlpm.collet &amp; 1)),
   _xlpm.startrow, 1 * RIGHT(_xlpm.starting_cell, LEN(_xlpm.starting_cell) - LEN(_xlpm.collet)),
   _xlpm.newcell, ADDRESS(_xlpm.startrow + _xlpm.ymove, _xlpm.startcol + _xlpm.xmove, 4),
   _xlpm.newcell
))</definedName>
    <definedName name="BiRow_byPeterBartholomew" comment="BiRow function as defined by Peter 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Decimal_Separator">'Default Settings'!$C$12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XTRACTCHAR_byHarryGross">_xlfn.LAMBDA(_xlpm.text, MID(_xlpm.text, _xlfn.SEQUENCE(, LEN(_xlpm.text), 1, 1), 1))</definedName>
    <definedName name="EXTRACTLETTERS_byHarryGros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_byHarryGross">_xlfn.LAMBDA(_xlpm.cell,_xlfn.TEXTSPLIT(_xlpm.cell,_xlfn.TEXTSPLIT(_xlpm.cell,_xlfn.SEQUENCE(10,,0),,1),,1))</definedName>
    <definedName name="EZINDARR_byLiannaGerrish" comment="Applies INDIRECT to array.  ">_xlfn.LAMBDA(_xlpm.addarr,_xlop.sheetname, _xlfn.LET(
   _xlpm.\\LambdaName, "EZINDARR_byLiannaGerrish",
   _xlpm.\\Description, "Applies INDIRECT to array",
   IFERROR(
      IF(
         COLUMNS(_xlpm.addarr) = 1,
         IF(
            OR(_xlfn.ISOMITTED(_xlpm.sheetname), _xlpm.sheetname = ""),
            INDIRECT(_xlpm.addarr),
            INDIRECT("'" &amp; _xlpm.sheetname &amp; "'!" &amp; _xlpm.addarr)
         ),
         _xlfn.HSTACK(
            EZINDARR_byLiannaGerrish(
               _xlfn.TAKE(_xlpm.addarr, , COLUMNS(_xlpm.addarr) / 2),
               IF(_xlfn.ISOMITTED(_xlpm.sheetname), "", _xlpm.sheetname)
            ),
            EZINDARR_byLiannaGerrish(
               _xlfn.DROP(_xlpm.addarr, , COLUMNS(_xlpm.addarr) / 2),
               IF(_xlfn.ISOMITTED(_xlpm.sheetname), "", _xlpm.sheetname)
            )
         )
      ),
      ""
   )
))</definedName>
    <definedName name="EZINDIRECT_byLiannaGerrish" comment="Indirect function with cell and optional sheet name">_xlfn.LAMBDA(_xlpm.cell,_xlop.sheetname,
   IF(_xlfn.ISOMITTED(_xlpm.sheetname), INDIRECT(_xlpm.cell), INDIRECT("'" &amp; _xlpm.sheetname &amp; "'!" &amp; _xlpm.cell))
)</definedName>
    <definedName name="FilterArray_byErikOehm">_xlfn.LAMBDA(_xlpm.data,_xlpm.column_indexes,_xlpm.filter_values,_xlfn.LET(_xlpm.\\LambdaName, "FilterArray", _xlfn._xlws.FILTER(_xlpm.data, _xlfn.BYROW(IsInList_byErikOehm(_xlfn.CHOOSECOLS(_xlpm.data, _xlpm.column_indexes), _xlpm.filter_values), _xlfn.LAMBDA(_xlpm.x, AND(_xlpm.x))))))</definedName>
    <definedName name="GRIDTOCOL_byLiannaGerrish">_xlfn.LAMBDA(_xlpm.grid,_xlop.ShowAll_0, _xlfn.LET(
   _xlpm.\\LambdaName, "GRIDTOCOL",
   _xlpm.items_grid, _xlfn.TOCOL(_xlpm.grid),
   _xlpm.addr_col, _xlfn.TOCOL(ADDRESSES_byDiarmuidEarly(_xlpm.grid)),
   _xlpm.rows, ROW(INDIRECT(_xlpm.addr_col)) * 1,
   _xlpm.cols, COLUMN(INDIRECT(_xlpm.addr_col)) * 1,
   _xlpm.rcnum, _xlfn.TOCOL(1000000 * _xlpm.rows + 1000 + _xlpm.cols),
   _xlpm.headers, _xlfn.HSTACK("Items", "Row #", "Column #", "Address", "RCRef"),
   _xlpm.data_grid, _xlfn.HSTACK(_xlpm.items_grid, _xlpm.rows, _xlpm.cols, _xlpm.addr_col, _xlpm.rcnum),
   IF(
      OR(_xlfn.ISOMITTED(_xlpm.ShowAll_0), _xlpm.ShowAll_0 &lt;&gt; 0),
      _xlfn.VSTACK(_xlpm.headers, _xlfn._xlws.FILTER(_xlpm.data_grid, _xlfn.CHOOSECOLS(_xlpm.data_grid, 1) &lt;&gt; 0)),
      _xlfn.VSTACK(_xlpm.headers, _xlpm.data_grid)
   )
))</definedName>
    <definedName name="IFBLANK">_xlfn.LAMBDA(_xlpm.value,_xlpm.value_if_blank, IF(ISBLANK(_xlpm.value), _xlpm.value_if_blank, _xlpm.value))</definedName>
    <definedName name="INTSECT">_xlfn.LAMBDA(_xlpm.string1,_xlpm.string2,_xlop.In,_xlop.Out, INDIRECT(IF(_xlfn.ISOMITTED(_xlpm.In) + _xlfn.ISOMITTED(_xlpm.Out), SUBSTITUTE(_xlpm.string1, " ", "_"), MEGAREPLACE(_xlpm.string1, _xlpm.In, _xlpm.Out))) INDIRECT(IF(_xlfn.ISOMITTED(_xlpm.In) + _xlfn.ISOMITTED(_xlpm.Out), SUBSTITUTE(_xlpm.string2, " ", "_"), MEGAREPLACE(_xlpm.string2, _xlpm.In, _xlpm.Out))))
                                                                                                                                                                                                                                                                LISTOFFSET = _xlfn.LAMBDA(_xlpm.arr,_xlpm.curr,_xlpm.offset,_xlpm.booLoop, _xlfn.LET(_xlpm.tarr, IF(ROWS(_xlpm.arr) &gt; 1, _xlpm.arr, TRANSPOSE(_xlpm.arr)),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IsInList_byErikOehm">_xlfn.LAMBDA(_xlpm.array,_xlpm.list,_xlfn.LET(_xlpm.\\LambdaName, "IsInList", _xlfn.MAP(_xlpm.array, _xlfn.LAMBDA(_xlpm.x, OR(_xlpm.list = _xlpm.x)))))</definedName>
    <definedName name="LanguageList">'Default Settings'!$O$10</definedName>
    <definedName name="Letters">_xlfn.LAMBDA(_xlop.Upp, _xlfn.LET(
   _xlpm.\\LambdaName, "Letters",
   _xlpm.\\CommandName, "Creates a list of letters",
   _xlpm.ABC, CHAR(_xlfn.SEQUENCE(26) + 64),
   IF((_xlpm.Upp = 1) + _xlfn.ISOMITTED((_xlpm.Upp)), _xlpm.ABC, LOWER(_xlpm.ABC))
))</definedName>
    <definedName name="LetterShift_byBendeLeon">_xlfn.LAMBDA(_xlpm.Input,_xlpm.Shft, _xlfn.LET(
   _xlpm.\\LambdaName, "LetterShift_byBendeLeon",
   _xlpm.\\CommandName, "Shifts letters",
   _xlpm.\\Source, "Ben de Leon",
   _xlpm.arr, _xlfn.UNICODE(EXTRACTCHAR_byHarryGross(_xlpm.Input)),
   _xlpm.NewChars, _xlfn.IFS(
      (_xlpm.arr &gt;= 65) * (_xlpm.arr &lt;= 90) = 1,
      MOD(_xlpm.arr - 65 + _xlpm.Shft, 26) + 65,
      (_xlpm.arr &gt;= 97) * (_xlpm.arr &lt;= 122) = 1,
      MOD(_xlpm.arr - 97 + _xlpm.Shft, 26) + 97,
      TRUE,
      _xlpm.arr
   ),
   _xlpm.Result, _xlfn.CONCAT(_xlfn.UNICHAR(_xlpm.NewChars)),
   _xlpm.Result
))</definedName>
    <definedName name="List_Separator">'Default Settings'!$C$14</definedName>
    <definedName name="LkpAdd">_xlfn.LAMBDA(_xlpm.ToFind,_xlpm.Range,_xlfn.LET(_xlpm.\\LambdaName, "LkpAdd", _xlpm.\\CommandName, "Lookup Address", _xlpm.\\Description, "Looks up address of cell(s) matching input", _xlpm.\\Source, "Jaq Kennedy", _xlfn.CHOOSECOLS(FilterArray_byErikOehm(GRIDTOCOL_byLiannaGerrish(_xlpm.Range), {1}, _xlpm.ToFind), {4})))</definedName>
    <definedName name="LkpRC">_xlfn.LAMBDA(_xlpm.ToFind,_xlpm.Range,_xlfn.LET(_xlpm.\\LambdaName, "LkpRC", _xlpm.\\CommandName, "Lookup RC coordinates ", _xlpm.\\Description, "Looks up RC coordinates of matching cell(s) in range", _xlfn.CHOOSECOLS(FilterArray_byErikOehm(GRIDTOCOL_byLiannaGerrish(_xlpm.Range), {1}, _xlpm.ToFind), {2,3})))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IFERROR(_xlfn.CHOOSEROWS(LkpRC(_xlpm.a, _xlpm.Range), 1), {"",""})))))</definedName>
    <definedName name="Loaded_Decimal_Separator">'Default Settings'!$E$12</definedName>
    <definedName name="Loaded_Language">'Default Settings'!$E$15</definedName>
    <definedName name="Loaded_Language_ID">'Default Settings'!$E$16</definedName>
    <definedName name="Loaded_List_Separator">'Default Settings'!$E$14</definedName>
    <definedName name="Loaded_Thousands_Separator">'Default Settings'!$E$13</definedName>
    <definedName name="Loaded_Use_System_Separators">'Default Settings'!$E$11</definedName>
    <definedName name="MinMax_byJaqKennedy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WCOL">_xlfn.LAMBDA(_xlpm.cell_coordinates,_xlfn.TEXTSPLIT(ROW(INDIRECT(_xlpm.cell_coordinates)) &amp; ";" &amp; COLUMN(INDIRECT(_xlpm.cell_coordinates)), ";"))</definedName>
    <definedName name="TDay_byJaqKennedy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Settings'!$C$13</definedName>
    <definedName name="Use_System_Separators">'Default Settings'!$C$11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ZigZag_byBendeLeon">_xlfn.LAMBDA(_xlpm.data,_xlop.CleanData,_xlop.Wrap,_xlfn.LET(_xlpm.\\LambdaName, "ZigZag", _xlpm.\\Description, "Zigs and zags", _xlpm.\\Source, "Ben deLeon", _xlpm.ClnData, BiRow_byPeterBartholomew(_xlpm.data, _xlfn.LAMBDA(_xlpm.arr, _xlfn.TOROW(_xlpm.arr, IF(OR(_xlfn.ISOMITTED(_xlpm.CleanData), _xlpm.CleanData = TRUE), 3, 0)))), _xlpm.RowCnt, ROWS(_xlpm.ClnData), _xlpm.ColCnt, COLUMNS(_xlpm.ClnData), _xlpm.Base10, 10 ^ ROUNDUP(LOG(_xlpm.ColCnt), 0), _xlpm.Srt, _xlfn.MAP(QUOTIENT(_xlfn.SEQUENCE(_xlpm.RowCnt, _xlpm.ColCnt, 0), _xlpm.ColCnt) * _xlpm.Base10, MOD(_xlfn.SEQUENCE(_xlpm.RowCnt, _xlpm.ColCnt, 0), _xlpm.ColCnt), MOD(_xlfn.SEQUENCE(_xlpm.RowCnt, _xlpm.ColCnt, _xlpm.ColCnt - 1, -1), _xlpm.ColCnt), _xlfn.LAMBDA(_xlpm.C,_xlpm.RF,_xlpm.RB, _xlpm.C + IF(ISODD(ROUNDDOWN(_xlpm.C / _xlpm.Base10, 0)), _xlpm.RB, _xlpm.RF))), _xlpm.SortedData, _xlfn.SORTBY(_xlfn.TOROW(_xlpm.ClnData), _xlfn.TOROW(_xlpm.Srt), 1), IF(_xlpm.Wrap = TRUE, _xlfn.WRAPROWS(_xlpm.SortedData, _xlpm.ColCnt), _xlpm.SortedData)))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C14" i="18"/>
  <c r="G14" i="18"/>
  <c r="F14" i="18"/>
  <c r="E14" i="18"/>
  <c r="I12" i="18"/>
  <c r="J12" i="18"/>
  <c r="I14" i="18"/>
  <c r="O10" i="18" a="1"/>
  <c r="E15" i="18"/>
  <c r="D44" i="14" a="1"/>
  <c r="O18" i="14" a="1"/>
  <c r="E20" i="14" s="1"/>
  <c r="I20" i="14" s="1" a="1"/>
  <c r="J20" i="14" s="1"/>
  <c r="H11" i="14" a="1"/>
  <c r="D8" i="14" a="1"/>
  <c r="B7" i="20"/>
  <c r="H10" i="14" a="1"/>
  <c r="I25" i="14" s="1" a="1"/>
  <c r="H8" i="14" a="1"/>
  <c r="E39" i="14" a="1"/>
  <c r="D55" i="14" l="1" a="1"/>
  <c r="D56" i="14" s="1" a="1"/>
  <c r="D54" i="14" a="1"/>
  <c r="D6" i="14"/>
  <c r="I19" i="14" a="1"/>
  <c r="X8" i="14" a="1"/>
  <c r="B6" i="14"/>
  <c r="H16" i="14" a="1"/>
  <c r="I16" i="14" a="1"/>
  <c r="H12" i="14" a="1"/>
  <c r="J14" i="18"/>
  <c r="E22" i="14" l="1" a="1"/>
  <c r="J25" i="14" a="1"/>
  <c r="E15" i="14" a="1"/>
  <c r="E14" i="14" a="1"/>
  <c r="E28" i="14" l="1" a="1"/>
  <c r="E27" i="14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<sst xmlns="http://schemas.openxmlformats.org/spreadsheetml/2006/main" count="942" uniqueCount="552">
  <si>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</si>
  <si>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</si>
  <si>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</si>
  <si>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</si>
  <si>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</si>
  <si>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</si>
  <si>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</si>
  <si>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</si>
  <si>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</si>
  <si>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</si>
  <si>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</si>
  <si>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</si>
  <si>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</si>
  <si>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</si>
  <si>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</si>
  <si>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</si>
  <si>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</si>
  <si>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</si>
  <si>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</si>
  <si>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</si>
  <si>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</si>
  <si>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</si>
  <si>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</si>
  <si>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</si>
  <si>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</si>
  <si>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</si>
  <si>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</si>
  <si>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</si>
  <si>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</si>
  <si>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</si>
  <si>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</si>
  <si>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</si>
  <si>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</si>
  <si>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</si>
  <si>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</si>
  <si>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</si>
  <si>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</si>
  <si>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</si>
  <si>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</si>
  <si>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</si>
  <si>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</si>
  <si>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</si>
  <si>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</si>
  <si>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</si>
  <si>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</si>
  <si>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</si>
  <si>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</si>
  <si>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</si>
  <si>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As per "Default Settings" sheet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</si>
  <si>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</si>
  <si>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</si>
  <si>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</si>
  <si>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</si>
  <si>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</si>
  <si>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</si>
  <si>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</si>
  <si>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Language</t>
  </si>
  <si>
    <t>Afrikaans</t>
  </si>
  <si>
    <t>Example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</si>
  <si>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</si>
  <si>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</si>
  <si>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</si>
  <si>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</si>
  <si>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</si>
  <si>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</si>
  <si>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</si>
  <si>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</si>
  <si>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</si>
  <si>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</si>
  <si>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</si>
  <si>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</si>
  <si>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</si>
  <si>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</si>
  <si>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</si>
  <si>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</si>
  <si>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</si>
  <si>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</si>
  <si>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</si>
  <si>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</si>
  <si>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</si>
  <si>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</si>
  <si>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</si>
  <si>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</si>
  <si>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</si>
  <si>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</si>
  <si>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</si>
  <si>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</si>
  <si>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</si>
  <si>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</si>
  <si>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</si>
  <si>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</si>
  <si>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</si>
  <si>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</si>
  <si>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</si>
  <si>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</si>
  <si>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</si>
  <si>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</si>
  <si>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</si>
  <si>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</si>
  <si>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</si>
  <si>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</si>
  <si>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</si>
  <si>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</si>
  <si>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</si>
  <si>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</si>
  <si>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</si>
  <si>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</si>
  <si>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LkpAdd</t>
  </si>
  <si>
    <t>LkpRC</t>
  </si>
  <si>
    <t>Outputs cell address of cell(s) where [ToFind] is found in [Range]</t>
  </si>
  <si>
    <t>Outputs row and column of cell(s) where [ToFind] is found in [Range]</t>
  </si>
  <si>
    <t>[ToFind] - value to search for
[Range] - range to search in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</si>
  <si>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</si>
  <si>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</si>
  <si>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</si>
  <si>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</si>
  <si>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Letters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</si>
  <si>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</si>
  <si>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</si>
  <si>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</si>
  <si>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</si>
  <si>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</si>
  <si>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</si>
  <si>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</si>
  <si>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</si>
  <si>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</si>
  <si>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</si>
  <si>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</si>
  <si>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</si>
  <si>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</si>
  <si>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</si>
  <si>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</si>
  <si>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</si>
  <si>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</si>
  <si>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LetterShift_byBendeLeon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</si>
  <si>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</si>
  <si>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</si>
  <si>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</si>
  <si>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</si>
  <si>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</si>
  <si>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</si>
  <si>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</si>
  <si>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</si>
  <si>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</si>
  <si>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</si>
  <si>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</si>
  <si>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</si>
  <si>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</si>
  <si>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</si>
  <si>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</si>
  <si>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</si>
  <si>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</si>
  <si>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</si>
  <si>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</si>
  <si>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</si>
  <si>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</si>
  <si>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</si>
  <si>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</si>
  <si>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</si>
  <si>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</si>
  <si>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</si>
  <si>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</si>
  <si>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</si>
  <si>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</si>
  <si>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</si>
  <si>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</si>
  <si>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</si>
  <si>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</si>
  <si>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</si>
  <si>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</si>
  <si>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</si>
  <si>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</si>
  <si>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</si>
  <si>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</si>
  <si>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</si>
  <si>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</si>
  <si>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</si>
  <si>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</si>
  <si>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</si>
  <si>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</si>
  <si>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</si>
  <si>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</si>
  <si>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</si>
  <si>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</si>
  <si>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</si>
  <si>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</si>
  <si>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</si>
  <si>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</si>
  <si>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</si>
  <si>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</si>
  <si>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</si>
  <si>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</si>
  <si>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</si>
  <si>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</si>
  <si>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</si>
  <si>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</si>
  <si>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</si>
  <si>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</si>
  <si>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</si>
  <si>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</si>
  <si>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</si>
  <si>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</si>
  <si>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</si>
  <si>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</si>
  <si>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</si>
  <si>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EXTRACTLETTERS_byHarryGross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</si>
  <si>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</si>
  <si>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</si>
  <si>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</si>
  <si>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</si>
  <si>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</si>
  <si>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</si>
  <si>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ZigZag_byBendeLeon</t>
  </si>
  <si>
    <t>Zigs and Zags</t>
  </si>
  <si>
    <t>Peter Bartholomew</t>
  </si>
  <si>
    <t>IsInList_byErikOehm</t>
  </si>
  <si>
    <t>BiRow_byPeterBartholomew</t>
  </si>
  <si>
    <t>for Thunking I Think</t>
  </si>
  <si>
    <t>FilterArray_byErikOehm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</si>
  <si>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</si>
  <si>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</si>
  <si>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</si>
  <si>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</si>
  <si>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</si>
  <si>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</si>
  <si>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</si>
  <si>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</si>
  <si>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</si>
  <si>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</si>
  <si>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</si>
  <si>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</si>
  <si>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TDay_byJaqKennedy</t>
  </si>
  <si>
    <t>Indirect function with cell and optional sheet name</t>
  </si>
  <si>
    <t>EZINDIRECT_byLiannaGerrish</t>
  </si>
  <si>
    <t>[cell] - cell address to fetch
[sheetname] (optional) - name of sheet to fetch</t>
  </si>
  <si>
    <t>Returns array with min and max of a range</t>
  </si>
  <si>
    <t>MinMax_byJaqKennedy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</si>
  <si>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</si>
  <si>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</si>
  <si>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</si>
  <si>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</si>
  <si>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</si>
  <si>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</si>
  <si>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</si>
  <si>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</si>
  <si>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</si>
  <si>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</si>
  <si>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</si>
  <si>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</si>
  <si>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</si>
  <si>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</si>
  <si>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</si>
  <si>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</si>
  <si>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</si>
  <si>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</si>
  <si>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</si>
  <si>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</si>
  <si>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</si>
  <si>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</si>
  <si>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</si>
  <si>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</si>
  <si>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</si>
  <si>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</si>
  <si>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</si>
  <si>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</si>
  <si>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</si>
  <si>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</si>
  <si>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</si>
  <si>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</si>
  <si>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</si>
  <si>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</si>
  <si>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</si>
  <si>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</si>
  <si>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</si>
  <si>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</si>
  <si>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</si>
  <si>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</si>
  <si>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</si>
  <si>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</si>
  <si>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</si>
  <si>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</si>
  <si>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</si>
  <si>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</si>
  <si>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</si>
  <si>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</si>
  <si>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</si>
  <si>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</si>
  <si>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</si>
  <si>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</si>
  <si>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</si>
  <si>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</si>
  <si>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</si>
  <si>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</si>
  <si>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</si>
  <si>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</si>
  <si>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</si>
  <si>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</si>
  <si>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</si>
  <si>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</si>
  <si>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</si>
  <si>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</si>
  <si>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</si>
  <si>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</si>
  <si>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</si>
  <si>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</si>
  <si>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</si>
  <si>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</si>
  <si>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</si>
  <si>
    <t>Unlisted Lambdas</t>
  </si>
  <si>
    <t>INTSECT</t>
  </si>
  <si>
    <t>Intersect of 2 named ranges</t>
  </si>
  <si>
    <t>[name1], [name2] as strings</t>
  </si>
  <si>
    <t>EZINDARR_byLiannaGerrish</t>
  </si>
  <si>
    <t>Lianna Gerrish &amp; Jaq Kennedy</t>
  </si>
  <si>
    <t>Apply EZINDIRECT_byLiannaGerrish to an array of addresses</t>
  </si>
  <si>
    <t>Loaded</t>
  </si>
  <si>
    <t>Language ID</t>
  </si>
  <si>
    <t>Albanian</t>
  </si>
  <si>
    <t>Alsatian</t>
  </si>
  <si>
    <t>Amharic</t>
  </si>
  <si>
    <t>Arabic (Algeria)</t>
  </si>
  <si>
    <t>Arabic (Bahrain)</t>
  </si>
  <si>
    <t>Arabic (Egypt)</t>
  </si>
  <si>
    <t>Arabic (Iraq)</t>
  </si>
  <si>
    <t>Arabic (Jordan)</t>
  </si>
  <si>
    <t>Arabic (Kuwait)</t>
  </si>
  <si>
    <t>Arabic (Lebanon)</t>
  </si>
  <si>
    <t>Arabic (Libya)</t>
  </si>
  <si>
    <t>Arabic (Morocco)</t>
  </si>
  <si>
    <t>Arabic (Oman)</t>
  </si>
  <si>
    <t>Arabic (Qatar)</t>
  </si>
  <si>
    <t>Arabic (Saudi Arabia)</t>
  </si>
  <si>
    <t>Arabic (Syria)</t>
  </si>
  <si>
    <t>Arabic (Tunisia)</t>
  </si>
  <si>
    <t>Arabic (U.A.E.)</t>
  </si>
  <si>
    <t>Arabic (Yemen)</t>
  </si>
  <si>
    <t>Armenian</t>
  </si>
  <si>
    <t>Assamese</t>
  </si>
  <si>
    <t>Azerbaijani (Cyrillic)</t>
  </si>
  <si>
    <t>Azerbaijani (Latin)</t>
  </si>
  <si>
    <t>Bashkir</t>
  </si>
  <si>
    <t>Basque</t>
  </si>
  <si>
    <t>Belarusian</t>
  </si>
  <si>
    <t>Bengali (Bangladesh)</t>
  </si>
  <si>
    <t>Bengali (India)</t>
  </si>
  <si>
    <t>Bosnian (Cyrillic)</t>
  </si>
  <si>
    <t>Bosnian (Latin)</t>
  </si>
  <si>
    <t>Breton</t>
  </si>
  <si>
    <t>Bulgarian</t>
  </si>
  <si>
    <t>Catalan</t>
  </si>
  <si>
    <t>Chinese (Hong Kong SAR)</t>
  </si>
  <si>
    <t>Chinese (Macao SAR)</t>
  </si>
  <si>
    <t>Chinese (Simplified, PRC)</t>
  </si>
  <si>
    <t>Chinese (Simplified, Singapore)</t>
  </si>
  <si>
    <t>Chinese (Traditional, Taiwan)</t>
  </si>
  <si>
    <t>Corsican</t>
  </si>
  <si>
    <t>Croatian</t>
  </si>
  <si>
    <t>Croatian (Latin, Bosnia)</t>
  </si>
  <si>
    <t>Czech</t>
  </si>
  <si>
    <t>Danish</t>
  </si>
  <si>
    <t>Dari</t>
  </si>
  <si>
    <t>Divehi</t>
  </si>
  <si>
    <t>Dutch (Belgium)</t>
  </si>
  <si>
    <t>Dutch (Netherlands)</t>
  </si>
  <si>
    <t>English (Australia)</t>
  </si>
  <si>
    <t>English (Belize)</t>
  </si>
  <si>
    <t>English (Canada)</t>
  </si>
  <si>
    <t>English (Caribbean)</t>
  </si>
  <si>
    <t>English (India)</t>
  </si>
  <si>
    <t>English (Ireland)</t>
  </si>
  <si>
    <t>English (Jamaica)</t>
  </si>
  <si>
    <t>English (Malaysia)</t>
  </si>
  <si>
    <t>English (New Zealand)</t>
  </si>
  <si>
    <t>English (Philippines)</t>
  </si>
  <si>
    <t>English (Singapore)</t>
  </si>
  <si>
    <t>English (South Africa)</t>
  </si>
  <si>
    <t>English (Trinidad)</t>
  </si>
  <si>
    <t>English (United Kingdom)</t>
  </si>
  <si>
    <t>English (United States)</t>
  </si>
  <si>
    <t>English (Zimbabwe)</t>
  </si>
  <si>
    <t>Estonian</t>
  </si>
  <si>
    <t>Faroese</t>
  </si>
  <si>
    <t>Filipino</t>
  </si>
  <si>
    <t>Finnish</t>
  </si>
  <si>
    <t>French (Belgium)</t>
  </si>
  <si>
    <t>French (Canada)</t>
  </si>
  <si>
    <t>French (France)</t>
  </si>
  <si>
    <t>French (Luxembourg)</t>
  </si>
  <si>
    <t>French (Monaco)</t>
  </si>
  <si>
    <t>French (Switzerland)</t>
  </si>
  <si>
    <t>Frisian</t>
  </si>
  <si>
    <t>Galician</t>
  </si>
  <si>
    <t>Georgian</t>
  </si>
  <si>
    <t>German (Austria)</t>
  </si>
  <si>
    <t>German (Germany)</t>
  </si>
  <si>
    <t>German (Liechtenstein)</t>
  </si>
  <si>
    <t>German (Luxembourg)</t>
  </si>
  <si>
    <t>German (Switzerland)</t>
  </si>
  <si>
    <t>Greek</t>
  </si>
  <si>
    <t>Greenlandic</t>
  </si>
  <si>
    <t>Gujarati</t>
  </si>
  <si>
    <t>Hausa (Latin)</t>
  </si>
  <si>
    <t>Hebrew</t>
  </si>
  <si>
    <t>Hindi</t>
  </si>
  <si>
    <t>Hungarian</t>
  </si>
  <si>
    <t>Icelandic</t>
  </si>
  <si>
    <t>Igbo</t>
  </si>
  <si>
    <t>Indonesian</t>
  </si>
  <si>
    <t>Inuktitut (Syllabics)</t>
  </si>
  <si>
    <t>Inuktitut (Latin)</t>
  </si>
  <si>
    <t>Irish</t>
  </si>
  <si>
    <t>isiXhosa</t>
  </si>
  <si>
    <t>isiZulu</t>
  </si>
  <si>
    <t>Italian (Italy)</t>
  </si>
  <si>
    <t>Italian (Switzerland)</t>
  </si>
  <si>
    <t>Japanese</t>
  </si>
  <si>
    <t>Kannada</t>
  </si>
  <si>
    <t>Kazakh</t>
  </si>
  <si>
    <t>Khmer</t>
  </si>
  <si>
    <t>K'iche</t>
  </si>
  <si>
    <t>Kinyarwanda</t>
  </si>
  <si>
    <t>Kiswahili</t>
  </si>
  <si>
    <t>Konkani</t>
  </si>
  <si>
    <t>Korean</t>
  </si>
  <si>
    <t>Kyrgyz</t>
  </si>
  <si>
    <t>Lao</t>
  </si>
  <si>
    <t>Latvian</t>
  </si>
  <si>
    <t>Lithuanian</t>
  </si>
  <si>
    <t>Lower Sorbian</t>
  </si>
  <si>
    <t>Luxembourgish</t>
  </si>
  <si>
    <t>Macedonian</t>
  </si>
  <si>
    <t>Malay (Brunei)</t>
  </si>
  <si>
    <t>Malay (Malaysia)</t>
  </si>
  <si>
    <t>Malayalam</t>
  </si>
  <si>
    <t>Maltese</t>
  </si>
  <si>
    <t>Maori</t>
  </si>
  <si>
    <t>Mapudungun</t>
  </si>
  <si>
    <t>Marathi</t>
  </si>
  <si>
    <t>Mohawk</t>
  </si>
  <si>
    <t>Mongolian (Cyrillic)</t>
  </si>
  <si>
    <t>Mongolian (Traditional)</t>
  </si>
  <si>
    <t>Nepali</t>
  </si>
  <si>
    <t>Norwegian (Bokmål)</t>
  </si>
  <si>
    <t>Norwegian (Nynorsk)</t>
  </si>
  <si>
    <t>Occitan</t>
  </si>
  <si>
    <t>Odia</t>
  </si>
  <si>
    <t>Pashto</t>
  </si>
  <si>
    <t>Persian</t>
  </si>
  <si>
    <t>Polish</t>
  </si>
  <si>
    <t>Portuguese (Brazil)</t>
  </si>
  <si>
    <t>Portuguese (Portugal)</t>
  </si>
  <si>
    <t>Punjabi</t>
  </si>
  <si>
    <t>Quechua (Bolivia)</t>
  </si>
  <si>
    <t>Quechua (Ecuador)</t>
  </si>
  <si>
    <t>Quechua (Peru)</t>
  </si>
  <si>
    <t>Romanian</t>
  </si>
  <si>
    <t>Romansh</t>
  </si>
  <si>
    <t>Russian</t>
  </si>
  <si>
    <t>Sami (Inari)</t>
  </si>
  <si>
    <t>Sami (Lule, Norway)</t>
  </si>
  <si>
    <t>Sami (Lule, Sweden)</t>
  </si>
  <si>
    <t>Sami (Northern, Norway)</t>
  </si>
  <si>
    <t>Sami (Northern, Sweden)</t>
  </si>
  <si>
    <t>Sami (Northern, Finland)</t>
  </si>
  <si>
    <t>Sami (Skolt)</t>
  </si>
  <si>
    <t>Sami (Southern, Norway)</t>
  </si>
  <si>
    <t>Sami (Southern, Sweden)</t>
  </si>
  <si>
    <t>Sanskrit</t>
  </si>
  <si>
    <t>Serbian (Cyrillic, Bosnia)</t>
  </si>
  <si>
    <t>Serbian (Cyrillic, Serbia)</t>
  </si>
  <si>
    <t>Serbian (Latin, Bosnia)</t>
  </si>
  <si>
    <t>Serbian (Latin, Serbia)</t>
  </si>
  <si>
    <t>Sesotho sa Leboa</t>
  </si>
  <si>
    <t>Setswana</t>
  </si>
  <si>
    <t>Sinhala</t>
  </si>
  <si>
    <t>Slovak</t>
  </si>
  <si>
    <t>Slovenian</t>
  </si>
  <si>
    <t>Spanish (Argentina)</t>
  </si>
  <si>
    <t>Spanish (Bolivia)</t>
  </si>
  <si>
    <t>Spanish (Chile)</t>
  </si>
  <si>
    <t>Spanish (Colombia)</t>
  </si>
  <si>
    <t>Spanish (Costa Rica)</t>
  </si>
  <si>
    <t>Spanish (Dominican Republic)</t>
  </si>
  <si>
    <t>Spanish (Ecuador)</t>
  </si>
  <si>
    <t>Spanish (El Salvador)</t>
  </si>
  <si>
    <t>Spanish (Guatemala)</t>
  </si>
  <si>
    <t>Spanish (Honduras)</t>
  </si>
  <si>
    <t>Spanish (Mexico)</t>
  </si>
  <si>
    <t>Spanish (Nicaragua)</t>
  </si>
  <si>
    <t>Spanish (Panama)</t>
  </si>
  <si>
    <t>Spanish (Paraguay)</t>
  </si>
  <si>
    <t>Spanish (Peru)</t>
  </si>
  <si>
    <t>Spanish (Puerto Rico)</t>
  </si>
  <si>
    <t>Spanish (Spain, International)</t>
  </si>
  <si>
    <t>Spanish (Spain, Traditional)</t>
  </si>
  <si>
    <t>Spanish (US)</t>
  </si>
  <si>
    <t>Spanish (Uruguay)</t>
  </si>
  <si>
    <t>Spanish (Venezuela)</t>
  </si>
  <si>
    <t>Swedish (Finland)</t>
  </si>
  <si>
    <t>Swedish (Sweden)</t>
  </si>
  <si>
    <t>Syriac</t>
  </si>
  <si>
    <t>Tajik</t>
  </si>
  <si>
    <t>Tamazight (Latin)</t>
  </si>
  <si>
    <t>Tamil</t>
  </si>
  <si>
    <t>Tatar</t>
  </si>
  <si>
    <t>Telugu</t>
  </si>
  <si>
    <t>Thai</t>
  </si>
  <si>
    <t>Tibetan</t>
  </si>
  <si>
    <t>Turkish</t>
  </si>
  <si>
    <t>Turkmen</t>
  </si>
  <si>
    <t>Uighur</t>
  </si>
  <si>
    <t>Ukrainian</t>
  </si>
  <si>
    <t>Upper Sorbian</t>
  </si>
  <si>
    <t>Urdu</t>
  </si>
  <si>
    <t>Uzbek (Cyrillic)</t>
  </si>
  <si>
    <t>Uzbek (Latin)</t>
  </si>
  <si>
    <t>Vietnamese</t>
  </si>
  <si>
    <t>Welsh</t>
  </si>
  <si>
    <t>Wolof</t>
  </si>
  <si>
    <t>Yakut</t>
  </si>
  <si>
    <t>Yi</t>
  </si>
  <si>
    <t>Yoruba</t>
  </si>
  <si>
    <t>ID</t>
  </si>
  <si>
    <t>To find the settings on the computer (before overwriting) run "Get Current Settings" to populate the Loaded column below</t>
  </si>
  <si>
    <t>Does not update anything - for info only</t>
  </si>
  <si>
    <t>To update settings run command "Update Settings". Note this will not change Windows level settings, only Excel, to the settings in yellow.
If Use System Separators = "TRUE", settings will not be updated. Use "FALSE" to load in your preferred settings.</t>
  </si>
  <si>
    <t>Inputted Settings</t>
  </si>
  <si>
    <t>Add your favourites here</t>
  </si>
  <si>
    <t>Round to 0</t>
  </si>
  <si>
    <t>Wraps current formula with ROUND to 0 dp</t>
  </si>
  <si>
    <t>Wraps in ROUND function</t>
  </si>
  <si>
    <t>R0</t>
  </si>
  <si>
    <t>ARR</t>
  </si>
  <si>
    <t>Update Settings</t>
  </si>
  <si>
    <t>Updates Settings as per the "Default Settings" sheet. 
Use this to reset Excel settings to your preferences. Base version is set up as per US English.</t>
  </si>
  <si>
    <t>US</t>
  </si>
  <si>
    <t>Get Current Settings</t>
  </si>
  <si>
    <t>Loads the current computer / Excel settings into the "Default Settings" sheet. 
Use this before updating Excel settings to your preferences.</t>
  </si>
  <si>
    <t>See "Default Settings" sheet, Loaded column</t>
  </si>
  <si>
    <t>Revert Settings</t>
  </si>
  <si>
    <t>GS</t>
  </si>
  <si>
    <t>Updates Settings as per the Loaded column in the "Default Settings" sheet. 
Use this to revert Excel settings to previous values loaded using "Get Current Settings".</t>
  </si>
  <si>
    <t>Wrap in UNIQUE</t>
  </si>
  <si>
    <t>Wraps in a UNIQUE function</t>
  </si>
  <si>
    <t>U</t>
  </si>
  <si>
    <t>Moves an address in the direction indicated, returning new cell address</t>
  </si>
  <si>
    <t>[starting_cell] - cell address to start from
[arrow] - arrow, with or without multiplier, or cardinal direction to travel in</t>
  </si>
  <si>
    <t>Emilie Williams</t>
  </si>
  <si>
    <t>Apply ARROWSHIFT_byEmilieWilliams Lambda</t>
  </si>
  <si>
    <t>Wraps current formula with ARROWSHIFT_byEmilieWilliams lambda using clipboard to link to directions</t>
  </si>
  <si>
    <t>Wraps in ARROWSHIFT_byEmilieWilliams lambda</t>
  </si>
  <si>
    <t>ARROWSHIFT_byEmilieWilliams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</si>
</sst>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13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  <font>
      <sz val="14"/>
      <color theme="0"/>
      <name val="Aptos Narrow"/>
      <family val="2"/>
      <scheme val="minor"/>
    </font>
    <font>
      <sz val="14"/>
      <color theme="0"/>
      <name val="Verdana Pro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rgb="FF1E88B8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0" borderId="0"/>
    <xf numFmtId="0" fontId="3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Border="0" applyAlignment="0" applyProtection="0"/>
  </cellStyleXfs>
  <cellXfs count="33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164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  <xf numFmtId="0" fontId="11" fillId="5" borderId="0" xfId="7"/>
    <xf numFmtId="0" fontId="11" fillId="6" borderId="4" xfId="8" applyBorder="1"/>
    <xf numFmtId="0" fontId="12" fillId="7" borderId="4" xfId="9" applyBorder="1"/>
    <xf numFmtId="0" fontId="6" fillId="0" borderId="4" xfId="3" applyBorder="1"/>
    <xf numFmtId="0" fontId="4" fillId="0" borderId="0" xfId="1" applyBorder="1" applyAlignment="1">
      <alignment horizontal="centerContinuous"/>
    </xf>
    <xf numFmtId="0" fontId="6" fillId="0" borderId="4" xfId="3" applyBorder="1" applyAlignment="1">
      <alignment horizontal="centerContinuous"/>
    </xf>
    <xf numFmtId="0" fontId="6" fillId="0" borderId="4" xfId="3" applyBorder="1" applyAlignment="1">
      <alignment horizontal="centerContinuous" wrapText="1"/>
    </xf>
  </cellXfs>
  <cellStyles count="10">
    <cellStyle name="Accent1" xfId="8" builtinId="29"/>
    <cellStyle name="Accent1 80%" xfId="9" xr:uid="{EAF46386-6DE2-4305-8C3A-E28770490FF0}"/>
    <cellStyle name="Accent5" xfId="7" builtinId="45"/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colors>
    <mruColors>
      <color rgb="FF1E88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9" Type="http://schemas.openxmlformats.org/officeDocument/2006/relationships/customXml" Target="../customXml/item25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42" Type="http://schemas.openxmlformats.org/officeDocument/2006/relationships/customXml" Target="../customXml/item28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41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40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sheetMetadata" Target="metadata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43" Type="http://schemas.microsoft.com/office/2006/relationships/vbaProject" Target="vbaProject.bin"/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openxmlformats.org/officeDocument/2006/relationships/customXml" Target="../customXml/item2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2209801</xdr:colOff>
      <xdr:row>16</xdr:row>
      <xdr:rowOff>38100</xdr:rowOff>
    </xdr:from>
    <xdr:to>
      <xdr:col>4</xdr:col>
      <xdr:colOff>1417321</xdr:colOff>
      <xdr:row>21</xdr:row>
      <xdr:rowOff>84124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64DA0F6-C556-F73E-C51B-DFFD02DED654}"/>
            </a:ext>
          </a:extLst>
        </xdr:cNvPr>
        <xdr:cNvGrpSpPr/>
      </xdr:nvGrpSpPr>
      <xdr:grpSpPr>
        <a:xfrm>
          <a:off x="5021581" y="4366260"/>
          <a:ext cx="2110740" cy="1303324"/>
          <a:chOff x="5021581" y="4381500"/>
          <a:chExt cx="2110740" cy="1303324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3DFB2E38-BE3D-C63F-C8A1-46964721D4A3}"/>
              </a:ext>
            </a:extLst>
          </xdr:cNvPr>
          <xdr:cNvSpPr txBox="1"/>
        </xdr:nvSpPr>
        <xdr:spPr>
          <a:xfrm>
            <a:off x="5021581" y="4747260"/>
            <a:ext cx="2110740" cy="937564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800"/>
              <a:t>1. Run "Get Current Settings" to find machine settings</a:t>
            </a: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42E1EA6F-7AB1-5FD8-7362-5B6519F88FC8}"/>
              </a:ext>
            </a:extLst>
          </xdr:cNvPr>
          <xdr:cNvCxnSpPr/>
        </xdr:nvCxnSpPr>
        <xdr:spPr>
          <a:xfrm flipV="1">
            <a:off x="6713220" y="4381500"/>
            <a:ext cx="0" cy="35814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2179320</xdr:colOff>
      <xdr:row>14</xdr:row>
      <xdr:rowOff>38099</xdr:rowOff>
    </xdr:from>
    <xdr:to>
      <xdr:col>2</xdr:col>
      <xdr:colOff>1699260</xdr:colOff>
      <xdr:row>27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7E7825D-44A3-4393-AFB0-C00F362B2927}"/>
            </a:ext>
          </a:extLst>
        </xdr:cNvPr>
        <xdr:cNvGrpSpPr/>
      </xdr:nvGrpSpPr>
      <xdr:grpSpPr>
        <a:xfrm>
          <a:off x="2400300" y="3855719"/>
          <a:ext cx="2110740" cy="3271510"/>
          <a:chOff x="5021581" y="3797659"/>
          <a:chExt cx="2110740" cy="2563718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D45F5541-D83E-B268-8FD1-7D45792DCE4B}"/>
              </a:ext>
            </a:extLst>
          </xdr:cNvPr>
          <xdr:cNvSpPr txBox="1"/>
        </xdr:nvSpPr>
        <xdr:spPr>
          <a:xfrm>
            <a:off x="5021581" y="4747260"/>
            <a:ext cx="2110740" cy="1614117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800"/>
              <a:t>2. Add</a:t>
            </a:r>
            <a:r>
              <a:rPr lang="en-GB" sz="1800" baseline="0"/>
              <a:t> your settings here with "FALSE" for Use System Separators.</a:t>
            </a:r>
            <a:br>
              <a:rPr lang="en-GB" sz="1800" baseline="0"/>
            </a:br>
            <a:r>
              <a:rPr lang="en-GB" sz="1800"/>
              <a:t>Run "Update Settings" to use</a:t>
            </a:r>
            <a:r>
              <a:rPr lang="en-GB" sz="1800" baseline="0"/>
              <a:t> your settings</a:t>
            </a:r>
            <a:endParaRPr lang="en-GB" sz="1800"/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4E6EF41E-7E9D-DF08-4A92-C39C12A56DD3}"/>
              </a:ext>
            </a:extLst>
          </xdr:cNvPr>
          <xdr:cNvCxnSpPr/>
        </xdr:nvCxnSpPr>
        <xdr:spPr>
          <a:xfrm flipH="1" flipV="1">
            <a:off x="6705601" y="3797659"/>
            <a:ext cx="7619" cy="941981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137160</xdr:colOff>
      <xdr:row>16</xdr:row>
      <xdr:rowOff>38100</xdr:rowOff>
    </xdr:from>
    <xdr:to>
      <xdr:col>5</xdr:col>
      <xdr:colOff>190500</xdr:colOff>
      <xdr:row>31</xdr:row>
      <xdr:rowOff>68688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6ED17DA-4896-41B3-A7FC-FB3D78F943CE}"/>
            </a:ext>
          </a:extLst>
        </xdr:cNvPr>
        <xdr:cNvGrpSpPr/>
      </xdr:nvGrpSpPr>
      <xdr:grpSpPr>
        <a:xfrm>
          <a:off x="5455920" y="4366260"/>
          <a:ext cx="2583180" cy="3802488"/>
          <a:chOff x="4809884" y="2156460"/>
          <a:chExt cx="2110740" cy="3802488"/>
        </a:xfrm>
      </xdr:grpSpPr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472EAA91-9E7B-305C-7B88-B8C627EFA9A9}"/>
              </a:ext>
            </a:extLst>
          </xdr:cNvPr>
          <xdr:cNvSpPr txBox="1"/>
        </xdr:nvSpPr>
        <xdr:spPr>
          <a:xfrm>
            <a:off x="4809884" y="4739640"/>
            <a:ext cx="2110740" cy="1219308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800"/>
              <a:t>3. After your session, run "Revert Settings" to revert to previous settings as per Loaded column.</a:t>
            </a:r>
          </a:p>
        </xdr:txBody>
      </xdr: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88455D8-5193-4131-EB2C-5E8A74CC54B2}"/>
              </a:ext>
            </a:extLst>
          </xdr:cNvPr>
          <xdr:cNvCxnSpPr/>
        </xdr:nvCxnSpPr>
        <xdr:spPr>
          <a:xfrm flipH="1" flipV="1">
            <a:off x="6515910" y="2156460"/>
            <a:ext cx="18679" cy="257556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50" totalsRowShown="0" headerRowDxfId="16" dataDxfId="15">
  <autoFilter ref="B8:F50" xr:uid="{0094C780-BB06-4D44-A3B5-11A203AC5962}"/>
  <sortState xmlns:xlrd2="http://schemas.microsoft.com/office/spreadsheetml/2017/richdata2" ref="B9:F50">
    <sortCondition ref="B8:B50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73C353-624B-4DAF-9E0A-1ED2AF16BB31}" name="Languages" displayName="Languages" ref="L10:M216" totalsRowShown="0">
  <autoFilter ref="L10:M216" xr:uid="{9B73C353-624B-4DAF-9E0A-1ED2AF16BB31}"/>
  <tableColumns count="2">
    <tableColumn id="1" xr3:uid="{EF4963FA-01A4-4AB4-B8F0-463A4B07267F}" name="ID"/>
    <tableColumn id="2" xr3:uid="{3F72C192-AA7E-4BE5-B907-96303AB07CE8}" name="Languag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41" totalsRowShown="0" headerRowDxfId="9" dataDxfId="8">
  <autoFilter ref="B8:F41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81" row="7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50"/>
  <sheetViews>
    <sheetView showGridLines="0" tabSelected="1" zoomScale="70" zoomScaleNormal="70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D45" sqref="D45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0.9375" style="12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61</v>
      </c>
      <c r="C6" s="10"/>
      <c r="D6" s="10"/>
      <c r="E6" s="10"/>
      <c r="F6" s="10"/>
      <c r="G6" s="2"/>
      <c r="H6" s="2"/>
      <c r="I6" s="2"/>
      <c r="J6" s="2"/>
    </row>
    <row r="7" spans="2:10" x14ac:dyDescent="0.3">
      <c r="B7" s="12">
        <f>ROWS(CompBotCommands[])</f>
        <v>42</v>
      </c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3">
      <c r="B9" s="13" t="s">
        <v>178</v>
      </c>
      <c r="C9" s="12" t="s">
        <v>15</v>
      </c>
      <c r="D9" s="13" t="s">
        <v>246</v>
      </c>
      <c r="E9" s="13" t="s">
        <v>272</v>
      </c>
      <c r="F9" s="12" t="s">
        <v>271</v>
      </c>
    </row>
    <row r="10" spans="2:10" ht="59.4" x14ac:dyDescent="0.3">
      <c r="B10" s="13" t="s">
        <v>548</v>
      </c>
      <c r="C10" s="12" t="s">
        <v>15</v>
      </c>
      <c r="D10" s="13" t="s">
        <v>549</v>
      </c>
      <c r="E10" s="13" t="s">
        <v>550</v>
      </c>
      <c r="F10" s="12" t="s">
        <v>532</v>
      </c>
    </row>
    <row r="11" spans="2:10" ht="39.6" x14ac:dyDescent="0.3">
      <c r="B11" s="19" t="s">
        <v>35</v>
      </c>
      <c r="C11" s="20" t="s">
        <v>15</v>
      </c>
      <c r="D11" s="19" t="s">
        <v>281</v>
      </c>
      <c r="E11" s="19" t="s">
        <v>22</v>
      </c>
      <c r="F11" s="20" t="s">
        <v>90</v>
      </c>
    </row>
    <row r="12" spans="2:10" x14ac:dyDescent="0.3">
      <c r="B12" s="13" t="s">
        <v>103</v>
      </c>
      <c r="C12" s="12" t="s">
        <v>15</v>
      </c>
      <c r="D12" s="13" t="s">
        <v>104</v>
      </c>
      <c r="E12" s="13" t="s">
        <v>22</v>
      </c>
      <c r="F12" s="13" t="s">
        <v>105</v>
      </c>
    </row>
    <row r="13" spans="2:10" ht="39.6" x14ac:dyDescent="0.3">
      <c r="B13" s="13" t="s">
        <v>14</v>
      </c>
      <c r="C13" s="12" t="s">
        <v>15</v>
      </c>
      <c r="D13" s="13" t="s">
        <v>16</v>
      </c>
      <c r="E13" s="13" t="s">
        <v>23</v>
      </c>
      <c r="F13" s="12" t="s">
        <v>26</v>
      </c>
    </row>
    <row r="14" spans="2:10" ht="39.6" x14ac:dyDescent="0.3">
      <c r="B14" s="19" t="s">
        <v>88</v>
      </c>
      <c r="C14" s="20" t="s">
        <v>15</v>
      </c>
      <c r="D14" s="19" t="s">
        <v>282</v>
      </c>
      <c r="E14" s="19" t="s">
        <v>22</v>
      </c>
      <c r="F14" s="19" t="s">
        <v>89</v>
      </c>
    </row>
    <row r="15" spans="2:10" ht="138.6" x14ac:dyDescent="0.3">
      <c r="B15" s="19" t="s">
        <v>247</v>
      </c>
      <c r="C15" s="20" t="s">
        <v>15</v>
      </c>
      <c r="D15" s="19" t="s">
        <v>284</v>
      </c>
      <c r="E15" s="19" t="s">
        <v>22</v>
      </c>
      <c r="F15" s="19" t="s">
        <v>273</v>
      </c>
    </row>
    <row r="16" spans="2:10" ht="59.4" x14ac:dyDescent="0.3">
      <c r="B16" s="13" t="s">
        <v>62</v>
      </c>
      <c r="C16" s="12" t="s">
        <v>15</v>
      </c>
      <c r="D16" s="13" t="s">
        <v>87</v>
      </c>
      <c r="E16" s="13" t="s">
        <v>63</v>
      </c>
      <c r="F16" s="13" t="s">
        <v>64</v>
      </c>
    </row>
    <row r="17" spans="2:6" ht="99" x14ac:dyDescent="0.3">
      <c r="B17" s="19" t="s">
        <v>36</v>
      </c>
      <c r="C17" s="20" t="s">
        <v>15</v>
      </c>
      <c r="D17" s="19" t="s">
        <v>283</v>
      </c>
      <c r="E17" s="19" t="s">
        <v>22</v>
      </c>
      <c r="F17" s="19" t="s">
        <v>47</v>
      </c>
    </row>
    <row r="18" spans="2:6" ht="52.5" customHeight="1" x14ac:dyDescent="0.3">
      <c r="B18" s="12" t="s">
        <v>180</v>
      </c>
      <c r="C18" s="12" t="s">
        <v>15</v>
      </c>
      <c r="D18" s="13" t="s">
        <v>223</v>
      </c>
      <c r="E18" s="13" t="s">
        <v>274</v>
      </c>
      <c r="F18" s="13" t="s">
        <v>275</v>
      </c>
    </row>
    <row r="19" spans="2:6" ht="52.5" customHeight="1" x14ac:dyDescent="0.3">
      <c r="B19" s="12" t="s">
        <v>147</v>
      </c>
      <c r="C19" s="12" t="s">
        <v>15</v>
      </c>
      <c r="D19" s="13" t="s">
        <v>276</v>
      </c>
      <c r="E19" s="13" t="s">
        <v>277</v>
      </c>
      <c r="F19" s="12" t="s">
        <v>146</v>
      </c>
    </row>
    <row r="20" spans="2:6" ht="118.8" x14ac:dyDescent="0.3">
      <c r="B20" s="13" t="s">
        <v>168</v>
      </c>
      <c r="C20" s="12" t="s">
        <v>15</v>
      </c>
      <c r="D20" s="13" t="s">
        <v>106</v>
      </c>
      <c r="E20" s="13" t="s">
        <v>22</v>
      </c>
      <c r="F20" s="12" t="s">
        <v>278</v>
      </c>
    </row>
    <row r="21" spans="2:6" ht="59.4" x14ac:dyDescent="0.3">
      <c r="B21" s="13" t="s">
        <v>536</v>
      </c>
      <c r="C21" s="12" t="s">
        <v>15</v>
      </c>
      <c r="D21" s="13" t="s">
        <v>537</v>
      </c>
      <c r="E21" s="13" t="s">
        <v>538</v>
      </c>
      <c r="F21" s="12" t="s">
        <v>540</v>
      </c>
    </row>
    <row r="22" spans="2:6" x14ac:dyDescent="0.3">
      <c r="B22" s="13" t="s">
        <v>248</v>
      </c>
      <c r="C22" s="12" t="s">
        <v>76</v>
      </c>
      <c r="D22" s="13" t="s">
        <v>77</v>
      </c>
      <c r="E22" s="13" t="s">
        <v>22</v>
      </c>
      <c r="F22" s="12" t="s">
        <v>78</v>
      </c>
    </row>
    <row r="23" spans="2:6" ht="39.6" x14ac:dyDescent="0.3">
      <c r="B23" s="13" t="s">
        <v>245</v>
      </c>
      <c r="C23" s="12" t="s">
        <v>15</v>
      </c>
      <c r="D23" s="13" t="s">
        <v>34</v>
      </c>
      <c r="E23" s="13" t="s">
        <v>22</v>
      </c>
      <c r="F23" s="12" t="s">
        <v>33</v>
      </c>
    </row>
    <row r="24" spans="2:6" ht="59.4" x14ac:dyDescent="0.3">
      <c r="B24" s="13" t="s">
        <v>20</v>
      </c>
      <c r="C24" s="12" t="s">
        <v>15</v>
      </c>
      <c r="D24" s="13" t="s">
        <v>27</v>
      </c>
      <c r="E24" s="13" t="s">
        <v>22</v>
      </c>
      <c r="F24" s="12" t="s">
        <v>25</v>
      </c>
    </row>
    <row r="25" spans="2:6" ht="59.4" x14ac:dyDescent="0.3">
      <c r="B25" s="13" t="s">
        <v>300</v>
      </c>
      <c r="C25" s="12" t="s">
        <v>15</v>
      </c>
      <c r="D25" s="13" t="s">
        <v>302</v>
      </c>
      <c r="E25" s="13" t="s">
        <v>303</v>
      </c>
      <c r="F25" s="12" t="s">
        <v>301</v>
      </c>
    </row>
    <row r="26" spans="2:6" ht="59.4" x14ac:dyDescent="0.3">
      <c r="B26" s="12" t="s">
        <v>249</v>
      </c>
      <c r="C26" s="12" t="s">
        <v>15</v>
      </c>
      <c r="D26" s="13" t="s">
        <v>250</v>
      </c>
      <c r="E26" s="13" t="s">
        <v>279</v>
      </c>
      <c r="F26" s="12" t="s">
        <v>287</v>
      </c>
    </row>
    <row r="27" spans="2:6" ht="39.6" x14ac:dyDescent="0.3">
      <c r="B27" s="13" t="s">
        <v>73</v>
      </c>
      <c r="C27" s="12" t="s">
        <v>15</v>
      </c>
      <c r="D27" s="13" t="s">
        <v>75</v>
      </c>
      <c r="E27" s="13" t="s">
        <v>22</v>
      </c>
      <c r="F27" s="12" t="s">
        <v>71</v>
      </c>
    </row>
    <row r="28" spans="2:6" ht="59.4" x14ac:dyDescent="0.3">
      <c r="B28" s="13" t="s">
        <v>251</v>
      </c>
      <c r="C28" s="12" t="s">
        <v>15</v>
      </c>
      <c r="D28" s="13" t="s">
        <v>72</v>
      </c>
      <c r="E28" s="13" t="s">
        <v>94</v>
      </c>
      <c r="F28" s="12" t="s">
        <v>74</v>
      </c>
    </row>
    <row r="29" spans="2:6" ht="39.6" x14ac:dyDescent="0.3">
      <c r="B29" s="12" t="s">
        <v>182</v>
      </c>
      <c r="C29" s="12" t="s">
        <v>15</v>
      </c>
      <c r="D29" s="13" t="s">
        <v>252</v>
      </c>
      <c r="E29" s="13" t="s">
        <v>286</v>
      </c>
      <c r="F29" s="12" t="s">
        <v>183</v>
      </c>
    </row>
    <row r="30" spans="2:6" ht="39.6" x14ac:dyDescent="0.3">
      <c r="B30" s="20" t="s">
        <v>253</v>
      </c>
      <c r="C30" s="20" t="s">
        <v>15</v>
      </c>
      <c r="D30" s="19" t="s">
        <v>285</v>
      </c>
      <c r="E30" s="19" t="s">
        <v>22</v>
      </c>
      <c r="F30" s="19" t="s">
        <v>280</v>
      </c>
    </row>
    <row r="31" spans="2:6" ht="79.2" x14ac:dyDescent="0.3">
      <c r="B31" s="13" t="s">
        <v>539</v>
      </c>
      <c r="C31" s="12" t="s">
        <v>15</v>
      </c>
      <c r="D31" s="13" t="s">
        <v>541</v>
      </c>
      <c r="E31" s="13" t="s">
        <v>538</v>
      </c>
      <c r="F31" s="12" t="s">
        <v>280</v>
      </c>
    </row>
    <row r="32" spans="2:6" x14ac:dyDescent="0.3">
      <c r="B32" s="13" t="s">
        <v>528</v>
      </c>
      <c r="C32" s="12" t="s">
        <v>15</v>
      </c>
      <c r="D32" s="13" t="s">
        <v>529</v>
      </c>
      <c r="E32" s="13" t="s">
        <v>530</v>
      </c>
      <c r="F32" s="12" t="s">
        <v>531</v>
      </c>
    </row>
    <row r="33" spans="2:6" ht="79.2" x14ac:dyDescent="0.3">
      <c r="B33" s="13" t="s">
        <v>79</v>
      </c>
      <c r="C33" s="12" t="s">
        <v>76</v>
      </c>
      <c r="D33" s="13" t="s">
        <v>82</v>
      </c>
      <c r="E33" s="13" t="s">
        <v>81</v>
      </c>
      <c r="F33" s="12" t="s">
        <v>80</v>
      </c>
    </row>
    <row r="34" spans="2:6" ht="39.6" x14ac:dyDescent="0.3">
      <c r="B34" s="13" t="s">
        <v>91</v>
      </c>
      <c r="C34" s="12" t="s">
        <v>15</v>
      </c>
      <c r="D34" s="13" t="s">
        <v>95</v>
      </c>
      <c r="E34" s="13" t="s">
        <v>92</v>
      </c>
      <c r="F34" s="12" t="s">
        <v>93</v>
      </c>
    </row>
    <row r="35" spans="2:6" ht="59.4" x14ac:dyDescent="0.3">
      <c r="B35" s="13" t="s">
        <v>142</v>
      </c>
      <c r="C35" s="12" t="s">
        <v>15</v>
      </c>
      <c r="D35" s="13" t="s">
        <v>254</v>
      </c>
      <c r="E35" s="13" t="s">
        <v>288</v>
      </c>
      <c r="F35" s="12" t="s">
        <v>141</v>
      </c>
    </row>
    <row r="36" spans="2:6" ht="39.6" x14ac:dyDescent="0.3">
      <c r="B36" s="13" t="s">
        <v>304</v>
      </c>
      <c r="C36" s="12" t="s">
        <v>15</v>
      </c>
      <c r="D36" s="13" t="s">
        <v>305</v>
      </c>
      <c r="E36" s="13" t="s">
        <v>306</v>
      </c>
      <c r="F36" s="12" t="s">
        <v>307</v>
      </c>
    </row>
    <row r="37" spans="2:6" ht="39.6" x14ac:dyDescent="0.3">
      <c r="B37" s="13" t="s">
        <v>156</v>
      </c>
      <c r="C37" s="12" t="s">
        <v>15</v>
      </c>
      <c r="D37" s="13" t="s">
        <v>255</v>
      </c>
      <c r="E37" s="13" t="s">
        <v>289</v>
      </c>
      <c r="F37" s="12" t="s">
        <v>155</v>
      </c>
    </row>
    <row r="38" spans="2:6" ht="39.6" x14ac:dyDescent="0.3">
      <c r="B38" s="13" t="s">
        <v>154</v>
      </c>
      <c r="C38" s="12" t="s">
        <v>15</v>
      </c>
      <c r="D38" s="13" t="s">
        <v>256</v>
      </c>
      <c r="E38" s="13" t="s">
        <v>290</v>
      </c>
      <c r="F38" s="12" t="s">
        <v>153</v>
      </c>
    </row>
    <row r="39" spans="2:6" ht="39.6" x14ac:dyDescent="0.3">
      <c r="B39" s="13" t="s">
        <v>257</v>
      </c>
      <c r="C39" s="12" t="s">
        <v>15</v>
      </c>
      <c r="D39" s="13" t="s">
        <v>85</v>
      </c>
      <c r="E39" s="13"/>
      <c r="F39" s="12" t="s">
        <v>83</v>
      </c>
    </row>
    <row r="40" spans="2:6" ht="59.4" x14ac:dyDescent="0.3">
      <c r="B40" s="13" t="s">
        <v>258</v>
      </c>
      <c r="C40" s="12" t="s">
        <v>15</v>
      </c>
      <c r="D40" s="13" t="s">
        <v>86</v>
      </c>
      <c r="E40" s="13"/>
      <c r="F40" s="12" t="s">
        <v>84</v>
      </c>
    </row>
    <row r="41" spans="2:6" ht="59.4" x14ac:dyDescent="0.3">
      <c r="B41" s="13" t="s">
        <v>533</v>
      </c>
      <c r="C41" s="12" t="s">
        <v>15</v>
      </c>
      <c r="D41" s="13" t="s">
        <v>534</v>
      </c>
      <c r="E41" s="13" t="s">
        <v>48</v>
      </c>
      <c r="F41" s="12" t="s">
        <v>535</v>
      </c>
    </row>
    <row r="42" spans="2:6" x14ac:dyDescent="0.3">
      <c r="B42" s="13" t="s">
        <v>259</v>
      </c>
      <c r="C42" s="12" t="s">
        <v>15</v>
      </c>
      <c r="D42" s="13" t="s">
        <v>260</v>
      </c>
      <c r="E42" s="13" t="s">
        <v>291</v>
      </c>
      <c r="F42" s="12" t="s">
        <v>261</v>
      </c>
    </row>
    <row r="43" spans="2:6" x14ac:dyDescent="0.3">
      <c r="B43" s="13" t="s">
        <v>162</v>
      </c>
      <c r="C43" s="12" t="s">
        <v>15</v>
      </c>
      <c r="D43" s="13" t="s">
        <v>262</v>
      </c>
      <c r="E43" s="13" t="s">
        <v>292</v>
      </c>
      <c r="F43" s="12" t="s">
        <v>161</v>
      </c>
    </row>
    <row r="44" spans="2:6" ht="39.6" x14ac:dyDescent="0.3">
      <c r="B44" s="13" t="s">
        <v>160</v>
      </c>
      <c r="C44" s="12" t="s">
        <v>15</v>
      </c>
      <c r="D44" s="13" t="s">
        <v>263</v>
      </c>
      <c r="E44" s="13" t="s">
        <v>294</v>
      </c>
      <c r="F44" s="12" t="s">
        <v>159</v>
      </c>
    </row>
    <row r="45" spans="2:6" ht="39.6" x14ac:dyDescent="0.3">
      <c r="B45" s="13" t="s">
        <v>264</v>
      </c>
      <c r="C45" s="12" t="s">
        <v>15</v>
      </c>
      <c r="D45" s="13" t="s">
        <v>265</v>
      </c>
      <c r="E45" s="13" t="s">
        <v>295</v>
      </c>
      <c r="F45" s="12" t="s">
        <v>188</v>
      </c>
    </row>
    <row r="46" spans="2:6" ht="59.4" x14ac:dyDescent="0.3">
      <c r="B46" s="13" t="s">
        <v>266</v>
      </c>
      <c r="C46" s="12" t="s">
        <v>15</v>
      </c>
      <c r="D46" s="13" t="s">
        <v>267</v>
      </c>
      <c r="E46" s="13" t="s">
        <v>296</v>
      </c>
      <c r="F46" s="12" t="s">
        <v>268</v>
      </c>
    </row>
    <row r="47" spans="2:6" x14ac:dyDescent="0.3">
      <c r="B47" s="13" t="s">
        <v>269</v>
      </c>
      <c r="C47" s="12" t="s">
        <v>15</v>
      </c>
      <c r="D47" s="13" t="s">
        <v>269</v>
      </c>
      <c r="E47" s="13" t="s">
        <v>297</v>
      </c>
      <c r="F47" s="12" t="s">
        <v>293</v>
      </c>
    </row>
    <row r="48" spans="2:6" x14ac:dyDescent="0.3">
      <c r="B48" s="13" t="s">
        <v>174</v>
      </c>
      <c r="C48" s="12" t="s">
        <v>15</v>
      </c>
      <c r="D48" s="13" t="s">
        <v>174</v>
      </c>
      <c r="E48" s="13" t="s">
        <v>298</v>
      </c>
      <c r="F48" s="12" t="s">
        <v>175</v>
      </c>
    </row>
    <row r="49" spans="2:6" x14ac:dyDescent="0.3">
      <c r="B49" s="13" t="s">
        <v>542</v>
      </c>
      <c r="C49" s="12" t="s">
        <v>15</v>
      </c>
      <c r="D49" s="13" t="s">
        <v>542</v>
      </c>
      <c r="E49" s="13" t="s">
        <v>543</v>
      </c>
      <c r="F49" s="12" t="s">
        <v>544</v>
      </c>
    </row>
    <row r="50" spans="2:6" ht="79.2" x14ac:dyDescent="0.3">
      <c r="B50" s="13" t="s">
        <v>166</v>
      </c>
      <c r="C50" s="12" t="s">
        <v>15</v>
      </c>
      <c r="D50" s="13" t="s">
        <v>270</v>
      </c>
      <c r="E50" s="13" t="s">
        <v>299</v>
      </c>
      <c r="F50" s="12" t="s">
        <v>165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O216"/>
  <sheetViews>
    <sheetView showGridLines="0" workbookViewId="0">
      <pane ySplit="5" topLeftCell="A6" activePane="bottomLeft" state="frozenSplit"/>
      <selection pane="bottomLeft" activeCell="C11" sqref="C11"/>
    </sheetView>
  </sheetViews>
  <sheetFormatPr defaultRowHeight="19.8" x14ac:dyDescent="0.3"/>
  <cols>
    <col min="1" max="1" width="1.703125" customWidth="1"/>
    <col min="2" max="2" width="20" bestFit="1" customWidth="1"/>
    <col min="3" max="3" width="19.3515625" bestFit="1" customWidth="1"/>
    <col min="4" max="4" width="3.05859375" customWidth="1"/>
    <col min="5" max="5" width="16.46875" bestFit="1" customWidth="1"/>
    <col min="6" max="6" width="13.703125" bestFit="1" customWidth="1"/>
    <col min="7" max="7" width="8.17578125" bestFit="1" customWidth="1"/>
    <col min="8" max="8" width="1.9375" customWidth="1"/>
    <col min="9" max="9" width="10.3515625" bestFit="1" customWidth="1"/>
    <col min="10" max="10" width="18.46875" bestFit="1" customWidth="1"/>
    <col min="12" max="12" width="5.76171875" hidden="1" customWidth="1"/>
    <col min="13" max="13" width="26.17578125" hidden="1" customWidth="1"/>
    <col min="14" max="14" width="0" hidden="1" customWidth="1"/>
    <col min="15" max="15" width="8.9375" hidden="1" customWidth="1"/>
  </cols>
  <sheetData>
    <row r="5" spans="2:15" ht="21" thickBot="1" x14ac:dyDescent="0.4">
      <c r="B5" s="30" t="s">
        <v>49</v>
      </c>
      <c r="C5" s="30"/>
      <c r="D5" s="30"/>
      <c r="E5" s="30"/>
      <c r="F5" s="30"/>
      <c r="G5" s="30"/>
      <c r="H5" s="30"/>
      <c r="I5" s="30"/>
      <c r="J5" s="30"/>
      <c r="K5" s="30"/>
      <c r="L5" s="1"/>
      <c r="M5" s="1"/>
    </row>
    <row r="6" spans="2:15" ht="20.399999999999999" thickTop="1" x14ac:dyDescent="0.3">
      <c r="B6" s="31" t="s">
        <v>523</v>
      </c>
      <c r="C6" s="31"/>
      <c r="D6" s="31"/>
      <c r="E6" s="31"/>
      <c r="F6" s="31"/>
      <c r="G6" s="31"/>
      <c r="H6" s="31"/>
      <c r="I6" s="31"/>
      <c r="J6" s="31"/>
      <c r="K6" s="31"/>
      <c r="L6" s="2"/>
      <c r="M6" s="2"/>
    </row>
    <row r="7" spans="2:15" ht="39.6" x14ac:dyDescent="0.3">
      <c r="B7" s="32" t="s">
        <v>525</v>
      </c>
      <c r="C7" s="31"/>
      <c r="D7" s="31"/>
      <c r="E7" s="31"/>
      <c r="F7" s="31"/>
      <c r="G7" s="31"/>
      <c r="H7" s="31"/>
      <c r="I7" s="31"/>
      <c r="J7" s="31"/>
      <c r="K7" s="31"/>
      <c r="L7" s="2"/>
      <c r="M7" s="2"/>
    </row>
    <row r="9" spans="2:15" x14ac:dyDescent="0.3">
      <c r="F9" s="29" t="s">
        <v>527</v>
      </c>
      <c r="G9" s="15"/>
    </row>
    <row r="10" spans="2:15" x14ac:dyDescent="0.3">
      <c r="C10" t="s">
        <v>526</v>
      </c>
      <c r="E10" t="s">
        <v>315</v>
      </c>
      <c r="F10" t="s">
        <v>59</v>
      </c>
      <c r="G10" t="s">
        <v>57</v>
      </c>
      <c r="I10" t="s">
        <v>58</v>
      </c>
      <c r="L10" t="s">
        <v>522</v>
      </c>
      <c r="M10" t="s">
        <v>56</v>
      </c>
      <c r="O10" t="str" cm="1">
        <f t="array" ref="O10:O215">_xlfn.UNIQUE(Languages[Language])</f>
        <v>Amharic</v>
      </c>
    </row>
    <row r="11" spans="2:15" ht="20.399999999999999" x14ac:dyDescent="0.35">
      <c r="B11" s="14" t="s">
        <v>52</v>
      </c>
      <c r="C11" s="16" t="b">
        <v>0</v>
      </c>
      <c r="E11" s="27" t="b">
        <v>1</v>
      </c>
      <c r="F11" s="15" t="b">
        <v>1</v>
      </c>
      <c r="G11" s="15" t="b">
        <v>0</v>
      </c>
      <c r="L11">
        <v>1118</v>
      </c>
      <c r="M11" t="s">
        <v>319</v>
      </c>
      <c r="O11" t="str">
        <v>Afrikaans</v>
      </c>
    </row>
    <row r="12" spans="2:15" ht="20.399999999999999" x14ac:dyDescent="0.35">
      <c r="B12" s="14" t="s">
        <v>50</v>
      </c>
      <c r="C12" s="16" t="s">
        <v>54</v>
      </c>
      <c r="E12" s="27" t="s">
        <v>54</v>
      </c>
      <c r="F12" s="15" t="s">
        <v>54</v>
      </c>
      <c r="G12" s="15" t="s">
        <v>55</v>
      </c>
      <c r="I12" s="17">
        <f>SUM(1000,0.23)</f>
        <v>1000.23</v>
      </c>
      <c r="J12" t="str">
        <f ca="1">_xlfn.FORMULATEXT(I12)</f>
        <v>=SUM(1000;0,23)</v>
      </c>
      <c r="L12">
        <v>54</v>
      </c>
      <c r="M12" t="s">
        <v>57</v>
      </c>
      <c r="O12" t="str">
        <v>Albanian</v>
      </c>
    </row>
    <row r="13" spans="2:15" ht="20.399999999999999" x14ac:dyDescent="0.35">
      <c r="B13" s="14" t="s">
        <v>51</v>
      </c>
      <c r="C13" s="16" t="s">
        <v>55</v>
      </c>
      <c r="E13" s="27" t="s">
        <v>55</v>
      </c>
      <c r="F13" s="15" t="s">
        <v>55</v>
      </c>
      <c r="G13" s="15" t="s">
        <v>31</v>
      </c>
      <c r="I13" s="17">
        <v>1000.23</v>
      </c>
      <c r="L13">
        <v>1052</v>
      </c>
      <c r="M13" t="s">
        <v>317</v>
      </c>
      <c r="O13" t="str">
        <v>Alsatian</v>
      </c>
    </row>
    <row r="14" spans="2:15" x14ac:dyDescent="0.3">
      <c r="B14" s="14" t="s">
        <v>53</v>
      </c>
      <c r="C14" s="28" t="str">
        <f>IF(Decimal_Separator=",",";",",")</f>
        <v>,</v>
      </c>
      <c r="E14" s="28" t="str">
        <f>IF(Loaded_Decimal_Separator=",",";",",")</f>
        <v>,</v>
      </c>
      <c r="F14" s="28" t="str">
        <f>IF(F12=",",";",",")</f>
        <v>,</v>
      </c>
      <c r="G14" s="28" t="str">
        <f>IF(G12=",",";",",")</f>
        <v>;</v>
      </c>
      <c r="I14" t="str">
        <f>_xlfn.CONCAT(E12,E13,E14,E11)</f>
        <v>.,,TRUE</v>
      </c>
      <c r="J14" t="str">
        <f ca="1">_xlfn.FORMULATEXT(I14)</f>
        <v>=CONCAT(E12;E13;E14;E11)</v>
      </c>
      <c r="L14">
        <v>1156</v>
      </c>
      <c r="M14" t="s">
        <v>318</v>
      </c>
      <c r="O14" t="str">
        <v>Arabic (Algeria)</v>
      </c>
    </row>
    <row r="15" spans="2:15" x14ac:dyDescent="0.3">
      <c r="B15" s="14" t="s">
        <v>56</v>
      </c>
      <c r="E15" s="28" t="str">
        <f>_xlfn.XLOOKUP(Loaded_Language_ID,Languages[ID],Languages[Language],"Unknown",0)</f>
        <v>English (United States)</v>
      </c>
      <c r="I15" s="18" t="s">
        <v>524</v>
      </c>
      <c r="L15">
        <v>5121</v>
      </c>
      <c r="M15" t="s">
        <v>320</v>
      </c>
      <c r="O15" t="str">
        <v>Arabic (Bahrain)</v>
      </c>
    </row>
    <row r="16" spans="2:15" ht="20.399999999999999" x14ac:dyDescent="0.35">
      <c r="B16" s="14" t="s">
        <v>316</v>
      </c>
      <c r="E16" s="27">
        <v>1033</v>
      </c>
      <c r="I16" s="18" t="s">
        <v>524</v>
      </c>
      <c r="L16">
        <v>15361</v>
      </c>
      <c r="M16" t="s">
        <v>321</v>
      </c>
      <c r="O16" t="str">
        <v>Arabic (Egypt)</v>
      </c>
    </row>
    <row r="17" spans="12:15" x14ac:dyDescent="0.3">
      <c r="L17">
        <v>3073</v>
      </c>
      <c r="M17" t="s">
        <v>322</v>
      </c>
      <c r="O17" t="str">
        <v>Arabic (Iraq)</v>
      </c>
    </row>
    <row r="18" spans="12:15" x14ac:dyDescent="0.3">
      <c r="L18">
        <v>2049</v>
      </c>
      <c r="M18" t="s">
        <v>323</v>
      </c>
      <c r="O18" t="str">
        <v>Arabic (Jordan)</v>
      </c>
    </row>
    <row r="19" spans="12:15" x14ac:dyDescent="0.3">
      <c r="L19">
        <v>11265</v>
      </c>
      <c r="M19" t="s">
        <v>324</v>
      </c>
      <c r="O19" t="str">
        <v>Arabic (Kuwait)</v>
      </c>
    </row>
    <row r="20" spans="12:15" x14ac:dyDescent="0.3">
      <c r="L20">
        <v>13313</v>
      </c>
      <c r="M20" t="s">
        <v>325</v>
      </c>
      <c r="O20" t="str">
        <v>Arabic (Lebanon)</v>
      </c>
    </row>
    <row r="21" spans="12:15" x14ac:dyDescent="0.3">
      <c r="L21">
        <v>12289</v>
      </c>
      <c r="M21" t="s">
        <v>326</v>
      </c>
      <c r="O21" t="str">
        <v>Arabic (Libya)</v>
      </c>
    </row>
    <row r="22" spans="12:15" x14ac:dyDescent="0.3">
      <c r="L22">
        <v>4097</v>
      </c>
      <c r="M22" t="s">
        <v>327</v>
      </c>
      <c r="O22" t="str">
        <v>Arabic (Morocco)</v>
      </c>
    </row>
    <row r="23" spans="12:15" x14ac:dyDescent="0.3">
      <c r="L23">
        <v>6145</v>
      </c>
      <c r="M23" t="s">
        <v>328</v>
      </c>
      <c r="O23" t="str">
        <v>Arabic (Oman)</v>
      </c>
    </row>
    <row r="24" spans="12:15" x14ac:dyDescent="0.3">
      <c r="L24">
        <v>8193</v>
      </c>
      <c r="M24" t="s">
        <v>329</v>
      </c>
      <c r="O24" t="str">
        <v>Arabic (Qatar)</v>
      </c>
    </row>
    <row r="25" spans="12:15" x14ac:dyDescent="0.3">
      <c r="L25">
        <v>16385</v>
      </c>
      <c r="M25" t="s">
        <v>330</v>
      </c>
      <c r="O25" t="str">
        <v>Arabic (Saudi Arabia)</v>
      </c>
    </row>
    <row r="26" spans="12:15" x14ac:dyDescent="0.3">
      <c r="L26">
        <v>1025</v>
      </c>
      <c r="M26" t="s">
        <v>331</v>
      </c>
      <c r="O26" t="str">
        <v>Arabic (Syria)</v>
      </c>
    </row>
    <row r="27" spans="12:15" x14ac:dyDescent="0.3">
      <c r="L27">
        <v>10241</v>
      </c>
      <c r="M27" t="s">
        <v>332</v>
      </c>
      <c r="O27" t="str">
        <v>Arabic (Tunisia)</v>
      </c>
    </row>
    <row r="28" spans="12:15" x14ac:dyDescent="0.3">
      <c r="L28">
        <v>7169</v>
      </c>
      <c r="M28" t="s">
        <v>333</v>
      </c>
      <c r="O28" t="str">
        <v>Arabic (U.A.E.)</v>
      </c>
    </row>
    <row r="29" spans="12:15" x14ac:dyDescent="0.3">
      <c r="L29">
        <v>14337</v>
      </c>
      <c r="M29" t="s">
        <v>334</v>
      </c>
      <c r="O29" t="str">
        <v>Arabic (Yemen)</v>
      </c>
    </row>
    <row r="30" spans="12:15" x14ac:dyDescent="0.3">
      <c r="L30">
        <v>9217</v>
      </c>
      <c r="M30" t="s">
        <v>335</v>
      </c>
      <c r="O30" t="str">
        <v>Armenian</v>
      </c>
    </row>
    <row r="31" spans="12:15" x14ac:dyDescent="0.3">
      <c r="L31">
        <v>1067</v>
      </c>
      <c r="M31" t="s">
        <v>336</v>
      </c>
      <c r="O31" t="str">
        <v>Assamese</v>
      </c>
    </row>
    <row r="32" spans="12:15" x14ac:dyDescent="0.3">
      <c r="L32">
        <v>1101</v>
      </c>
      <c r="M32" t="s">
        <v>337</v>
      </c>
      <c r="O32" t="str">
        <v>Azerbaijani (Cyrillic)</v>
      </c>
    </row>
    <row r="33" spans="12:15" x14ac:dyDescent="0.3">
      <c r="L33">
        <v>2092</v>
      </c>
      <c r="M33" t="s">
        <v>338</v>
      </c>
      <c r="O33" t="str">
        <v>Azerbaijani (Latin)</v>
      </c>
    </row>
    <row r="34" spans="12:15" x14ac:dyDescent="0.3">
      <c r="L34">
        <v>1068</v>
      </c>
      <c r="M34" t="s">
        <v>339</v>
      </c>
      <c r="O34" t="str">
        <v>Bashkir</v>
      </c>
    </row>
    <row r="35" spans="12:15" x14ac:dyDescent="0.3">
      <c r="L35">
        <v>1133</v>
      </c>
      <c r="M35" t="s">
        <v>340</v>
      </c>
      <c r="O35" t="str">
        <v>Basque</v>
      </c>
    </row>
    <row r="36" spans="12:15" x14ac:dyDescent="0.3">
      <c r="L36">
        <v>1069</v>
      </c>
      <c r="M36" t="s">
        <v>341</v>
      </c>
      <c r="O36" t="str">
        <v>Belarusian</v>
      </c>
    </row>
    <row r="37" spans="12:15" x14ac:dyDescent="0.3">
      <c r="L37">
        <v>1059</v>
      </c>
      <c r="M37" t="s">
        <v>342</v>
      </c>
      <c r="O37" t="str">
        <v>Bengali (Bangladesh)</v>
      </c>
    </row>
    <row r="38" spans="12:15" x14ac:dyDescent="0.3">
      <c r="L38">
        <v>2117</v>
      </c>
      <c r="M38" t="s">
        <v>343</v>
      </c>
      <c r="O38" t="str">
        <v>Bengali (India)</v>
      </c>
    </row>
    <row r="39" spans="12:15" x14ac:dyDescent="0.3">
      <c r="L39">
        <v>1093</v>
      </c>
      <c r="M39" t="s">
        <v>344</v>
      </c>
      <c r="O39" t="str">
        <v>Bosnian (Cyrillic)</v>
      </c>
    </row>
    <row r="40" spans="12:15" x14ac:dyDescent="0.3">
      <c r="L40">
        <v>8218</v>
      </c>
      <c r="M40" t="s">
        <v>345</v>
      </c>
      <c r="O40" t="str">
        <v>Bosnian (Latin)</v>
      </c>
    </row>
    <row r="41" spans="12:15" x14ac:dyDescent="0.3">
      <c r="L41">
        <v>5146</v>
      </c>
      <c r="M41" t="s">
        <v>346</v>
      </c>
      <c r="O41" t="str">
        <v>Breton</v>
      </c>
    </row>
    <row r="42" spans="12:15" x14ac:dyDescent="0.3">
      <c r="L42">
        <v>1150</v>
      </c>
      <c r="M42" t="s">
        <v>347</v>
      </c>
      <c r="O42" t="str">
        <v>Bulgarian</v>
      </c>
    </row>
    <row r="43" spans="12:15" x14ac:dyDescent="0.3">
      <c r="L43">
        <v>1026</v>
      </c>
      <c r="M43" t="s">
        <v>348</v>
      </c>
      <c r="O43" t="str">
        <v>Catalan</v>
      </c>
    </row>
    <row r="44" spans="12:15" x14ac:dyDescent="0.3">
      <c r="L44">
        <v>1027</v>
      </c>
      <c r="M44" t="s">
        <v>349</v>
      </c>
      <c r="O44" t="str">
        <v>Chinese (Hong Kong SAR)</v>
      </c>
    </row>
    <row r="45" spans="12:15" x14ac:dyDescent="0.3">
      <c r="L45">
        <v>3076</v>
      </c>
      <c r="M45" t="s">
        <v>350</v>
      </c>
      <c r="O45" t="str">
        <v>Chinese (Macao SAR)</v>
      </c>
    </row>
    <row r="46" spans="12:15" x14ac:dyDescent="0.3">
      <c r="L46">
        <v>5124</v>
      </c>
      <c r="M46" t="s">
        <v>351</v>
      </c>
      <c r="O46" t="str">
        <v>Chinese (Simplified, PRC)</v>
      </c>
    </row>
    <row r="47" spans="12:15" x14ac:dyDescent="0.3">
      <c r="L47">
        <v>2052</v>
      </c>
      <c r="M47" t="s">
        <v>352</v>
      </c>
      <c r="O47" t="str">
        <v>Chinese (Simplified, Singapore)</v>
      </c>
    </row>
    <row r="48" spans="12:15" x14ac:dyDescent="0.3">
      <c r="L48">
        <v>4100</v>
      </c>
      <c r="M48" t="s">
        <v>353</v>
      </c>
      <c r="O48" t="str">
        <v>Chinese (Traditional, Taiwan)</v>
      </c>
    </row>
    <row r="49" spans="12:15" x14ac:dyDescent="0.3">
      <c r="L49">
        <v>1028</v>
      </c>
      <c r="M49" t="s">
        <v>354</v>
      </c>
      <c r="O49" t="str">
        <v>Corsican</v>
      </c>
    </row>
    <row r="50" spans="12:15" x14ac:dyDescent="0.3">
      <c r="L50">
        <v>1155</v>
      </c>
      <c r="M50" t="s">
        <v>355</v>
      </c>
      <c r="O50" t="str">
        <v>Croatian</v>
      </c>
    </row>
    <row r="51" spans="12:15" x14ac:dyDescent="0.3">
      <c r="L51">
        <v>1050</v>
      </c>
      <c r="M51" t="s">
        <v>356</v>
      </c>
      <c r="O51" t="str">
        <v>Croatian (Latin, Bosnia)</v>
      </c>
    </row>
    <row r="52" spans="12:15" x14ac:dyDescent="0.3">
      <c r="L52">
        <v>4122</v>
      </c>
      <c r="M52" t="s">
        <v>357</v>
      </c>
      <c r="O52" t="str">
        <v>Czech</v>
      </c>
    </row>
    <row r="53" spans="12:15" x14ac:dyDescent="0.3">
      <c r="L53">
        <v>1029</v>
      </c>
      <c r="M53" t="s">
        <v>358</v>
      </c>
      <c r="O53" t="str">
        <v>Danish</v>
      </c>
    </row>
    <row r="54" spans="12:15" x14ac:dyDescent="0.3">
      <c r="L54">
        <v>1030</v>
      </c>
      <c r="M54" t="s">
        <v>359</v>
      </c>
      <c r="O54" t="str">
        <v>Dari</v>
      </c>
    </row>
    <row r="55" spans="12:15" x14ac:dyDescent="0.3">
      <c r="L55">
        <v>1164</v>
      </c>
      <c r="M55" t="s">
        <v>360</v>
      </c>
      <c r="O55" t="str">
        <v>Divehi</v>
      </c>
    </row>
    <row r="56" spans="12:15" x14ac:dyDescent="0.3">
      <c r="L56">
        <v>1125</v>
      </c>
      <c r="M56" t="s">
        <v>361</v>
      </c>
      <c r="O56" t="str">
        <v>Dutch (Belgium)</v>
      </c>
    </row>
    <row r="57" spans="12:15" x14ac:dyDescent="0.3">
      <c r="L57">
        <v>2067</v>
      </c>
      <c r="M57" t="s">
        <v>362</v>
      </c>
      <c r="O57" t="str">
        <v>Dutch (Netherlands)</v>
      </c>
    </row>
    <row r="58" spans="12:15" x14ac:dyDescent="0.3">
      <c r="L58">
        <v>1043</v>
      </c>
      <c r="M58" t="s">
        <v>363</v>
      </c>
      <c r="O58" t="str">
        <v>English (Australia)</v>
      </c>
    </row>
    <row r="59" spans="12:15" x14ac:dyDescent="0.3">
      <c r="L59">
        <v>3081</v>
      </c>
      <c r="M59" t="s">
        <v>364</v>
      </c>
      <c r="O59" t="str">
        <v>English (Belize)</v>
      </c>
    </row>
    <row r="60" spans="12:15" x14ac:dyDescent="0.3">
      <c r="L60">
        <v>10249</v>
      </c>
      <c r="M60" t="s">
        <v>365</v>
      </c>
      <c r="O60" t="str">
        <v>English (Canada)</v>
      </c>
    </row>
    <row r="61" spans="12:15" x14ac:dyDescent="0.3">
      <c r="L61">
        <v>4105</v>
      </c>
      <c r="M61" t="s">
        <v>366</v>
      </c>
      <c r="O61" t="str">
        <v>English (Caribbean)</v>
      </c>
    </row>
    <row r="62" spans="12:15" x14ac:dyDescent="0.3">
      <c r="L62">
        <v>9225</v>
      </c>
      <c r="M62" t="s">
        <v>367</v>
      </c>
      <c r="O62" t="str">
        <v>English (India)</v>
      </c>
    </row>
    <row r="63" spans="12:15" x14ac:dyDescent="0.3">
      <c r="L63">
        <v>16393</v>
      </c>
      <c r="M63" t="s">
        <v>368</v>
      </c>
      <c r="O63" t="str">
        <v>English (Ireland)</v>
      </c>
    </row>
    <row r="64" spans="12:15" x14ac:dyDescent="0.3">
      <c r="L64">
        <v>6153</v>
      </c>
      <c r="M64" t="s">
        <v>369</v>
      </c>
      <c r="O64" t="str">
        <v>English (Jamaica)</v>
      </c>
    </row>
    <row r="65" spans="12:15" x14ac:dyDescent="0.3">
      <c r="L65">
        <v>8201</v>
      </c>
      <c r="M65" t="s">
        <v>370</v>
      </c>
      <c r="O65" t="str">
        <v>English (Malaysia)</v>
      </c>
    </row>
    <row r="66" spans="12:15" x14ac:dyDescent="0.3">
      <c r="L66">
        <v>17417</v>
      </c>
      <c r="M66" t="s">
        <v>371</v>
      </c>
      <c r="O66" t="str">
        <v>English (New Zealand)</v>
      </c>
    </row>
    <row r="67" spans="12:15" x14ac:dyDescent="0.3">
      <c r="L67">
        <v>5129</v>
      </c>
      <c r="M67" t="s">
        <v>372</v>
      </c>
      <c r="O67" t="str">
        <v>English (Philippines)</v>
      </c>
    </row>
    <row r="68" spans="12:15" x14ac:dyDescent="0.3">
      <c r="L68">
        <v>13321</v>
      </c>
      <c r="M68" t="s">
        <v>373</v>
      </c>
      <c r="O68" t="str">
        <v>English (Singapore)</v>
      </c>
    </row>
    <row r="69" spans="12:15" x14ac:dyDescent="0.3">
      <c r="L69">
        <v>18441</v>
      </c>
      <c r="M69" t="s">
        <v>374</v>
      </c>
      <c r="O69" t="str">
        <v>English (South Africa)</v>
      </c>
    </row>
    <row r="70" spans="12:15" x14ac:dyDescent="0.3">
      <c r="L70">
        <v>7177</v>
      </c>
      <c r="M70" t="s">
        <v>375</v>
      </c>
      <c r="O70" t="str">
        <v>English (Trinidad)</v>
      </c>
    </row>
    <row r="71" spans="12:15" x14ac:dyDescent="0.3">
      <c r="L71">
        <v>11273</v>
      </c>
      <c r="M71" t="s">
        <v>376</v>
      </c>
      <c r="O71" t="str">
        <v>English (United Kingdom)</v>
      </c>
    </row>
    <row r="72" spans="12:15" x14ac:dyDescent="0.3">
      <c r="L72">
        <v>2057</v>
      </c>
      <c r="M72" t="s">
        <v>377</v>
      </c>
      <c r="O72" t="str">
        <v>English (United States)</v>
      </c>
    </row>
    <row r="73" spans="12:15" x14ac:dyDescent="0.3">
      <c r="L73">
        <v>1033</v>
      </c>
      <c r="M73" t="s">
        <v>378</v>
      </c>
      <c r="O73" t="str">
        <v>English (Zimbabwe)</v>
      </c>
    </row>
    <row r="74" spans="12:15" x14ac:dyDescent="0.3">
      <c r="L74">
        <v>12297</v>
      </c>
      <c r="M74" t="s">
        <v>379</v>
      </c>
      <c r="O74" t="str">
        <v>Estonian</v>
      </c>
    </row>
    <row r="75" spans="12:15" x14ac:dyDescent="0.3">
      <c r="L75">
        <v>1061</v>
      </c>
      <c r="M75" t="s">
        <v>380</v>
      </c>
      <c r="O75" t="str">
        <v>Faroese</v>
      </c>
    </row>
    <row r="76" spans="12:15" x14ac:dyDescent="0.3">
      <c r="L76">
        <v>1080</v>
      </c>
      <c r="M76" t="s">
        <v>381</v>
      </c>
      <c r="O76" t="str">
        <v>Filipino</v>
      </c>
    </row>
    <row r="77" spans="12:15" x14ac:dyDescent="0.3">
      <c r="L77">
        <v>1124</v>
      </c>
      <c r="M77" t="s">
        <v>382</v>
      </c>
      <c r="O77" t="str">
        <v>Finnish</v>
      </c>
    </row>
    <row r="78" spans="12:15" x14ac:dyDescent="0.3">
      <c r="L78">
        <v>1035</v>
      </c>
      <c r="M78" t="s">
        <v>383</v>
      </c>
      <c r="O78" t="str">
        <v>French (Belgium)</v>
      </c>
    </row>
    <row r="79" spans="12:15" x14ac:dyDescent="0.3">
      <c r="L79">
        <v>2060</v>
      </c>
      <c r="M79" t="s">
        <v>384</v>
      </c>
      <c r="O79" t="str">
        <v>French (Canada)</v>
      </c>
    </row>
    <row r="80" spans="12:15" x14ac:dyDescent="0.3">
      <c r="L80">
        <v>3084</v>
      </c>
      <c r="M80" t="s">
        <v>385</v>
      </c>
      <c r="O80" t="str">
        <v>French (France)</v>
      </c>
    </row>
    <row r="81" spans="12:15" x14ac:dyDescent="0.3">
      <c r="L81">
        <v>1036</v>
      </c>
      <c r="M81" t="s">
        <v>386</v>
      </c>
      <c r="O81" t="str">
        <v>French (Luxembourg)</v>
      </c>
    </row>
    <row r="82" spans="12:15" x14ac:dyDescent="0.3">
      <c r="L82">
        <v>5132</v>
      </c>
      <c r="M82" t="s">
        <v>387</v>
      </c>
      <c r="O82" t="str">
        <v>French (Monaco)</v>
      </c>
    </row>
    <row r="83" spans="12:15" x14ac:dyDescent="0.3">
      <c r="L83">
        <v>6156</v>
      </c>
      <c r="M83" t="s">
        <v>388</v>
      </c>
      <c r="O83" t="str">
        <v>French (Switzerland)</v>
      </c>
    </row>
    <row r="84" spans="12:15" x14ac:dyDescent="0.3">
      <c r="L84">
        <v>4108</v>
      </c>
      <c r="M84" t="s">
        <v>389</v>
      </c>
      <c r="O84" t="str">
        <v>Frisian</v>
      </c>
    </row>
    <row r="85" spans="12:15" x14ac:dyDescent="0.3">
      <c r="L85">
        <v>1122</v>
      </c>
      <c r="M85" t="s">
        <v>390</v>
      </c>
      <c r="O85" t="str">
        <v>Galician</v>
      </c>
    </row>
    <row r="86" spans="12:15" x14ac:dyDescent="0.3">
      <c r="L86">
        <v>1110</v>
      </c>
      <c r="M86" t="s">
        <v>391</v>
      </c>
      <c r="O86" t="str">
        <v>Georgian</v>
      </c>
    </row>
    <row r="87" spans="12:15" x14ac:dyDescent="0.3">
      <c r="L87">
        <v>1079</v>
      </c>
      <c r="M87" t="s">
        <v>392</v>
      </c>
      <c r="O87" t="str">
        <v>German (Austria)</v>
      </c>
    </row>
    <row r="88" spans="12:15" x14ac:dyDescent="0.3">
      <c r="L88">
        <v>3079</v>
      </c>
      <c r="M88" t="s">
        <v>393</v>
      </c>
      <c r="O88" t="str">
        <v>German (Germany)</v>
      </c>
    </row>
    <row r="89" spans="12:15" x14ac:dyDescent="0.3">
      <c r="L89">
        <v>1031</v>
      </c>
      <c r="M89" t="s">
        <v>394</v>
      </c>
      <c r="O89" t="str">
        <v>German (Liechtenstein)</v>
      </c>
    </row>
    <row r="90" spans="12:15" x14ac:dyDescent="0.3">
      <c r="L90">
        <v>5127</v>
      </c>
      <c r="M90" t="s">
        <v>395</v>
      </c>
      <c r="O90" t="str">
        <v>German (Luxembourg)</v>
      </c>
    </row>
    <row r="91" spans="12:15" x14ac:dyDescent="0.3">
      <c r="L91">
        <v>4103</v>
      </c>
      <c r="M91" t="s">
        <v>396</v>
      </c>
      <c r="O91" t="str">
        <v>German (Switzerland)</v>
      </c>
    </row>
    <row r="92" spans="12:15" x14ac:dyDescent="0.3">
      <c r="L92">
        <v>2055</v>
      </c>
      <c r="M92" t="s">
        <v>397</v>
      </c>
      <c r="O92" t="str">
        <v>Greek</v>
      </c>
    </row>
    <row r="93" spans="12:15" x14ac:dyDescent="0.3">
      <c r="L93">
        <v>1032</v>
      </c>
      <c r="M93" t="s">
        <v>398</v>
      </c>
      <c r="O93" t="str">
        <v>Greenlandic</v>
      </c>
    </row>
    <row r="94" spans="12:15" x14ac:dyDescent="0.3">
      <c r="L94">
        <v>1135</v>
      </c>
      <c r="M94" t="s">
        <v>399</v>
      </c>
      <c r="O94" t="str">
        <v>Gujarati</v>
      </c>
    </row>
    <row r="95" spans="12:15" x14ac:dyDescent="0.3">
      <c r="L95">
        <v>1095</v>
      </c>
      <c r="M95" t="s">
        <v>400</v>
      </c>
      <c r="O95" t="str">
        <v>Hausa (Latin)</v>
      </c>
    </row>
    <row r="96" spans="12:15" x14ac:dyDescent="0.3">
      <c r="L96">
        <v>1128</v>
      </c>
      <c r="M96" t="s">
        <v>401</v>
      </c>
      <c r="O96" t="str">
        <v>Hebrew</v>
      </c>
    </row>
    <row r="97" spans="12:15" x14ac:dyDescent="0.3">
      <c r="L97">
        <v>1037</v>
      </c>
      <c r="M97" t="s">
        <v>402</v>
      </c>
      <c r="O97" t="str">
        <v>Hindi</v>
      </c>
    </row>
    <row r="98" spans="12:15" x14ac:dyDescent="0.3">
      <c r="L98">
        <v>1081</v>
      </c>
      <c r="M98" t="s">
        <v>403</v>
      </c>
      <c r="O98" t="str">
        <v>Hungarian</v>
      </c>
    </row>
    <row r="99" spans="12:15" x14ac:dyDescent="0.3">
      <c r="L99">
        <v>1038</v>
      </c>
      <c r="M99" t="s">
        <v>404</v>
      </c>
      <c r="O99" t="str">
        <v>Icelandic</v>
      </c>
    </row>
    <row r="100" spans="12:15" x14ac:dyDescent="0.3">
      <c r="L100">
        <v>1039</v>
      </c>
      <c r="M100" t="s">
        <v>405</v>
      </c>
      <c r="O100" t="str">
        <v>Igbo</v>
      </c>
    </row>
    <row r="101" spans="12:15" x14ac:dyDescent="0.3">
      <c r="L101">
        <v>1136</v>
      </c>
      <c r="M101" t="s">
        <v>406</v>
      </c>
      <c r="O101" t="str">
        <v>Indonesian</v>
      </c>
    </row>
    <row r="102" spans="12:15" x14ac:dyDescent="0.3">
      <c r="L102">
        <v>1057</v>
      </c>
      <c r="M102" t="s">
        <v>407</v>
      </c>
      <c r="O102" t="str">
        <v>Inuktitut (Syllabics)</v>
      </c>
    </row>
    <row r="103" spans="12:15" x14ac:dyDescent="0.3">
      <c r="L103">
        <v>1117</v>
      </c>
      <c r="M103" t="s">
        <v>408</v>
      </c>
      <c r="O103" t="str">
        <v>Inuktitut (Latin)</v>
      </c>
    </row>
    <row r="104" spans="12:15" x14ac:dyDescent="0.3">
      <c r="L104">
        <v>2141</v>
      </c>
      <c r="M104" t="s">
        <v>409</v>
      </c>
      <c r="O104" t="str">
        <v>Irish</v>
      </c>
    </row>
    <row r="105" spans="12:15" x14ac:dyDescent="0.3">
      <c r="L105">
        <v>2108</v>
      </c>
      <c r="M105" t="s">
        <v>410</v>
      </c>
      <c r="O105" t="str">
        <v>isiXhosa</v>
      </c>
    </row>
    <row r="106" spans="12:15" x14ac:dyDescent="0.3">
      <c r="L106">
        <v>1076</v>
      </c>
      <c r="M106" t="s">
        <v>411</v>
      </c>
      <c r="O106" t="str">
        <v>isiZulu</v>
      </c>
    </row>
    <row r="107" spans="12:15" x14ac:dyDescent="0.3">
      <c r="L107">
        <v>1077</v>
      </c>
      <c r="M107" t="s">
        <v>412</v>
      </c>
      <c r="O107" t="str">
        <v>Italian (Italy)</v>
      </c>
    </row>
    <row r="108" spans="12:15" x14ac:dyDescent="0.3">
      <c r="L108">
        <v>1040</v>
      </c>
      <c r="M108" t="s">
        <v>413</v>
      </c>
      <c r="O108" t="str">
        <v>Italian (Switzerland)</v>
      </c>
    </row>
    <row r="109" spans="12:15" x14ac:dyDescent="0.3">
      <c r="L109">
        <v>2064</v>
      </c>
      <c r="M109" t="s">
        <v>414</v>
      </c>
      <c r="O109" t="str">
        <v>Japanese</v>
      </c>
    </row>
    <row r="110" spans="12:15" x14ac:dyDescent="0.3">
      <c r="L110">
        <v>1041</v>
      </c>
      <c r="M110" t="s">
        <v>415</v>
      </c>
      <c r="O110" t="str">
        <v>Kannada</v>
      </c>
    </row>
    <row r="111" spans="12:15" x14ac:dyDescent="0.3">
      <c r="L111">
        <v>1099</v>
      </c>
      <c r="M111" t="s">
        <v>416</v>
      </c>
      <c r="O111" t="str">
        <v>Kazakh</v>
      </c>
    </row>
    <row r="112" spans="12:15" x14ac:dyDescent="0.3">
      <c r="L112">
        <v>1087</v>
      </c>
      <c r="M112" t="s">
        <v>417</v>
      </c>
      <c r="O112" t="str">
        <v>Khmer</v>
      </c>
    </row>
    <row r="113" spans="12:15" x14ac:dyDescent="0.3">
      <c r="L113">
        <v>1107</v>
      </c>
      <c r="M113" t="s">
        <v>418</v>
      </c>
      <c r="O113" t="str">
        <v>K'iche</v>
      </c>
    </row>
    <row r="114" spans="12:15" x14ac:dyDescent="0.3">
      <c r="L114">
        <v>1158</v>
      </c>
      <c r="M114" t="s">
        <v>419</v>
      </c>
      <c r="O114" t="str">
        <v>Kinyarwanda</v>
      </c>
    </row>
    <row r="115" spans="12:15" x14ac:dyDescent="0.3">
      <c r="L115">
        <v>1159</v>
      </c>
      <c r="M115" t="s">
        <v>420</v>
      </c>
      <c r="O115" t="str">
        <v>Kiswahili</v>
      </c>
    </row>
    <row r="116" spans="12:15" x14ac:dyDescent="0.3">
      <c r="L116">
        <v>1089</v>
      </c>
      <c r="M116" t="s">
        <v>421</v>
      </c>
      <c r="O116" t="str">
        <v>Konkani</v>
      </c>
    </row>
    <row r="117" spans="12:15" x14ac:dyDescent="0.3">
      <c r="L117">
        <v>1111</v>
      </c>
      <c r="M117" t="s">
        <v>422</v>
      </c>
      <c r="O117" t="str">
        <v>Korean</v>
      </c>
    </row>
    <row r="118" spans="12:15" x14ac:dyDescent="0.3">
      <c r="L118">
        <v>1042</v>
      </c>
      <c r="M118" t="s">
        <v>423</v>
      </c>
      <c r="O118" t="str">
        <v>Kyrgyz</v>
      </c>
    </row>
    <row r="119" spans="12:15" x14ac:dyDescent="0.3">
      <c r="L119">
        <v>1088</v>
      </c>
      <c r="M119" t="s">
        <v>424</v>
      </c>
      <c r="O119" t="str">
        <v>Lao</v>
      </c>
    </row>
    <row r="120" spans="12:15" x14ac:dyDescent="0.3">
      <c r="L120">
        <v>1108</v>
      </c>
      <c r="M120" t="s">
        <v>425</v>
      </c>
      <c r="O120" t="str">
        <v>Latvian</v>
      </c>
    </row>
    <row r="121" spans="12:15" x14ac:dyDescent="0.3">
      <c r="L121">
        <v>1062</v>
      </c>
      <c r="M121" t="s">
        <v>426</v>
      </c>
      <c r="O121" t="str">
        <v>Lithuanian</v>
      </c>
    </row>
    <row r="122" spans="12:15" x14ac:dyDescent="0.3">
      <c r="L122">
        <v>1063</v>
      </c>
      <c r="M122" t="s">
        <v>427</v>
      </c>
      <c r="O122" t="str">
        <v>Lower Sorbian</v>
      </c>
    </row>
    <row r="123" spans="12:15" x14ac:dyDescent="0.3">
      <c r="L123">
        <v>2094</v>
      </c>
      <c r="M123" t="s">
        <v>428</v>
      </c>
      <c r="O123" t="str">
        <v>Luxembourgish</v>
      </c>
    </row>
    <row r="124" spans="12:15" x14ac:dyDescent="0.3">
      <c r="L124">
        <v>1134</v>
      </c>
      <c r="M124" t="s">
        <v>429</v>
      </c>
      <c r="O124" t="str">
        <v>Macedonian</v>
      </c>
    </row>
    <row r="125" spans="12:15" x14ac:dyDescent="0.3">
      <c r="L125">
        <v>1071</v>
      </c>
      <c r="M125" t="s">
        <v>430</v>
      </c>
      <c r="O125" t="str">
        <v>Malay (Brunei)</v>
      </c>
    </row>
    <row r="126" spans="12:15" x14ac:dyDescent="0.3">
      <c r="L126">
        <v>2110</v>
      </c>
      <c r="M126" t="s">
        <v>431</v>
      </c>
      <c r="O126" t="str">
        <v>Malay (Malaysia)</v>
      </c>
    </row>
    <row r="127" spans="12:15" x14ac:dyDescent="0.3">
      <c r="L127">
        <v>1086</v>
      </c>
      <c r="M127" t="s">
        <v>432</v>
      </c>
      <c r="O127" t="str">
        <v>Malayalam</v>
      </c>
    </row>
    <row r="128" spans="12:15" x14ac:dyDescent="0.3">
      <c r="L128">
        <v>1100</v>
      </c>
      <c r="M128" t="s">
        <v>433</v>
      </c>
      <c r="O128" t="str">
        <v>Maltese</v>
      </c>
    </row>
    <row r="129" spans="12:15" x14ac:dyDescent="0.3">
      <c r="L129">
        <v>1082</v>
      </c>
      <c r="M129" t="s">
        <v>434</v>
      </c>
      <c r="O129" t="str">
        <v>Maori</v>
      </c>
    </row>
    <row r="130" spans="12:15" x14ac:dyDescent="0.3">
      <c r="L130">
        <v>1153</v>
      </c>
      <c r="M130" t="s">
        <v>435</v>
      </c>
      <c r="O130" t="str">
        <v>Mapudungun</v>
      </c>
    </row>
    <row r="131" spans="12:15" x14ac:dyDescent="0.3">
      <c r="L131">
        <v>1146</v>
      </c>
      <c r="M131" t="s">
        <v>436</v>
      </c>
      <c r="O131" t="str">
        <v>Marathi</v>
      </c>
    </row>
    <row r="132" spans="12:15" x14ac:dyDescent="0.3">
      <c r="L132">
        <v>1102</v>
      </c>
      <c r="M132" t="s">
        <v>437</v>
      </c>
      <c r="O132" t="str">
        <v>Mohawk</v>
      </c>
    </row>
    <row r="133" spans="12:15" x14ac:dyDescent="0.3">
      <c r="L133">
        <v>1148</v>
      </c>
      <c r="M133" t="s">
        <v>438</v>
      </c>
      <c r="O133" t="str">
        <v>Mongolian (Cyrillic)</v>
      </c>
    </row>
    <row r="134" spans="12:15" x14ac:dyDescent="0.3">
      <c r="L134">
        <v>1104</v>
      </c>
      <c r="M134" t="s">
        <v>439</v>
      </c>
      <c r="O134" t="str">
        <v>Mongolian (Traditional)</v>
      </c>
    </row>
    <row r="135" spans="12:15" x14ac:dyDescent="0.3">
      <c r="L135">
        <v>2128</v>
      </c>
      <c r="M135" t="s">
        <v>440</v>
      </c>
      <c r="O135" t="str">
        <v>Nepali</v>
      </c>
    </row>
    <row r="136" spans="12:15" x14ac:dyDescent="0.3">
      <c r="L136">
        <v>1121</v>
      </c>
      <c r="M136" t="s">
        <v>441</v>
      </c>
      <c r="O136" t="str">
        <v>Norwegian (Bokmål)</v>
      </c>
    </row>
    <row r="137" spans="12:15" x14ac:dyDescent="0.3">
      <c r="L137">
        <v>1044</v>
      </c>
      <c r="M137" t="s">
        <v>442</v>
      </c>
      <c r="O137" t="str">
        <v>Norwegian (Nynorsk)</v>
      </c>
    </row>
    <row r="138" spans="12:15" x14ac:dyDescent="0.3">
      <c r="L138">
        <v>2068</v>
      </c>
      <c r="M138" t="s">
        <v>443</v>
      </c>
      <c r="O138" t="str">
        <v>Occitan</v>
      </c>
    </row>
    <row r="139" spans="12:15" x14ac:dyDescent="0.3">
      <c r="L139">
        <v>1154</v>
      </c>
      <c r="M139" t="s">
        <v>444</v>
      </c>
      <c r="O139" t="str">
        <v>Odia</v>
      </c>
    </row>
    <row r="140" spans="12:15" x14ac:dyDescent="0.3">
      <c r="L140">
        <v>1096</v>
      </c>
      <c r="M140" t="s">
        <v>445</v>
      </c>
      <c r="O140" t="str">
        <v>Pashto</v>
      </c>
    </row>
    <row r="141" spans="12:15" x14ac:dyDescent="0.3">
      <c r="L141">
        <v>1123</v>
      </c>
      <c r="M141" t="s">
        <v>446</v>
      </c>
      <c r="O141" t="str">
        <v>Persian</v>
      </c>
    </row>
    <row r="142" spans="12:15" x14ac:dyDescent="0.3">
      <c r="L142">
        <v>1065</v>
      </c>
      <c r="M142" t="s">
        <v>447</v>
      </c>
      <c r="O142" t="str">
        <v>Polish</v>
      </c>
    </row>
    <row r="143" spans="12:15" x14ac:dyDescent="0.3">
      <c r="L143">
        <v>1045</v>
      </c>
      <c r="M143" t="s">
        <v>448</v>
      </c>
      <c r="O143" t="str">
        <v>Portuguese (Brazil)</v>
      </c>
    </row>
    <row r="144" spans="12:15" x14ac:dyDescent="0.3">
      <c r="L144">
        <v>1046</v>
      </c>
      <c r="M144" t="s">
        <v>449</v>
      </c>
      <c r="O144" t="str">
        <v>Portuguese (Portugal)</v>
      </c>
    </row>
    <row r="145" spans="12:15" x14ac:dyDescent="0.3">
      <c r="L145">
        <v>2070</v>
      </c>
      <c r="M145" t="s">
        <v>450</v>
      </c>
      <c r="O145" t="str">
        <v>Punjabi</v>
      </c>
    </row>
    <row r="146" spans="12:15" x14ac:dyDescent="0.3">
      <c r="L146">
        <v>1094</v>
      </c>
      <c r="M146" t="s">
        <v>451</v>
      </c>
      <c r="O146" t="str">
        <v>Quechua (Bolivia)</v>
      </c>
    </row>
    <row r="147" spans="12:15" x14ac:dyDescent="0.3">
      <c r="L147">
        <v>1131</v>
      </c>
      <c r="M147" t="s">
        <v>452</v>
      </c>
      <c r="O147" t="str">
        <v>Quechua (Ecuador)</v>
      </c>
    </row>
    <row r="148" spans="12:15" x14ac:dyDescent="0.3">
      <c r="L148">
        <v>2155</v>
      </c>
      <c r="M148" t="s">
        <v>453</v>
      </c>
      <c r="O148" t="str">
        <v>Quechua (Peru)</v>
      </c>
    </row>
    <row r="149" spans="12:15" x14ac:dyDescent="0.3">
      <c r="L149">
        <v>3179</v>
      </c>
      <c r="M149" t="s">
        <v>454</v>
      </c>
      <c r="O149" t="str">
        <v>Romanian</v>
      </c>
    </row>
    <row r="150" spans="12:15" x14ac:dyDescent="0.3">
      <c r="L150">
        <v>1048</v>
      </c>
      <c r="M150" t="s">
        <v>455</v>
      </c>
      <c r="O150" t="str">
        <v>Romansh</v>
      </c>
    </row>
    <row r="151" spans="12:15" x14ac:dyDescent="0.3">
      <c r="L151">
        <v>1047</v>
      </c>
      <c r="M151" t="s">
        <v>456</v>
      </c>
      <c r="O151" t="str">
        <v>Russian</v>
      </c>
    </row>
    <row r="152" spans="12:15" x14ac:dyDescent="0.3">
      <c r="L152">
        <v>1049</v>
      </c>
      <c r="M152" t="s">
        <v>457</v>
      </c>
      <c r="O152" t="str">
        <v>Sami (Inari)</v>
      </c>
    </row>
    <row r="153" spans="12:15" x14ac:dyDescent="0.3">
      <c r="L153">
        <v>9275</v>
      </c>
      <c r="M153" t="s">
        <v>458</v>
      </c>
      <c r="O153" t="str">
        <v>Sami (Lule, Norway)</v>
      </c>
    </row>
    <row r="154" spans="12:15" x14ac:dyDescent="0.3">
      <c r="L154">
        <v>5179</v>
      </c>
      <c r="M154" t="s">
        <v>459</v>
      </c>
      <c r="O154" t="str">
        <v>Sami (Lule, Sweden)</v>
      </c>
    </row>
    <row r="155" spans="12:15" x14ac:dyDescent="0.3">
      <c r="L155">
        <v>7227</v>
      </c>
      <c r="M155" t="s">
        <v>460</v>
      </c>
      <c r="O155" t="str">
        <v>Sami (Northern, Norway)</v>
      </c>
    </row>
    <row r="156" spans="12:15" x14ac:dyDescent="0.3">
      <c r="L156">
        <v>1083</v>
      </c>
      <c r="M156" t="s">
        <v>461</v>
      </c>
      <c r="O156" t="str">
        <v>Sami (Northern, Sweden)</v>
      </c>
    </row>
    <row r="157" spans="12:15" x14ac:dyDescent="0.3">
      <c r="L157">
        <v>2107</v>
      </c>
      <c r="M157" t="s">
        <v>462</v>
      </c>
      <c r="O157" t="str">
        <v>Sami (Northern, Finland)</v>
      </c>
    </row>
    <row r="158" spans="12:15" x14ac:dyDescent="0.3">
      <c r="L158">
        <v>3131</v>
      </c>
      <c r="M158" t="s">
        <v>463</v>
      </c>
      <c r="O158" t="str">
        <v>Sami (Skolt)</v>
      </c>
    </row>
    <row r="159" spans="12:15" x14ac:dyDescent="0.3">
      <c r="L159">
        <v>8251</v>
      </c>
      <c r="M159" t="s">
        <v>464</v>
      </c>
      <c r="O159" t="str">
        <v>Sami (Southern, Norway)</v>
      </c>
    </row>
    <row r="160" spans="12:15" x14ac:dyDescent="0.3">
      <c r="L160">
        <v>6203</v>
      </c>
      <c r="M160" t="s">
        <v>465</v>
      </c>
      <c r="O160" t="str">
        <v>Sami (Southern, Sweden)</v>
      </c>
    </row>
    <row r="161" spans="12:15" x14ac:dyDescent="0.3">
      <c r="L161">
        <v>7227</v>
      </c>
      <c r="M161" t="s">
        <v>466</v>
      </c>
      <c r="O161" t="str">
        <v>Sanskrit</v>
      </c>
    </row>
    <row r="162" spans="12:15" x14ac:dyDescent="0.3">
      <c r="L162">
        <v>1103</v>
      </c>
      <c r="M162" t="s">
        <v>467</v>
      </c>
      <c r="O162" t="str">
        <v>Serbian (Cyrillic, Bosnia)</v>
      </c>
    </row>
    <row r="163" spans="12:15" x14ac:dyDescent="0.3">
      <c r="L163">
        <v>7194</v>
      </c>
      <c r="M163" t="s">
        <v>468</v>
      </c>
      <c r="O163" t="str">
        <v>Serbian (Cyrillic, Serbia)</v>
      </c>
    </row>
    <row r="164" spans="12:15" x14ac:dyDescent="0.3">
      <c r="L164">
        <v>3098</v>
      </c>
      <c r="M164" t="s">
        <v>469</v>
      </c>
      <c r="O164" t="str">
        <v>Serbian (Latin, Bosnia)</v>
      </c>
    </row>
    <row r="165" spans="12:15" x14ac:dyDescent="0.3">
      <c r="L165">
        <v>6170</v>
      </c>
      <c r="M165" t="s">
        <v>470</v>
      </c>
      <c r="O165" t="str">
        <v>Serbian (Latin, Serbia)</v>
      </c>
    </row>
    <row r="166" spans="12:15" x14ac:dyDescent="0.3">
      <c r="L166">
        <v>2074</v>
      </c>
      <c r="M166" t="s">
        <v>471</v>
      </c>
      <c r="O166" t="str">
        <v>Sesotho sa Leboa</v>
      </c>
    </row>
    <row r="167" spans="12:15" x14ac:dyDescent="0.3">
      <c r="L167">
        <v>1132</v>
      </c>
      <c r="M167" t="s">
        <v>472</v>
      </c>
      <c r="O167" t="str">
        <v>Setswana</v>
      </c>
    </row>
    <row r="168" spans="12:15" x14ac:dyDescent="0.3">
      <c r="L168">
        <v>1074</v>
      </c>
      <c r="M168" t="s">
        <v>473</v>
      </c>
      <c r="O168" t="str">
        <v>Sinhala</v>
      </c>
    </row>
    <row r="169" spans="12:15" x14ac:dyDescent="0.3">
      <c r="L169">
        <v>1115</v>
      </c>
      <c r="M169" t="s">
        <v>474</v>
      </c>
      <c r="O169" t="str">
        <v>Slovak</v>
      </c>
    </row>
    <row r="170" spans="12:15" x14ac:dyDescent="0.3">
      <c r="L170">
        <v>1051</v>
      </c>
      <c r="M170" t="s">
        <v>475</v>
      </c>
      <c r="O170" t="str">
        <v>Slovenian</v>
      </c>
    </row>
    <row r="171" spans="12:15" x14ac:dyDescent="0.3">
      <c r="L171">
        <v>1060</v>
      </c>
      <c r="M171" t="s">
        <v>476</v>
      </c>
      <c r="O171" t="str">
        <v>Spanish (Argentina)</v>
      </c>
    </row>
    <row r="172" spans="12:15" x14ac:dyDescent="0.3">
      <c r="L172">
        <v>11274</v>
      </c>
      <c r="M172" t="s">
        <v>477</v>
      </c>
      <c r="O172" t="str">
        <v>Spanish (Bolivia)</v>
      </c>
    </row>
    <row r="173" spans="12:15" x14ac:dyDescent="0.3">
      <c r="L173">
        <v>16394</v>
      </c>
      <c r="M173" t="s">
        <v>478</v>
      </c>
      <c r="O173" t="str">
        <v>Spanish (Chile)</v>
      </c>
    </row>
    <row r="174" spans="12:15" x14ac:dyDescent="0.3">
      <c r="L174">
        <v>13322</v>
      </c>
      <c r="M174" t="s">
        <v>479</v>
      </c>
      <c r="O174" t="str">
        <v>Spanish (Colombia)</v>
      </c>
    </row>
    <row r="175" spans="12:15" x14ac:dyDescent="0.3">
      <c r="L175">
        <v>9226</v>
      </c>
      <c r="M175" t="s">
        <v>480</v>
      </c>
      <c r="O175" t="str">
        <v>Spanish (Costa Rica)</v>
      </c>
    </row>
    <row r="176" spans="12:15" x14ac:dyDescent="0.3">
      <c r="L176">
        <v>5130</v>
      </c>
      <c r="M176" t="s">
        <v>481</v>
      </c>
      <c r="O176" t="str">
        <v>Spanish (Dominican Republic)</v>
      </c>
    </row>
    <row r="177" spans="12:15" x14ac:dyDescent="0.3">
      <c r="L177">
        <v>7178</v>
      </c>
      <c r="M177" t="s">
        <v>482</v>
      </c>
      <c r="O177" t="str">
        <v>Spanish (Ecuador)</v>
      </c>
    </row>
    <row r="178" spans="12:15" x14ac:dyDescent="0.3">
      <c r="L178">
        <v>12298</v>
      </c>
      <c r="M178" t="s">
        <v>483</v>
      </c>
      <c r="O178" t="str">
        <v>Spanish (El Salvador)</v>
      </c>
    </row>
    <row r="179" spans="12:15" x14ac:dyDescent="0.3">
      <c r="L179">
        <v>17418</v>
      </c>
      <c r="M179" t="s">
        <v>484</v>
      </c>
      <c r="O179" t="str">
        <v>Spanish (Guatemala)</v>
      </c>
    </row>
    <row r="180" spans="12:15" x14ac:dyDescent="0.3">
      <c r="L180">
        <v>4106</v>
      </c>
      <c r="M180" t="s">
        <v>485</v>
      </c>
      <c r="O180" t="str">
        <v>Spanish (Honduras)</v>
      </c>
    </row>
    <row r="181" spans="12:15" x14ac:dyDescent="0.3">
      <c r="L181">
        <v>18442</v>
      </c>
      <c r="M181" t="s">
        <v>486</v>
      </c>
      <c r="O181" t="str">
        <v>Spanish (Mexico)</v>
      </c>
    </row>
    <row r="182" spans="12:15" x14ac:dyDescent="0.3">
      <c r="L182">
        <v>2058</v>
      </c>
      <c r="M182" t="s">
        <v>487</v>
      </c>
      <c r="O182" t="str">
        <v>Spanish (Nicaragua)</v>
      </c>
    </row>
    <row r="183" spans="12:15" x14ac:dyDescent="0.3">
      <c r="L183">
        <v>19466</v>
      </c>
      <c r="M183" t="s">
        <v>488</v>
      </c>
      <c r="O183" t="str">
        <v>Spanish (Panama)</v>
      </c>
    </row>
    <row r="184" spans="12:15" x14ac:dyDescent="0.3">
      <c r="L184">
        <v>6154</v>
      </c>
      <c r="M184" t="s">
        <v>489</v>
      </c>
      <c r="O184" t="str">
        <v>Spanish (Paraguay)</v>
      </c>
    </row>
    <row r="185" spans="12:15" x14ac:dyDescent="0.3">
      <c r="L185">
        <v>15370</v>
      </c>
      <c r="M185" t="s">
        <v>490</v>
      </c>
      <c r="O185" t="str">
        <v>Spanish (Peru)</v>
      </c>
    </row>
    <row r="186" spans="12:15" x14ac:dyDescent="0.3">
      <c r="L186">
        <v>10250</v>
      </c>
      <c r="M186" t="s">
        <v>491</v>
      </c>
      <c r="O186" t="str">
        <v>Spanish (Puerto Rico)</v>
      </c>
    </row>
    <row r="187" spans="12:15" x14ac:dyDescent="0.3">
      <c r="L187">
        <v>20490</v>
      </c>
      <c r="M187" t="s">
        <v>492</v>
      </c>
      <c r="O187" t="str">
        <v>Spanish (Spain, International)</v>
      </c>
    </row>
    <row r="188" spans="12:15" x14ac:dyDescent="0.3">
      <c r="L188">
        <v>3082</v>
      </c>
      <c r="M188" t="s">
        <v>493</v>
      </c>
      <c r="O188" t="str">
        <v>Spanish (Spain, Traditional)</v>
      </c>
    </row>
    <row r="189" spans="12:15" x14ac:dyDescent="0.3">
      <c r="L189">
        <v>1034</v>
      </c>
      <c r="M189" t="s">
        <v>494</v>
      </c>
      <c r="O189" t="str">
        <v>Spanish (US)</v>
      </c>
    </row>
    <row r="190" spans="12:15" x14ac:dyDescent="0.3">
      <c r="L190">
        <v>21514</v>
      </c>
      <c r="M190" t="s">
        <v>495</v>
      </c>
      <c r="O190" t="str">
        <v>Spanish (Uruguay)</v>
      </c>
    </row>
    <row r="191" spans="12:15" x14ac:dyDescent="0.3">
      <c r="L191">
        <v>14346</v>
      </c>
      <c r="M191" t="s">
        <v>496</v>
      </c>
      <c r="O191" t="str">
        <v>Spanish (Venezuela)</v>
      </c>
    </row>
    <row r="192" spans="12:15" x14ac:dyDescent="0.3">
      <c r="L192">
        <v>8202</v>
      </c>
      <c r="M192" t="s">
        <v>497</v>
      </c>
      <c r="O192" t="str">
        <v>Swedish (Finland)</v>
      </c>
    </row>
    <row r="193" spans="12:15" x14ac:dyDescent="0.3">
      <c r="L193">
        <v>2077</v>
      </c>
      <c r="M193" t="s">
        <v>498</v>
      </c>
      <c r="O193" t="str">
        <v>Swedish (Sweden)</v>
      </c>
    </row>
    <row r="194" spans="12:15" x14ac:dyDescent="0.3">
      <c r="L194">
        <v>1053</v>
      </c>
      <c r="M194" t="s">
        <v>499</v>
      </c>
      <c r="O194" t="str">
        <v>Syriac</v>
      </c>
    </row>
    <row r="195" spans="12:15" x14ac:dyDescent="0.3">
      <c r="L195">
        <v>1114</v>
      </c>
      <c r="M195" t="s">
        <v>500</v>
      </c>
      <c r="O195" t="str">
        <v>Tajik</v>
      </c>
    </row>
    <row r="196" spans="12:15" x14ac:dyDescent="0.3">
      <c r="L196">
        <v>1064</v>
      </c>
      <c r="M196" t="s">
        <v>501</v>
      </c>
      <c r="O196" t="str">
        <v>Tamazight (Latin)</v>
      </c>
    </row>
    <row r="197" spans="12:15" x14ac:dyDescent="0.3">
      <c r="L197">
        <v>2143</v>
      </c>
      <c r="M197" t="s">
        <v>502</v>
      </c>
      <c r="O197" t="str">
        <v>Tamil</v>
      </c>
    </row>
    <row r="198" spans="12:15" x14ac:dyDescent="0.3">
      <c r="L198">
        <v>1097</v>
      </c>
      <c r="M198" t="s">
        <v>503</v>
      </c>
      <c r="O198" t="str">
        <v>Tatar</v>
      </c>
    </row>
    <row r="199" spans="12:15" x14ac:dyDescent="0.3">
      <c r="L199">
        <v>1092</v>
      </c>
      <c r="M199" t="s">
        <v>504</v>
      </c>
      <c r="O199" t="str">
        <v>Telugu</v>
      </c>
    </row>
    <row r="200" spans="12:15" x14ac:dyDescent="0.3">
      <c r="L200">
        <v>1098</v>
      </c>
      <c r="M200" t="s">
        <v>505</v>
      </c>
      <c r="O200" t="str">
        <v>Thai</v>
      </c>
    </row>
    <row r="201" spans="12:15" x14ac:dyDescent="0.3">
      <c r="L201">
        <v>1054</v>
      </c>
      <c r="M201" t="s">
        <v>506</v>
      </c>
      <c r="O201" t="str">
        <v>Tibetan</v>
      </c>
    </row>
    <row r="202" spans="12:15" x14ac:dyDescent="0.3">
      <c r="L202">
        <v>1105</v>
      </c>
      <c r="M202" t="s">
        <v>507</v>
      </c>
      <c r="O202" t="str">
        <v>Turkish</v>
      </c>
    </row>
    <row r="203" spans="12:15" x14ac:dyDescent="0.3">
      <c r="L203">
        <v>1055</v>
      </c>
      <c r="M203" t="s">
        <v>508</v>
      </c>
      <c r="O203" t="str">
        <v>Turkmen</v>
      </c>
    </row>
    <row r="204" spans="12:15" x14ac:dyDescent="0.3">
      <c r="L204">
        <v>1090</v>
      </c>
      <c r="M204" t="s">
        <v>509</v>
      </c>
      <c r="O204" t="str">
        <v>Uighur</v>
      </c>
    </row>
    <row r="205" spans="12:15" x14ac:dyDescent="0.3">
      <c r="L205">
        <v>1152</v>
      </c>
      <c r="M205" t="s">
        <v>510</v>
      </c>
      <c r="O205" t="str">
        <v>Ukrainian</v>
      </c>
    </row>
    <row r="206" spans="12:15" x14ac:dyDescent="0.3">
      <c r="L206">
        <v>1058</v>
      </c>
      <c r="M206" t="s">
        <v>511</v>
      </c>
      <c r="O206" t="str">
        <v>Upper Sorbian</v>
      </c>
    </row>
    <row r="207" spans="12:15" x14ac:dyDescent="0.3">
      <c r="L207">
        <v>1070</v>
      </c>
      <c r="M207" t="s">
        <v>512</v>
      </c>
      <c r="O207" t="str">
        <v>Urdu</v>
      </c>
    </row>
    <row r="208" spans="12:15" x14ac:dyDescent="0.3">
      <c r="L208">
        <v>1056</v>
      </c>
      <c r="M208" t="s">
        <v>513</v>
      </c>
      <c r="O208" t="str">
        <v>Uzbek (Cyrillic)</v>
      </c>
    </row>
    <row r="209" spans="12:15" x14ac:dyDescent="0.3">
      <c r="L209">
        <v>2115</v>
      </c>
      <c r="M209" t="s">
        <v>514</v>
      </c>
      <c r="O209" t="str">
        <v>Uzbek (Latin)</v>
      </c>
    </row>
    <row r="210" spans="12:15" x14ac:dyDescent="0.3">
      <c r="L210">
        <v>1091</v>
      </c>
      <c r="M210" t="s">
        <v>515</v>
      </c>
      <c r="O210" t="str">
        <v>Vietnamese</v>
      </c>
    </row>
    <row r="211" spans="12:15" x14ac:dyDescent="0.3">
      <c r="L211">
        <v>1066</v>
      </c>
      <c r="M211" t="s">
        <v>516</v>
      </c>
      <c r="O211" t="str">
        <v>Welsh</v>
      </c>
    </row>
    <row r="212" spans="12:15" x14ac:dyDescent="0.3">
      <c r="L212">
        <v>1106</v>
      </c>
      <c r="M212" t="s">
        <v>517</v>
      </c>
      <c r="O212" t="str">
        <v>Wolof</v>
      </c>
    </row>
    <row r="213" spans="12:15" x14ac:dyDescent="0.3">
      <c r="L213">
        <v>1160</v>
      </c>
      <c r="M213" t="s">
        <v>518</v>
      </c>
      <c r="O213" t="str">
        <v>Yakut</v>
      </c>
    </row>
    <row r="214" spans="12:15" x14ac:dyDescent="0.3">
      <c r="L214">
        <v>1157</v>
      </c>
      <c r="M214" t="s">
        <v>519</v>
      </c>
      <c r="O214" t="str">
        <v>Yi</v>
      </c>
    </row>
    <row r="215" spans="12:15" x14ac:dyDescent="0.3">
      <c r="L215">
        <v>1144</v>
      </c>
      <c r="M215" t="s">
        <v>520</v>
      </c>
      <c r="O215" t="str">
        <v>Yoruba</v>
      </c>
    </row>
    <row r="216" spans="12:15" x14ac:dyDescent="0.3">
      <c r="L216">
        <v>1130</v>
      </c>
      <c r="M216" t="s">
        <v>521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41"/>
  <sheetViews>
    <sheetView showGridLines="0" zoomScale="55" zoomScaleNormal="55" workbookViewId="0">
      <pane xSplit="3" ySplit="8" topLeftCell="D18" activePane="bottomRight" state="frozen"/>
      <selection pane="topRight" activeCell="D1" sqref="D1"/>
      <selection pane="bottomLeft" activeCell="A9" sqref="A9"/>
      <selection pane="bottomRight" activeCell="B41" sqref="B41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5.234375" style="12" bestFit="1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60</v>
      </c>
      <c r="C6" s="10"/>
      <c r="D6" s="10"/>
      <c r="E6" s="10"/>
      <c r="F6" s="10"/>
      <c r="G6" s="2"/>
      <c r="H6" s="2"/>
      <c r="I6" s="2"/>
      <c r="J6" s="2"/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3">
      <c r="B9" s="12" t="s">
        <v>98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3">
      <c r="B10" s="12" t="s">
        <v>205</v>
      </c>
      <c r="C10" s="12" t="s">
        <v>7</v>
      </c>
      <c r="D10" s="12" t="s">
        <v>206</v>
      </c>
      <c r="E10" s="12" t="s">
        <v>12</v>
      </c>
      <c r="F10" s="12" t="s">
        <v>11</v>
      </c>
    </row>
    <row r="11" spans="2:10" x14ac:dyDescent="0.3">
      <c r="B11" s="12" t="s">
        <v>101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3">
      <c r="B12" s="12" t="s">
        <v>99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.6" x14ac:dyDescent="0.3">
      <c r="B13" s="12" t="s">
        <v>102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.6" x14ac:dyDescent="0.3">
      <c r="B14" s="12" t="s">
        <v>100</v>
      </c>
      <c r="C14" s="13" t="s">
        <v>66</v>
      </c>
      <c r="D14" s="13" t="s">
        <v>65</v>
      </c>
      <c r="E14" s="12" t="s">
        <v>22</v>
      </c>
      <c r="F14" s="12" t="s">
        <v>45</v>
      </c>
    </row>
    <row r="15" spans="2:10" ht="39.6" x14ac:dyDescent="0.3">
      <c r="B15" s="12" t="s">
        <v>107</v>
      </c>
      <c r="C15" s="13" t="s">
        <v>15</v>
      </c>
      <c r="D15" s="13" t="s">
        <v>109</v>
      </c>
      <c r="E15" s="13" t="s">
        <v>111</v>
      </c>
      <c r="F15" s="12" t="s">
        <v>45</v>
      </c>
    </row>
    <row r="16" spans="2:10" ht="39.6" x14ac:dyDescent="0.3">
      <c r="B16" s="12" t="s">
        <v>108</v>
      </c>
      <c r="C16" s="13" t="s">
        <v>15</v>
      </c>
      <c r="D16" s="13" t="s">
        <v>110</v>
      </c>
      <c r="E16" s="13" t="s">
        <v>111</v>
      </c>
      <c r="F16" s="12" t="s">
        <v>45</v>
      </c>
    </row>
    <row r="17" spans="2:6" ht="39.6" x14ac:dyDescent="0.3">
      <c r="B17" s="12" t="s">
        <v>215</v>
      </c>
      <c r="C17" s="13" t="s">
        <v>76</v>
      </c>
      <c r="D17" s="13" t="s">
        <v>112</v>
      </c>
      <c r="E17" s="13" t="s">
        <v>113</v>
      </c>
      <c r="F17" s="12" t="s">
        <v>45</v>
      </c>
    </row>
    <row r="18" spans="2:6" ht="59.4" x14ac:dyDescent="0.3">
      <c r="B18" s="12" t="s">
        <v>218</v>
      </c>
      <c r="C18" s="13" t="s">
        <v>76</v>
      </c>
      <c r="D18" s="13" t="s">
        <v>114</v>
      </c>
      <c r="E18" s="13" t="s">
        <v>115</v>
      </c>
      <c r="F18" s="12" t="s">
        <v>45</v>
      </c>
    </row>
    <row r="19" spans="2:6" ht="39.6" x14ac:dyDescent="0.3">
      <c r="B19" s="12" t="s">
        <v>116</v>
      </c>
      <c r="C19" s="12" t="s">
        <v>15</v>
      </c>
      <c r="D19" s="12" t="s">
        <v>122</v>
      </c>
      <c r="E19" s="13" t="s">
        <v>123</v>
      </c>
      <c r="F19" s="12" t="s">
        <v>11</v>
      </c>
    </row>
    <row r="20" spans="2:6" x14ac:dyDescent="0.3">
      <c r="B20" s="12" t="s">
        <v>118</v>
      </c>
      <c r="C20" s="12" t="s">
        <v>42</v>
      </c>
    </row>
    <row r="21" spans="2:6" ht="59.4" x14ac:dyDescent="0.3">
      <c r="B21" s="12" t="s">
        <v>229</v>
      </c>
      <c r="C21" s="12" t="s">
        <v>15</v>
      </c>
      <c r="D21" s="13" t="s">
        <v>119</v>
      </c>
      <c r="E21" s="13" t="s">
        <v>230</v>
      </c>
    </row>
    <row r="22" spans="2:6" x14ac:dyDescent="0.3">
      <c r="B22" s="12" t="s">
        <v>244</v>
      </c>
      <c r="C22" s="12" t="s">
        <v>15</v>
      </c>
      <c r="D22" s="12" t="s">
        <v>120</v>
      </c>
      <c r="E22" s="12" t="s">
        <v>121</v>
      </c>
      <c r="F22" s="12" t="s">
        <v>45</v>
      </c>
    </row>
    <row r="23" spans="2:6" ht="39.6" x14ac:dyDescent="0.3">
      <c r="B23" t="s">
        <v>124</v>
      </c>
      <c r="C23" s="12" t="s">
        <v>15</v>
      </c>
      <c r="D23" s="12" t="s">
        <v>125</v>
      </c>
      <c r="E23" s="13" t="s">
        <v>126</v>
      </c>
      <c r="F23" s="12" t="s">
        <v>45</v>
      </c>
    </row>
    <row r="24" spans="2:6" x14ac:dyDescent="0.3">
      <c r="B24" s="12" t="s">
        <v>127</v>
      </c>
      <c r="C24" s="12" t="s">
        <v>76</v>
      </c>
      <c r="D24" s="12" t="s">
        <v>128</v>
      </c>
      <c r="F24" s="12" t="s">
        <v>45</v>
      </c>
    </row>
    <row r="25" spans="2:6" ht="39.6" x14ac:dyDescent="0.3">
      <c r="B25" s="12" t="s">
        <v>231</v>
      </c>
      <c r="C25" s="12" t="s">
        <v>15</v>
      </c>
      <c r="D25" s="12" t="s">
        <v>129</v>
      </c>
      <c r="E25" s="13" t="s">
        <v>130</v>
      </c>
      <c r="F25" s="12" t="s">
        <v>45</v>
      </c>
    </row>
    <row r="26" spans="2:6" x14ac:dyDescent="0.3">
      <c r="B26" s="12" t="s">
        <v>131</v>
      </c>
      <c r="C26" s="12" t="s">
        <v>132</v>
      </c>
      <c r="D26" s="12" t="s">
        <v>133</v>
      </c>
    </row>
    <row r="27" spans="2:6" x14ac:dyDescent="0.3">
      <c r="B27" s="12" t="s">
        <v>134</v>
      </c>
      <c r="C27" s="12" t="s">
        <v>132</v>
      </c>
      <c r="D27" s="12" t="s">
        <v>135</v>
      </c>
    </row>
    <row r="28" spans="2:6" x14ac:dyDescent="0.3">
      <c r="B28" s="12" t="s">
        <v>207</v>
      </c>
      <c r="C28" s="12" t="s">
        <v>42</v>
      </c>
      <c r="D28" s="12" t="s">
        <v>210</v>
      </c>
      <c r="F28" s="12" t="s">
        <v>11</v>
      </c>
    </row>
    <row r="29" spans="2:6" x14ac:dyDescent="0.3">
      <c r="B29" s="12" t="s">
        <v>208</v>
      </c>
      <c r="C29" s="12" t="s">
        <v>209</v>
      </c>
      <c r="D29" s="12" t="s">
        <v>211</v>
      </c>
      <c r="F29" s="12" t="s">
        <v>11</v>
      </c>
    </row>
    <row r="30" spans="2:6" x14ac:dyDescent="0.3">
      <c r="B30" s="12" t="s">
        <v>212</v>
      </c>
      <c r="C30" s="12" t="s">
        <v>132</v>
      </c>
      <c r="D30" s="12" t="s">
        <v>213</v>
      </c>
      <c r="F30" s="12" t="s">
        <v>45</v>
      </c>
    </row>
    <row r="31" spans="2:6" x14ac:dyDescent="0.3">
      <c r="B31" s="12" t="s">
        <v>216</v>
      </c>
      <c r="C31" s="12" t="s">
        <v>214</v>
      </c>
      <c r="D31" s="12" t="s">
        <v>217</v>
      </c>
      <c r="F31" s="12" t="s">
        <v>45</v>
      </c>
    </row>
    <row r="32" spans="2:6" ht="39.6" x14ac:dyDescent="0.3">
      <c r="B32" s="12" t="s">
        <v>219</v>
      </c>
      <c r="C32" s="12" t="s">
        <v>42</v>
      </c>
      <c r="D32" s="12" t="s">
        <v>221</v>
      </c>
      <c r="E32" s="13" t="s">
        <v>220</v>
      </c>
      <c r="F32" s="12" t="s">
        <v>11</v>
      </c>
    </row>
    <row r="33" spans="2:6" x14ac:dyDescent="0.3">
      <c r="B33" s="12" t="s">
        <v>222</v>
      </c>
      <c r="C33" s="12" t="s">
        <v>15</v>
      </c>
      <c r="D33" s="12" t="s">
        <v>223</v>
      </c>
      <c r="E33" s="12" t="s">
        <v>224</v>
      </c>
      <c r="F33" s="12" t="s">
        <v>45</v>
      </c>
    </row>
    <row r="34" spans="2:6" x14ac:dyDescent="0.3">
      <c r="B34" s="12" t="s">
        <v>225</v>
      </c>
      <c r="C34" s="12" t="s">
        <v>226</v>
      </c>
      <c r="D34" s="12" t="s">
        <v>227</v>
      </c>
      <c r="E34" s="12" t="s">
        <v>228</v>
      </c>
      <c r="F34" s="12" t="s">
        <v>11</v>
      </c>
    </row>
    <row r="35" spans="2:6" ht="59.4" x14ac:dyDescent="0.3">
      <c r="B35" s="12" t="s">
        <v>233</v>
      </c>
      <c r="C35" s="12" t="s">
        <v>42</v>
      </c>
      <c r="D35" s="12" t="s">
        <v>232</v>
      </c>
      <c r="E35" s="13" t="s">
        <v>234</v>
      </c>
      <c r="F35" s="12" t="s">
        <v>11</v>
      </c>
    </row>
    <row r="36" spans="2:6" x14ac:dyDescent="0.3">
      <c r="B36" s="12" t="s">
        <v>236</v>
      </c>
      <c r="C36" s="12" t="s">
        <v>15</v>
      </c>
      <c r="D36" s="12" t="s">
        <v>235</v>
      </c>
      <c r="E36" s="12" t="s">
        <v>237</v>
      </c>
      <c r="F36" s="12" t="s">
        <v>11</v>
      </c>
    </row>
    <row r="37" spans="2:6" ht="79.2" x14ac:dyDescent="0.3">
      <c r="B37" s="12" t="s">
        <v>239</v>
      </c>
      <c r="C37" s="12" t="s">
        <v>132</v>
      </c>
      <c r="D37" s="12" t="s">
        <v>238</v>
      </c>
      <c r="E37" s="13" t="s">
        <v>240</v>
      </c>
      <c r="F37" s="12" t="s">
        <v>11</v>
      </c>
    </row>
    <row r="38" spans="2:6" x14ac:dyDescent="0.3">
      <c r="B38" s="12" t="s">
        <v>241</v>
      </c>
      <c r="C38" s="12" t="s">
        <v>15</v>
      </c>
      <c r="D38" s="12" t="s">
        <v>242</v>
      </c>
      <c r="E38" s="12" t="s">
        <v>243</v>
      </c>
    </row>
    <row r="39" spans="2:6" x14ac:dyDescent="0.3">
      <c r="B39" s="12" t="s">
        <v>309</v>
      </c>
      <c r="C39" s="12" t="s">
        <v>15</v>
      </c>
      <c r="D39" s="12" t="s">
        <v>310</v>
      </c>
      <c r="E39" s="12" t="s">
        <v>311</v>
      </c>
      <c r="F39" s="12" t="s">
        <v>45</v>
      </c>
    </row>
    <row r="40" spans="2:6" ht="59.4" x14ac:dyDescent="0.3">
      <c r="B40" s="12" t="s">
        <v>312</v>
      </c>
      <c r="C40" s="12" t="s">
        <v>313</v>
      </c>
      <c r="D40" s="12" t="s">
        <v>314</v>
      </c>
      <c r="E40" s="13" t="s">
        <v>234</v>
      </c>
      <c r="F40" s="12" t="s">
        <v>45</v>
      </c>
    </row>
    <row r="41" spans="2:6" ht="59.4" x14ac:dyDescent="0.3">
      <c r="B41" s="12" t="s">
        <v>551</v>
      </c>
      <c r="C41" s="12" t="s">
        <v>547</v>
      </c>
      <c r="D41" s="12" t="s">
        <v>545</v>
      </c>
      <c r="E41" s="13" t="s">
        <v>546</v>
      </c>
      <c r="F41" s="12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X56"/>
  <sheetViews>
    <sheetView showGridLines="0"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RowHeight="19.8" x14ac:dyDescent="0.3"/>
  <cols>
    <col min="1" max="1" width="1.703125" customWidth="1"/>
    <col min="2" max="2" width="28.76171875" bestFit="1" customWidth="1"/>
    <col min="3" max="3" width="2.46875" customWidth="1"/>
    <col min="4" max="4" width="34.17578125" bestFit="1" customWidth="1"/>
    <col min="5" max="6" width="12.703125" bestFit="1" customWidth="1"/>
    <col min="7" max="7" width="18.5859375" bestFit="1" customWidth="1"/>
    <col min="8" max="8" width="19.17578125" bestFit="1" customWidth="1"/>
    <col min="9" max="9" width="8.05859375" bestFit="1" customWidth="1"/>
    <col min="10" max="10" width="8.9375" bestFit="1" customWidth="1"/>
    <col min="11" max="11" width="7.29296875" bestFit="1" customWidth="1"/>
    <col min="12" max="15" width="1.76171875" bestFit="1" customWidth="1"/>
    <col min="16" max="16" width="3.17578125" bestFit="1" customWidth="1"/>
    <col min="17" max="17" width="5.17578125" bestFit="1" customWidth="1"/>
    <col min="18" max="18" width="4.29296875" bestFit="1" customWidth="1"/>
    <col min="19" max="19" width="4.17578125" bestFit="1" customWidth="1"/>
    <col min="20" max="20" width="1.76171875" bestFit="1" customWidth="1"/>
    <col min="21" max="21" width="1.76171875" customWidth="1"/>
    <col min="22" max="22" width="1.76171875" bestFit="1" customWidth="1"/>
    <col min="24" max="24" width="26.3515625" bestFit="1" customWidth="1"/>
    <col min="26" max="26" width="23.17578125" bestFit="1" customWidth="1"/>
  </cols>
  <sheetData>
    <row r="4" spans="2:24" x14ac:dyDescent="0.3">
      <c r="B4" s="18" t="s">
        <v>96</v>
      </c>
      <c r="D4" s="18" t="s">
        <v>97</v>
      </c>
    </row>
    <row r="5" spans="2:24" ht="21" thickBot="1" x14ac:dyDescent="0.4">
      <c r="B5" s="1" t="s">
        <v>67</v>
      </c>
      <c r="C5" s="1"/>
      <c r="D5" s="1" t="s">
        <v>68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4" ht="20.399999999999999" thickTop="1" x14ac:dyDescent="0.3">
      <c r="B6">
        <f>COUNTA(_xlfn.ANCHORARRAY(B8))</f>
        <v>33</v>
      </c>
      <c r="C6" s="7"/>
      <c r="D6">
        <f>COUNTA(_xlfn.ANCHORARRAY(D8))</f>
        <v>33</v>
      </c>
    </row>
    <row r="7" spans="2:24" ht="20.399999999999999" thickBot="1" x14ac:dyDescent="0.35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70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  <c r="X7" s="6" t="s">
        <v>308</v>
      </c>
    </row>
    <row r="8" spans="2:24" ht="20.399999999999999" thickTop="1" x14ac:dyDescent="0.3">
      <c r="B8" t="str" cm="1">
        <f t="array" ref="B8:B40">TRANSPOSE(ListLambdas())</f>
        <v>ADDRESSES_byDiarmuidEarly</v>
      </c>
      <c r="D8" t="str" cm="1">
        <f t="array" ref="D8:D40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  <c r="X8" t="e" cm="1" vm="1">
        <f t="array" ref="X8">_xlfn._xlws.FILTER(_xlfn.ANCHORARRAY(B8),NOT(IsInList_byErikOehm(_xlfn.ANCHORARRAY(B8),_xlfn.ANCHORARRAY(D8))))</f>
        <v>#VALUE!</v>
      </c>
    </row>
    <row r="9" spans="2:24" x14ac:dyDescent="0.3">
      <c r="B9" t="str">
        <v>ARROWSHIFT_byEmilieWilliams</v>
      </c>
      <c r="D9" t="str">
        <v>EXTRACTLETTERS_byHarryGross</v>
      </c>
      <c r="E9" t="s">
        <v>19</v>
      </c>
    </row>
    <row r="10" spans="2:24" ht="20.399999999999999" x14ac:dyDescent="0.35">
      <c r="B10" t="str">
        <v>BiRow_byPeterBartholomew</v>
      </c>
      <c r="D10" s="26" t="str">
        <v>EXTRACTNUMBERS_byHarryGross</v>
      </c>
      <c r="H10" t="str" cm="1">
        <f t="array" ref="H10:I10">EXTRACTNUMBERS_byHarryGross(E9)</f>
        <v>45</v>
      </c>
      <c r="I10" t="str">
        <v>2</v>
      </c>
    </row>
    <row r="11" spans="2:24" x14ac:dyDescent="0.3">
      <c r="B11" t="str">
        <v>CaseInputs</v>
      </c>
      <c r="D11" t="str">
        <v>ADDRESSES_byDiarmuidEarly</v>
      </c>
      <c r="E11" t="s">
        <v>39</v>
      </c>
      <c r="F11" t="s">
        <v>40</v>
      </c>
      <c r="H11" t="str" cm="1">
        <f t="array" ref="H11:I11">ADDRESSES_byDiarmuidEarly(E11:F11)</f>
        <v>E11</v>
      </c>
      <c r="I11" t="str">
        <v>F11</v>
      </c>
    </row>
    <row r="12" spans="2:24" ht="20.399999999999999" x14ac:dyDescent="0.35">
      <c r="B12" t="str">
        <v>CellsAround_byBendeLeon</v>
      </c>
      <c r="D12" s="26" t="str">
        <v>GRIDTOCOL_byLiannaGerrish</v>
      </c>
      <c r="E12" t="s">
        <v>37</v>
      </c>
      <c r="F12" t="s">
        <v>38</v>
      </c>
      <c r="H12" t="str" cm="1">
        <f t="array" aca="1" ref="H12:L14" ca="1">GRIDTOCOL_byLiannaGerrish(E12:F12,1)</f>
        <v>Items</v>
      </c>
      <c r="I12" t="str">
        <f ca="1"/>
        <v>Row #</v>
      </c>
      <c r="J12" t="str">
        <f ca="1"/>
        <v>Column #</v>
      </c>
      <c r="K12" t="str">
        <f ca="1"/>
        <v>Address</v>
      </c>
      <c r="L12" t="str">
        <f ca="1"/>
        <v>RCRef</v>
      </c>
    </row>
    <row r="13" spans="2:24" x14ac:dyDescent="0.3">
      <c r="B13" t="str">
        <v>COL</v>
      </c>
      <c r="D13" t="str">
        <v>CaseInputs</v>
      </c>
      <c r="G13" s="18" t="s">
        <v>69</v>
      </c>
      <c r="H13" t="str">
        <f ca="1"/>
        <v>A</v>
      </c>
      <c r="I13">
        <f ca="1"/>
        <v>12</v>
      </c>
      <c r="J13">
        <f ca="1"/>
        <v>5</v>
      </c>
      <c r="K13" t="str">
        <f ca="1"/>
        <v>E12</v>
      </c>
      <c r="L13">
        <f ca="1"/>
        <v>12001005</v>
      </c>
    </row>
    <row r="14" spans="2:24" x14ac:dyDescent="0.3">
      <c r="B14" t="str">
        <v>COLROW</v>
      </c>
      <c r="D14" t="str">
        <v>LkpAdd</v>
      </c>
      <c r="E14" t="str" cm="1">
        <f t="array" aca="1" ref="E14" ca="1">LkpAdd(F12,H8:V14)</f>
        <v>H14</v>
      </c>
      <c r="H14" t="str">
        <f ca="1"/>
        <v>B</v>
      </c>
      <c r="I14">
        <f ca="1"/>
        <v>12</v>
      </c>
      <c r="J14">
        <f ca="1"/>
        <v>6</v>
      </c>
      <c r="K14" t="str">
        <f ca="1"/>
        <v>F12</v>
      </c>
      <c r="L14">
        <f ca="1"/>
        <v>12001006</v>
      </c>
    </row>
    <row r="15" spans="2:24" ht="20.399999999999999" x14ac:dyDescent="0.35">
      <c r="B15" t="str">
        <v>CountChar_byLiannaGerrish</v>
      </c>
      <c r="D15" s="26" t="str">
        <v>LkpRC</v>
      </c>
      <c r="E15" cm="1">
        <f t="array" aca="1" ref="E15:F16" ca="1">LkpRC(12,H8:V14)</f>
        <v>13</v>
      </c>
      <c r="F15">
        <f ca="1"/>
        <v>9</v>
      </c>
    </row>
    <row r="16" spans="2:24" x14ac:dyDescent="0.3">
      <c r="B16" t="str">
        <v>DiffByRow_byJaqKennedy</v>
      </c>
      <c r="D16" t="str">
        <v>IsInList_byErikOehm</v>
      </c>
      <c r="E16">
        <f ca="1"/>
        <v>14</v>
      </c>
      <c r="F16">
        <f ca="1"/>
        <v>9</v>
      </c>
      <c r="H16" t="b" cm="1">
        <f t="array" ref="H16:H48">IsInList_byErikOehm(_xlfn.ANCHORARRAY(B8),_xlfn.ANCHORARRAY(D8))</f>
        <v>1</v>
      </c>
      <c r="I16" t="str" cm="1">
        <f t="array" aca="1" ref="I16" ca="1">IFERROR(FilterArray(_xlfn.ANCHORARRAY(B8), 1,_xlfn.ANCHORARRAY( D8)),"None found")</f>
        <v>None found</v>
      </c>
    </row>
    <row r="17" spans="2:15" x14ac:dyDescent="0.3">
      <c r="B17" t="str">
        <v>DROPCOL_byLiannaGerrish</v>
      </c>
      <c r="D17" t="str">
        <v>FilterArray_byErikOehm</v>
      </c>
      <c r="H17" t="b">
        <v>1</v>
      </c>
    </row>
    <row r="18" spans="2:15" x14ac:dyDescent="0.3">
      <c r="B18" t="str">
        <v>EXTRACTCHAR_byHarryGross</v>
      </c>
      <c r="D18" t="str">
        <v>Letters</v>
      </c>
      <c r="E18">
        <v>1</v>
      </c>
      <c r="G18" s="18" t="s">
        <v>117</v>
      </c>
      <c r="H18" t="b">
        <v>1</v>
      </c>
      <c r="O18" t="str" cm="1">
        <f t="array" ref="O18:O43">Letters(E18)</f>
        <v>A</v>
      </c>
    </row>
    <row r="19" spans="2:15" x14ac:dyDescent="0.3">
      <c r="B19" t="str">
        <v>EXTRACTLETTERS_byHarryGross</v>
      </c>
      <c r="D19" t="str">
        <v>CountChar_byLiannaGerrish</v>
      </c>
      <c r="H19" t="b">
        <v>1</v>
      </c>
      <c r="I19" cm="1">
        <f t="array" ref="I19">CountChar_byLiannaGerrish(D10,"S")</f>
        <v>1</v>
      </c>
      <c r="O19" t="str">
        <v>B</v>
      </c>
    </row>
    <row r="20" spans="2:15" x14ac:dyDescent="0.3">
      <c r="B20" t="str">
        <v>EXTRACTNUMBERS_byHarryGross</v>
      </c>
      <c r="D20" t="str">
        <v>XMOD_byJaqKennedy</v>
      </c>
      <c r="E20">
        <f>CODE(O19)-(CODE(O18)-1)+47</f>
        <v>49</v>
      </c>
      <c r="F20">
        <v>26</v>
      </c>
      <c r="H20" t="b">
        <v>1</v>
      </c>
      <c r="I20" cm="1">
        <f t="array" ref="I20">XMOD_byJaqKennedy(E20,F20)</f>
        <v>23</v>
      </c>
      <c r="J20" t="str">
        <f>CHAR(I20+CODE(O18)-1)</f>
        <v>W</v>
      </c>
      <c r="O20" t="str">
        <v>C</v>
      </c>
    </row>
    <row r="21" spans="2:15" x14ac:dyDescent="0.3">
      <c r="B21" t="str">
        <v>EZINDARR_byLiannaGerrish</v>
      </c>
      <c r="D21" t="str">
        <v>RightAlignedArray_byJaqKennedy</v>
      </c>
      <c r="H21" t="b">
        <v>1</v>
      </c>
      <c r="O21" t="str">
        <v>D</v>
      </c>
    </row>
    <row r="22" spans="2:15" x14ac:dyDescent="0.3">
      <c r="B22" t="str">
        <v>EZINDIRECT_byLiannaGerrish</v>
      </c>
      <c r="D22" t="str">
        <v>LkpRCByRow</v>
      </c>
      <c r="E22" cm="1">
        <f t="array" aca="1" ref="E22:F22" ca="1">LkpRCByRow(O18:O18, $H$8:$V$14)</f>
        <v>8</v>
      </c>
      <c r="F22">
        <f ca="1"/>
        <v>9</v>
      </c>
      <c r="H22" t="b">
        <v>1</v>
      </c>
      <c r="O22" t="str">
        <v>E</v>
      </c>
    </row>
    <row r="23" spans="2:15" x14ac:dyDescent="0.3">
      <c r="B23" t="str">
        <v>FilterArray_byErikOehm</v>
      </c>
      <c r="D23" t="str">
        <v>IFBLANK</v>
      </c>
      <c r="H23" t="b">
        <v>1</v>
      </c>
      <c r="O23" t="str">
        <v>F</v>
      </c>
    </row>
    <row r="24" spans="2:15" x14ac:dyDescent="0.3">
      <c r="B24" t="str">
        <v>GRIDTOCOL_byLiannaGerrish</v>
      </c>
      <c r="D24" t="str">
        <v>TDay_byJaqKennedy</v>
      </c>
      <c r="H24" t="b">
        <v>1</v>
      </c>
      <c r="O24" t="str">
        <v>G</v>
      </c>
    </row>
    <row r="25" spans="2:15" ht="20.399999999999999" x14ac:dyDescent="0.35">
      <c r="B25" t="str">
        <v>IFBLANK</v>
      </c>
      <c r="D25" s="26" t="str">
        <v>XLOOKUP2D_byBendeLeon</v>
      </c>
      <c r="H25" t="b">
        <v>1</v>
      </c>
      <c r="I25" t="str" cm="1">
        <f t="array" ref="I25">XLOOKUP2D_byBendeLeon(H8:V14,"E11","a")</f>
        <v>F11</v>
      </c>
      <c r="J25" t="str" cm="1">
        <f t="array" aca="1" ref="J25" ca="1">XLOOKUP2D_byBendeLeon(H8:V14,"Items","y")</f>
        <v>RCRef</v>
      </c>
      <c r="O25" t="str">
        <v>H</v>
      </c>
    </row>
    <row r="26" spans="2:15" x14ac:dyDescent="0.3">
      <c r="B26" t="str">
        <v>INTSECT</v>
      </c>
      <c r="D26" t="str">
        <v>LetterShift_byBendeLeon</v>
      </c>
      <c r="H26" t="b">
        <v>1</v>
      </c>
      <c r="O26" t="str">
        <v>I</v>
      </c>
    </row>
    <row r="27" spans="2:15" x14ac:dyDescent="0.3">
      <c r="B27" t="str">
        <v>IsInList_byErikOehm</v>
      </c>
      <c r="D27" t="str">
        <v>COLROW</v>
      </c>
      <c r="E27" t="str" cm="1">
        <f t="array" aca="1" ref="E27:F27" ca="1">COLROW(E14)</f>
        <v>8</v>
      </c>
      <c r="F27" t="str">
        <f ca="1"/>
        <v>14</v>
      </c>
      <c r="H27" t="b">
        <v>1</v>
      </c>
      <c r="O27" t="str">
        <v>J</v>
      </c>
    </row>
    <row r="28" spans="2:15" ht="20.399999999999999" x14ac:dyDescent="0.35">
      <c r="B28" t="str">
        <v>Letters</v>
      </c>
      <c r="D28" s="26" t="str">
        <v>ROWCOL</v>
      </c>
      <c r="E28" t="str" cm="1">
        <f t="array" aca="1" ref="E28:F28" ca="1">ROWCOL(E14)</f>
        <v>14</v>
      </c>
      <c r="F28" t="str">
        <f ca="1"/>
        <v>8</v>
      </c>
      <c r="H28" t="b">
        <v>1</v>
      </c>
      <c r="O28" t="str">
        <v>K</v>
      </c>
    </row>
    <row r="29" spans="2:15" x14ac:dyDescent="0.3">
      <c r="B29" t="str">
        <v>LetterShift_byBendeLeon</v>
      </c>
      <c r="D29" t="str">
        <v>ZigZag_byBendeLeon</v>
      </c>
      <c r="H29" t="b">
        <v>1</v>
      </c>
      <c r="O29" t="str">
        <v>L</v>
      </c>
    </row>
    <row r="30" spans="2:15" x14ac:dyDescent="0.3">
      <c r="B30" t="str">
        <v>LkpAdd</v>
      </c>
      <c r="D30" t="str">
        <v>BiRow_byPeterBartholomew</v>
      </c>
      <c r="H30" t="b">
        <v>1</v>
      </c>
      <c r="O30" t="str">
        <v>M</v>
      </c>
    </row>
    <row r="31" spans="2:15" x14ac:dyDescent="0.3">
      <c r="B31" t="str">
        <v>LkpRC</v>
      </c>
      <c r="D31" t="str">
        <v>DROPCOL_byLiannaGerrish</v>
      </c>
      <c r="H31" t="b">
        <v>1</v>
      </c>
      <c r="O31" t="str">
        <v>N</v>
      </c>
    </row>
    <row r="32" spans="2:15" x14ac:dyDescent="0.3">
      <c r="B32" t="str">
        <v>LkpRCByRow</v>
      </c>
      <c r="D32" t="str">
        <v>DiffByRow_byJaqKennedy</v>
      </c>
      <c r="H32" t="b">
        <v>1</v>
      </c>
      <c r="O32" t="str">
        <v>O</v>
      </c>
    </row>
    <row r="33" spans="2:15" x14ac:dyDescent="0.3">
      <c r="B33" t="str">
        <v>MinMax_byJaqKennedy</v>
      </c>
      <c r="D33" t="str">
        <v>TEXTREVERSE</v>
      </c>
      <c r="H33" t="b">
        <v>1</v>
      </c>
      <c r="O33" t="str">
        <v>P</v>
      </c>
    </row>
    <row r="34" spans="2:15" x14ac:dyDescent="0.3">
      <c r="B34" t="str">
        <v>RightAlignedArray_byJaqKennedy</v>
      </c>
      <c r="D34" t="str">
        <v>EZINDIRECT_byLiannaGerrish</v>
      </c>
      <c r="H34" t="b">
        <v>1</v>
      </c>
      <c r="O34" t="str">
        <v>Q</v>
      </c>
    </row>
    <row r="35" spans="2:15" x14ac:dyDescent="0.3">
      <c r="B35" t="str">
        <v>ROWCOL</v>
      </c>
      <c r="D35" t="str">
        <v>MinMax_byJaqKennedy</v>
      </c>
      <c r="H35" t="b">
        <v>1</v>
      </c>
      <c r="O35" t="str">
        <v>R</v>
      </c>
    </row>
    <row r="36" spans="2:15" x14ac:dyDescent="0.3">
      <c r="B36" t="str">
        <v>TDay_byJaqKennedy</v>
      </c>
      <c r="D36" t="str">
        <v>CellsAround_byBendeLeon</v>
      </c>
      <c r="H36" t="b">
        <v>1</v>
      </c>
      <c r="O36" t="str">
        <v>S</v>
      </c>
    </row>
    <row r="37" spans="2:15" x14ac:dyDescent="0.3">
      <c r="B37" t="str">
        <v>TEXTREVERSE</v>
      </c>
      <c r="D37" t="str">
        <v>COL</v>
      </c>
      <c r="H37" t="b">
        <v>1</v>
      </c>
      <c r="O37" t="str">
        <v>T</v>
      </c>
    </row>
    <row r="38" spans="2:15" x14ac:dyDescent="0.3">
      <c r="B38" t="str">
        <v>XLOOKUP2D_byBendeLeon</v>
      </c>
      <c r="D38" t="str">
        <v>INTSECT</v>
      </c>
      <c r="H38" t="b">
        <v>1</v>
      </c>
      <c r="O38" t="str">
        <v>U</v>
      </c>
    </row>
    <row r="39" spans="2:15" x14ac:dyDescent="0.3">
      <c r="B39" t="str">
        <v>XMOD_byJaqKennedy</v>
      </c>
      <c r="D39" t="str">
        <v>EZINDARR_byLiannaGerrish</v>
      </c>
      <c r="E39" t="str" cm="1">
        <f t="array" aca="1" ref="E39:F39" ca="1">EZINDARR_byLiannaGerrish(_xlfn.ANCHORARRAY(H11), "Info_Lambdas")</f>
        <v>"text" - string to be split</v>
      </c>
      <c r="F39" t="str">
        <f ca="1"/>
        <v>No</v>
      </c>
      <c r="H39" t="b">
        <v>1</v>
      </c>
      <c r="O39" t="str">
        <v>V</v>
      </c>
    </row>
    <row r="40" spans="2:15" x14ac:dyDescent="0.3">
      <c r="B40" t="str">
        <v>ZigZag_byBendeLeon</v>
      </c>
      <c r="D40" t="str">
        <v>ARROWSHIFT_byEmilieWilliams</v>
      </c>
      <c r="H40" t="b">
        <v>1</v>
      </c>
      <c r="O40" t="str">
        <v>W</v>
      </c>
    </row>
    <row r="41" spans="2:15" x14ac:dyDescent="0.3">
      <c r="H41" t="b">
        <v>1</v>
      </c>
      <c r="O41" t="str">
        <v>X</v>
      </c>
    </row>
    <row r="42" spans="2:15" x14ac:dyDescent="0.3">
      <c r="H42" t="b">
        <v>1</v>
      </c>
      <c r="O42" t="str">
        <v>Y</v>
      </c>
    </row>
    <row r="43" spans="2:15" x14ac:dyDescent="0.3">
      <c r="H43" t="b">
        <v>1</v>
      </c>
      <c r="O43" t="str">
        <v>Z</v>
      </c>
    </row>
    <row r="44" spans="2:15" x14ac:dyDescent="0.3">
      <c r="D44" t="e" cm="1">
        <f t="array" aca="1" ref="D44" ca="1">ARROWTABLE_byEmilieWilliams()</f>
        <v>#NAME?</v>
      </c>
      <c r="H44" t="b">
        <v>1</v>
      </c>
    </row>
    <row r="45" spans="2:15" x14ac:dyDescent="0.3">
      <c r="H45" t="b">
        <v>1</v>
      </c>
    </row>
    <row r="46" spans="2:15" x14ac:dyDescent="0.3">
      <c r="H46" t="b">
        <v>1</v>
      </c>
    </row>
    <row r="47" spans="2:15" x14ac:dyDescent="0.3">
      <c r="H47" t="b">
        <v>1</v>
      </c>
    </row>
    <row r="48" spans="2:15" x14ac:dyDescent="0.3">
      <c r="H48" t="b">
        <v>1</v>
      </c>
    </row>
    <row r="54" spans="4:4" x14ac:dyDescent="0.3">
      <c r="D54" t="e" cm="1">
        <f t="array" aca="1" ref="D54" ca="1">ARROWSHIFT_byEmilieWilliams(I25, D49)</f>
        <v>#N/A</v>
      </c>
    </row>
    <row r="55" spans="4:4" x14ac:dyDescent="0.3">
      <c r="D55" t="e" cm="1">
        <f t="array" aca="1" ref="D55" ca="1">ARROWSHIFT_byEmilieWilliams(I25, G49)</f>
        <v>#N/A</v>
      </c>
    </row>
    <row r="56" spans="4:4" x14ac:dyDescent="0.3">
      <c r="D56" t="e" cm="1">
        <f t="array" aca="1" ref="D56" ca="1">ARROWSHIFT_byEmilieWilliams(D55, G47)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E14" sqref="E14"/>
    </sheetView>
  </sheetViews>
  <sheetFormatPr defaultRowHeight="19.8" x14ac:dyDescent="0.3"/>
  <cols>
    <col min="1" max="1" width="1.703125" customWidth="1"/>
    <col min="2" max="2" width="24.46875" bestFit="1" customWidth="1"/>
    <col min="3" max="3" width="11.234375" bestFit="1" customWidth="1"/>
    <col min="4" max="4" width="36" customWidth="1"/>
    <col min="5" max="5" width="12.46875" bestFit="1" customWidth="1"/>
    <col min="6" max="10" width="4.234375" customWidth="1"/>
  </cols>
  <sheetData>
    <row r="5" spans="2:10" ht="21" thickBot="1" x14ac:dyDescent="0.4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399999999999999" thickTop="1" x14ac:dyDescent="0.3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3">
      <c r="B7" s="4"/>
    </row>
    <row r="8" spans="2:10" x14ac:dyDescent="0.3">
      <c r="B8" s="4"/>
    </row>
    <row r="9" spans="2:10" x14ac:dyDescent="0.3">
      <c r="B9" s="4"/>
    </row>
    <row r="10" spans="2:10" x14ac:dyDescent="0.3">
      <c r="B10" s="4"/>
    </row>
    <row r="11" spans="2:10" ht="20.399999999999999" thickBot="1" x14ac:dyDescent="0.35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399999999999999" thickTop="1" x14ac:dyDescent="0.3"/>
    <row r="13" spans="2:10" x14ac:dyDescent="0.3">
      <c r="B13" t="s">
        <v>4</v>
      </c>
      <c r="C13" t="s">
        <v>6</v>
      </c>
      <c r="D13" t="s">
        <v>5</v>
      </c>
      <c r="E13" t="s">
        <v>9</v>
      </c>
    </row>
    <row r="14" spans="2:10" ht="39.6" x14ac:dyDescent="0.3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76171875" defaultRowHeight="18" x14ac:dyDescent="0.35"/>
  <cols>
    <col min="1" max="1" width="8.76171875" style="21"/>
    <col min="2" max="2" width="4.76171875" style="21" bestFit="1" customWidth="1"/>
    <col min="3" max="3" width="4.8203125" style="21" bestFit="1" customWidth="1"/>
    <col min="4" max="4" width="6.46875" style="21" bestFit="1" customWidth="1"/>
    <col min="5" max="5" width="22.52734375" style="21" bestFit="1" customWidth="1"/>
    <col min="6" max="6" width="20.29296875" style="21" bestFit="1" customWidth="1"/>
    <col min="7" max="7" width="8.76171875" style="21" bestFit="1" customWidth="1"/>
    <col min="8" max="16384" width="8.76171875" style="21"/>
  </cols>
  <sheetData>
    <row r="2" spans="2:7" x14ac:dyDescent="0.35">
      <c r="B2" s="21" t="s">
        <v>171</v>
      </c>
      <c r="C2" s="23" t="s">
        <v>204</v>
      </c>
      <c r="D2" s="21" t="s">
        <v>170</v>
      </c>
      <c r="E2" s="21" t="s">
        <v>4</v>
      </c>
      <c r="F2" s="21" t="s">
        <v>70</v>
      </c>
      <c r="G2" s="21" t="s">
        <v>169</v>
      </c>
    </row>
    <row r="3" spans="2:7" ht="54" x14ac:dyDescent="0.35">
      <c r="B3" s="21" t="s">
        <v>193</v>
      </c>
      <c r="C3" s="21">
        <v>5</v>
      </c>
      <c r="D3" s="21" t="s">
        <v>184</v>
      </c>
      <c r="E3" s="23" t="s">
        <v>194</v>
      </c>
      <c r="F3" s="24" t="s">
        <v>195</v>
      </c>
      <c r="G3" s="23" t="s">
        <v>0</v>
      </c>
    </row>
    <row r="4" spans="2:7" ht="54" x14ac:dyDescent="0.35">
      <c r="B4" s="21" t="s">
        <v>193</v>
      </c>
      <c r="C4" s="21">
        <v>5</v>
      </c>
      <c r="D4" s="21" t="s">
        <v>184</v>
      </c>
      <c r="E4" s="23" t="s">
        <v>194</v>
      </c>
      <c r="F4" s="24" t="s">
        <v>196</v>
      </c>
      <c r="G4" s="23" t="s">
        <v>0</v>
      </c>
    </row>
    <row r="5" spans="2:7" ht="36" x14ac:dyDescent="0.35">
      <c r="B5" s="21" t="s">
        <v>193</v>
      </c>
      <c r="C5" s="21">
        <v>5</v>
      </c>
      <c r="D5" s="21" t="s">
        <v>139</v>
      </c>
      <c r="E5" s="21" t="s">
        <v>197</v>
      </c>
      <c r="F5" s="24" t="s">
        <v>199</v>
      </c>
      <c r="G5" s="23" t="s">
        <v>198</v>
      </c>
    </row>
    <row r="6" spans="2:7" x14ac:dyDescent="0.35">
      <c r="B6" s="21" t="s">
        <v>193</v>
      </c>
      <c r="C6" s="21">
        <v>5</v>
      </c>
      <c r="D6" s="21" t="s">
        <v>139</v>
      </c>
      <c r="E6" s="21" t="s">
        <v>138</v>
      </c>
      <c r="F6" s="21" t="s">
        <v>137</v>
      </c>
      <c r="G6" s="21" t="s">
        <v>136</v>
      </c>
    </row>
    <row r="7" spans="2:7" ht="54" x14ac:dyDescent="0.35">
      <c r="B7" s="21" t="s">
        <v>193</v>
      </c>
      <c r="C7" s="21">
        <v>6</v>
      </c>
      <c r="D7" s="21" t="s">
        <v>184</v>
      </c>
      <c r="E7" s="23" t="s">
        <v>102</v>
      </c>
      <c r="F7" s="24" t="s">
        <v>200</v>
      </c>
      <c r="G7" s="23" t="s">
        <v>0</v>
      </c>
    </row>
    <row r="8" spans="2:7" x14ac:dyDescent="0.35">
      <c r="B8" s="21" t="s">
        <v>193</v>
      </c>
      <c r="C8" s="21">
        <v>6</v>
      </c>
      <c r="D8" s="21" t="s">
        <v>139</v>
      </c>
      <c r="E8" s="21" t="s">
        <v>160</v>
      </c>
      <c r="F8" s="21" t="s">
        <v>159</v>
      </c>
      <c r="G8" s="21" t="s">
        <v>0</v>
      </c>
    </row>
    <row r="9" spans="2:7" x14ac:dyDescent="0.35">
      <c r="B9" s="21" t="s">
        <v>193</v>
      </c>
      <c r="C9" s="21">
        <v>6</v>
      </c>
      <c r="D9" s="21" t="s">
        <v>139</v>
      </c>
      <c r="E9" s="21" t="s">
        <v>158</v>
      </c>
      <c r="F9" s="21" t="s">
        <v>157</v>
      </c>
      <c r="G9" s="21" t="s">
        <v>143</v>
      </c>
    </row>
    <row r="10" spans="2:7" ht="36" x14ac:dyDescent="0.35">
      <c r="B10" s="21" t="s">
        <v>193</v>
      </c>
      <c r="C10" s="21">
        <v>6</v>
      </c>
      <c r="D10" s="21" t="s">
        <v>139</v>
      </c>
      <c r="E10" s="21" t="s">
        <v>197</v>
      </c>
      <c r="F10" s="24" t="s">
        <v>199</v>
      </c>
      <c r="G10" s="23" t="s">
        <v>198</v>
      </c>
    </row>
    <row r="11" spans="2:7" x14ac:dyDescent="0.35">
      <c r="B11" s="21" t="s">
        <v>193</v>
      </c>
      <c r="C11" s="21">
        <v>6</v>
      </c>
      <c r="D11" s="21" t="s">
        <v>139</v>
      </c>
      <c r="E11" s="23" t="s">
        <v>201</v>
      </c>
      <c r="F11" s="23" t="s">
        <v>93</v>
      </c>
      <c r="G11" s="23" t="s">
        <v>143</v>
      </c>
    </row>
    <row r="12" spans="2:7" x14ac:dyDescent="0.35">
      <c r="B12" s="21" t="s">
        <v>193</v>
      </c>
      <c r="C12" s="21">
        <v>6</v>
      </c>
      <c r="D12" s="21" t="s">
        <v>139</v>
      </c>
      <c r="E12" s="23" t="s">
        <v>203</v>
      </c>
      <c r="F12" s="23" t="s">
        <v>202</v>
      </c>
      <c r="G12" s="23" t="s">
        <v>143</v>
      </c>
    </row>
    <row r="13" spans="2:7" x14ac:dyDescent="0.35">
      <c r="B13" s="21" t="s">
        <v>193</v>
      </c>
      <c r="C13" s="21">
        <v>6</v>
      </c>
      <c r="D13" s="21" t="s">
        <v>139</v>
      </c>
      <c r="E13" s="21" t="s">
        <v>138</v>
      </c>
      <c r="F13" s="21" t="s">
        <v>137</v>
      </c>
      <c r="G13" s="21" t="s">
        <v>136</v>
      </c>
    </row>
    <row r="14" spans="2:7" x14ac:dyDescent="0.35">
      <c r="B14" s="21" t="s">
        <v>172</v>
      </c>
      <c r="C14" s="21">
        <v>7</v>
      </c>
      <c r="D14" s="21" t="s">
        <v>139</v>
      </c>
      <c r="E14" s="21" t="s">
        <v>168</v>
      </c>
      <c r="F14" s="21" t="s">
        <v>167</v>
      </c>
      <c r="G14" s="21" t="s">
        <v>0</v>
      </c>
    </row>
    <row r="15" spans="2:7" x14ac:dyDescent="0.35">
      <c r="B15" s="21" t="s">
        <v>172</v>
      </c>
      <c r="C15" s="21">
        <v>7</v>
      </c>
      <c r="D15" s="21" t="s">
        <v>139</v>
      </c>
      <c r="E15" s="21" t="s">
        <v>166</v>
      </c>
      <c r="F15" s="21" t="s">
        <v>165</v>
      </c>
      <c r="G15" s="21" t="s">
        <v>0</v>
      </c>
    </row>
    <row r="16" spans="2:7" x14ac:dyDescent="0.35">
      <c r="B16" s="21" t="s">
        <v>172</v>
      </c>
      <c r="C16" s="21">
        <v>7</v>
      </c>
      <c r="D16" s="21" t="s">
        <v>139</v>
      </c>
      <c r="E16" s="21" t="s">
        <v>173</v>
      </c>
      <c r="F16" s="21" t="s">
        <v>78</v>
      </c>
      <c r="G16" s="21" t="s">
        <v>143</v>
      </c>
    </row>
    <row r="17" spans="2:7" x14ac:dyDescent="0.35">
      <c r="B17" s="21" t="s">
        <v>172</v>
      </c>
      <c r="C17" s="21">
        <v>7</v>
      </c>
      <c r="D17" s="21" t="s">
        <v>139</v>
      </c>
      <c r="E17" s="21" t="s">
        <v>174</v>
      </c>
      <c r="F17" s="21" t="s">
        <v>175</v>
      </c>
      <c r="G17" s="21" t="s">
        <v>0</v>
      </c>
    </row>
    <row r="18" spans="2:7" x14ac:dyDescent="0.35">
      <c r="B18" s="21" t="s">
        <v>172</v>
      </c>
      <c r="C18" s="21">
        <v>7</v>
      </c>
      <c r="D18" s="21" t="s">
        <v>139</v>
      </c>
      <c r="E18" s="21" t="s">
        <v>176</v>
      </c>
      <c r="F18" s="21" t="s">
        <v>177</v>
      </c>
      <c r="G18" s="21" t="s">
        <v>143</v>
      </c>
    </row>
    <row r="19" spans="2:7" ht="36" x14ac:dyDescent="0.35">
      <c r="B19" s="21" t="s">
        <v>172</v>
      </c>
      <c r="C19" s="21">
        <v>7</v>
      </c>
      <c r="D19" s="21" t="s">
        <v>139</v>
      </c>
      <c r="E19" s="21" t="s">
        <v>178</v>
      </c>
      <c r="F19" s="22" t="s">
        <v>179</v>
      </c>
      <c r="G19" s="21" t="s">
        <v>0</v>
      </c>
    </row>
    <row r="20" spans="2:7" x14ac:dyDescent="0.35">
      <c r="B20" s="21" t="s">
        <v>172</v>
      </c>
      <c r="C20" s="21">
        <v>7</v>
      </c>
      <c r="D20" s="21" t="s">
        <v>139</v>
      </c>
      <c r="E20" s="21" t="s">
        <v>158</v>
      </c>
      <c r="F20" s="21" t="s">
        <v>157</v>
      </c>
      <c r="G20" s="21" t="s">
        <v>143</v>
      </c>
    </row>
    <row r="21" spans="2:7" ht="36" x14ac:dyDescent="0.35">
      <c r="B21" s="21" t="s">
        <v>172</v>
      </c>
      <c r="C21" s="21">
        <v>7</v>
      </c>
      <c r="D21" s="21" t="s">
        <v>139</v>
      </c>
      <c r="E21" s="21" t="s">
        <v>180</v>
      </c>
      <c r="F21" s="22" t="s">
        <v>181</v>
      </c>
      <c r="G21" s="21" t="s">
        <v>0</v>
      </c>
    </row>
    <row r="22" spans="2:7" x14ac:dyDescent="0.35">
      <c r="B22" s="21" t="s">
        <v>172</v>
      </c>
      <c r="C22" s="21">
        <v>7</v>
      </c>
      <c r="D22" s="21" t="s">
        <v>139</v>
      </c>
      <c r="E22" s="21" t="s">
        <v>182</v>
      </c>
      <c r="F22" s="21" t="s">
        <v>183</v>
      </c>
      <c r="G22" s="21" t="s">
        <v>0</v>
      </c>
    </row>
    <row r="23" spans="2:7" ht="36" x14ac:dyDescent="0.35">
      <c r="B23" s="21" t="s">
        <v>172</v>
      </c>
      <c r="C23" s="21">
        <v>7</v>
      </c>
      <c r="D23" s="21" t="s">
        <v>184</v>
      </c>
      <c r="E23" s="21" t="s">
        <v>190</v>
      </c>
      <c r="F23" s="22" t="s">
        <v>186</v>
      </c>
      <c r="G23" s="21" t="s">
        <v>0</v>
      </c>
    </row>
    <row r="24" spans="2:7" x14ac:dyDescent="0.35">
      <c r="B24" s="21" t="s">
        <v>172</v>
      </c>
      <c r="C24" s="21">
        <v>7</v>
      </c>
      <c r="D24" s="21" t="s">
        <v>139</v>
      </c>
      <c r="E24" s="21" t="s">
        <v>173</v>
      </c>
      <c r="F24" s="21" t="s">
        <v>78</v>
      </c>
      <c r="G24" s="21" t="s">
        <v>143</v>
      </c>
    </row>
    <row r="25" spans="2:7" x14ac:dyDescent="0.35">
      <c r="B25" s="21" t="s">
        <v>172</v>
      </c>
      <c r="C25" s="21">
        <v>7</v>
      </c>
      <c r="D25" s="21" t="s">
        <v>139</v>
      </c>
      <c r="E25" s="21" t="s">
        <v>158</v>
      </c>
      <c r="F25" s="21" t="s">
        <v>157</v>
      </c>
      <c r="G25" s="21" t="s">
        <v>143</v>
      </c>
    </row>
    <row r="26" spans="2:7" x14ac:dyDescent="0.35">
      <c r="B26" s="21" t="s">
        <v>172</v>
      </c>
      <c r="C26" s="21">
        <v>7</v>
      </c>
      <c r="D26" s="21" t="s">
        <v>139</v>
      </c>
      <c r="E26" s="21" t="s">
        <v>174</v>
      </c>
      <c r="F26" s="21" t="s">
        <v>175</v>
      </c>
      <c r="G26" s="21" t="s">
        <v>0</v>
      </c>
    </row>
    <row r="27" spans="2:7" x14ac:dyDescent="0.35">
      <c r="B27" s="21" t="s">
        <v>172</v>
      </c>
      <c r="C27" s="21">
        <v>7</v>
      </c>
      <c r="D27" s="21" t="s">
        <v>139</v>
      </c>
      <c r="E27" s="21" t="s">
        <v>145</v>
      </c>
      <c r="F27" s="21" t="s">
        <v>144</v>
      </c>
      <c r="G27" s="21" t="s">
        <v>143</v>
      </c>
    </row>
    <row r="28" spans="2:7" x14ac:dyDescent="0.35">
      <c r="B28" s="21" t="s">
        <v>172</v>
      </c>
      <c r="C28" s="21">
        <v>7</v>
      </c>
      <c r="D28" s="21" t="s">
        <v>139</v>
      </c>
      <c r="E28" s="21" t="s">
        <v>173</v>
      </c>
      <c r="F28" s="21" t="s">
        <v>78</v>
      </c>
      <c r="G28" s="21" t="s">
        <v>143</v>
      </c>
    </row>
    <row r="29" spans="2:7" x14ac:dyDescent="0.35">
      <c r="B29" s="21" t="s">
        <v>172</v>
      </c>
      <c r="C29" s="21">
        <v>7</v>
      </c>
      <c r="D29" s="21" t="s">
        <v>139</v>
      </c>
      <c r="E29" s="21" t="s">
        <v>158</v>
      </c>
      <c r="F29" s="21" t="s">
        <v>157</v>
      </c>
      <c r="G29" s="21" t="s">
        <v>143</v>
      </c>
    </row>
    <row r="30" spans="2:7" x14ac:dyDescent="0.35">
      <c r="B30" s="21" t="s">
        <v>172</v>
      </c>
      <c r="C30" s="21">
        <v>7</v>
      </c>
      <c r="D30" s="21" t="s">
        <v>139</v>
      </c>
      <c r="E30" s="21" t="s">
        <v>174</v>
      </c>
      <c r="F30" s="21" t="s">
        <v>175</v>
      </c>
      <c r="G30" s="21" t="s">
        <v>0</v>
      </c>
    </row>
    <row r="31" spans="2:7" ht="72" x14ac:dyDescent="0.35">
      <c r="B31" s="21" t="s">
        <v>172</v>
      </c>
      <c r="C31" s="21">
        <v>7</v>
      </c>
      <c r="D31" s="21" t="s">
        <v>184</v>
      </c>
      <c r="E31" s="21" t="s">
        <v>189</v>
      </c>
      <c r="F31" s="22" t="s">
        <v>185</v>
      </c>
      <c r="G31" s="21" t="s">
        <v>0</v>
      </c>
    </row>
    <row r="32" spans="2:7" x14ac:dyDescent="0.35">
      <c r="B32" s="21" t="s">
        <v>172</v>
      </c>
      <c r="C32" s="21">
        <v>7</v>
      </c>
      <c r="D32" s="21" t="s">
        <v>139</v>
      </c>
      <c r="E32" s="21" t="s">
        <v>158</v>
      </c>
      <c r="F32" s="21" t="s">
        <v>157</v>
      </c>
      <c r="G32" s="21" t="s">
        <v>143</v>
      </c>
    </row>
    <row r="33" spans="2:7" x14ac:dyDescent="0.35">
      <c r="B33" s="21" t="s">
        <v>172</v>
      </c>
      <c r="C33" s="21">
        <v>7</v>
      </c>
      <c r="D33" s="21" t="s">
        <v>139</v>
      </c>
      <c r="E33" s="21" t="s">
        <v>145</v>
      </c>
      <c r="F33" s="21" t="s">
        <v>144</v>
      </c>
      <c r="G33" s="21" t="s">
        <v>143</v>
      </c>
    </row>
    <row r="34" spans="2:7" x14ac:dyDescent="0.35">
      <c r="B34" s="21" t="s">
        <v>172</v>
      </c>
      <c r="C34" s="21">
        <v>7</v>
      </c>
      <c r="D34" s="21" t="s">
        <v>139</v>
      </c>
      <c r="E34" s="21" t="s">
        <v>173</v>
      </c>
      <c r="F34" s="21" t="s">
        <v>78</v>
      </c>
      <c r="G34" s="21" t="s">
        <v>143</v>
      </c>
    </row>
    <row r="35" spans="2:7" x14ac:dyDescent="0.35">
      <c r="B35" s="21" t="s">
        <v>172</v>
      </c>
      <c r="C35" s="21">
        <v>7</v>
      </c>
      <c r="D35" s="21" t="s">
        <v>139</v>
      </c>
      <c r="E35" s="21" t="s">
        <v>174</v>
      </c>
      <c r="F35" s="21" t="s">
        <v>175</v>
      </c>
      <c r="G35" s="21" t="s">
        <v>0</v>
      </c>
    </row>
    <row r="36" spans="2:7" x14ac:dyDescent="0.35">
      <c r="B36" s="21" t="s">
        <v>172</v>
      </c>
      <c r="C36" s="21">
        <v>7</v>
      </c>
      <c r="D36" s="21" t="s">
        <v>139</v>
      </c>
      <c r="E36" s="21" t="s">
        <v>187</v>
      </c>
      <c r="F36" s="21" t="s">
        <v>188</v>
      </c>
      <c r="G36" s="21" t="s">
        <v>0</v>
      </c>
    </row>
    <row r="37" spans="2:7" x14ac:dyDescent="0.35">
      <c r="B37" s="21" t="s">
        <v>172</v>
      </c>
      <c r="C37" s="21">
        <v>7</v>
      </c>
      <c r="D37" s="21" t="s">
        <v>139</v>
      </c>
      <c r="E37" s="21" t="s">
        <v>152</v>
      </c>
      <c r="F37" s="21" t="s">
        <v>151</v>
      </c>
      <c r="G37" s="21" t="s">
        <v>143</v>
      </c>
    </row>
    <row r="38" spans="2:7" x14ac:dyDescent="0.35">
      <c r="B38" s="21" t="s">
        <v>172</v>
      </c>
      <c r="C38" s="21">
        <v>7</v>
      </c>
      <c r="D38" s="21" t="s">
        <v>139</v>
      </c>
      <c r="E38" s="21" t="s">
        <v>191</v>
      </c>
      <c r="F38" s="21" t="s">
        <v>192</v>
      </c>
      <c r="G38" s="21" t="s">
        <v>143</v>
      </c>
    </row>
    <row r="39" spans="2:7" x14ac:dyDescent="0.35">
      <c r="B39" s="21" t="s">
        <v>172</v>
      </c>
      <c r="C39" s="21">
        <v>7</v>
      </c>
      <c r="D39" s="21" t="s">
        <v>139</v>
      </c>
      <c r="E39" s="21" t="s">
        <v>138</v>
      </c>
      <c r="F39" s="21" t="s">
        <v>137</v>
      </c>
      <c r="G39" s="21" t="s">
        <v>136</v>
      </c>
    </row>
    <row r="40" spans="2:7" x14ac:dyDescent="0.35">
      <c r="B40" s="21" t="s">
        <v>140</v>
      </c>
      <c r="C40" s="21">
        <v>4</v>
      </c>
      <c r="D40" s="21" t="s">
        <v>139</v>
      </c>
      <c r="E40" s="21" t="s">
        <v>168</v>
      </c>
      <c r="F40" s="21" t="s">
        <v>167</v>
      </c>
      <c r="G40" s="21" t="s">
        <v>0</v>
      </c>
    </row>
    <row r="41" spans="2:7" x14ac:dyDescent="0.35">
      <c r="B41" s="25" t="s">
        <v>140</v>
      </c>
      <c r="C41" s="21">
        <v>4</v>
      </c>
      <c r="D41" s="21" t="s">
        <v>139</v>
      </c>
      <c r="E41" s="25" t="s">
        <v>300</v>
      </c>
      <c r="F41" s="25" t="s">
        <v>301</v>
      </c>
      <c r="G41" s="25" t="s">
        <v>0</v>
      </c>
    </row>
    <row r="42" spans="2:7" x14ac:dyDescent="0.35">
      <c r="B42" s="25" t="s">
        <v>140</v>
      </c>
      <c r="C42" s="21">
        <v>4</v>
      </c>
      <c r="D42" s="21" t="s">
        <v>139</v>
      </c>
      <c r="E42" s="21" t="s">
        <v>304</v>
      </c>
      <c r="F42" s="25" t="s">
        <v>307</v>
      </c>
      <c r="G42" s="25" t="s">
        <v>0</v>
      </c>
    </row>
    <row r="43" spans="2:7" x14ac:dyDescent="0.35">
      <c r="B43" s="25" t="s">
        <v>140</v>
      </c>
      <c r="C43" s="21">
        <v>5</v>
      </c>
      <c r="D43" s="21" t="s">
        <v>139</v>
      </c>
      <c r="E43" s="21" t="s">
        <v>166</v>
      </c>
      <c r="F43" s="21" t="s">
        <v>165</v>
      </c>
      <c r="G43" s="21" t="s">
        <v>0</v>
      </c>
    </row>
    <row r="44" spans="2:7" x14ac:dyDescent="0.35">
      <c r="B44" s="21" t="s">
        <v>140</v>
      </c>
      <c r="C44" s="21">
        <v>5</v>
      </c>
      <c r="D44" s="21" t="s">
        <v>139</v>
      </c>
      <c r="E44" s="21" t="s">
        <v>158</v>
      </c>
      <c r="F44" s="21" t="s">
        <v>157</v>
      </c>
      <c r="G44" s="21" t="s">
        <v>143</v>
      </c>
    </row>
    <row r="45" spans="2:7" x14ac:dyDescent="0.35">
      <c r="B45" s="21" t="s">
        <v>140</v>
      </c>
      <c r="C45" s="21">
        <v>5</v>
      </c>
      <c r="D45" s="21" t="s">
        <v>139</v>
      </c>
      <c r="E45" s="21" t="s">
        <v>164</v>
      </c>
      <c r="F45" s="21" t="s">
        <v>163</v>
      </c>
      <c r="G45" s="21" t="s">
        <v>143</v>
      </c>
    </row>
    <row r="46" spans="2:7" x14ac:dyDescent="0.35">
      <c r="B46" s="21" t="s">
        <v>140</v>
      </c>
      <c r="C46" s="21">
        <v>5</v>
      </c>
      <c r="D46" s="21" t="s">
        <v>139</v>
      </c>
      <c r="E46" s="21" t="s">
        <v>147</v>
      </c>
      <c r="F46" s="21" t="s">
        <v>146</v>
      </c>
      <c r="G46" s="21" t="s">
        <v>0</v>
      </c>
    </row>
    <row r="47" spans="2:7" x14ac:dyDescent="0.35">
      <c r="B47" s="21" t="s">
        <v>140</v>
      </c>
      <c r="C47" s="21">
        <v>5</v>
      </c>
      <c r="D47" s="21" t="s">
        <v>139</v>
      </c>
      <c r="E47" s="21" t="s">
        <v>162</v>
      </c>
      <c r="F47" s="21" t="s">
        <v>161</v>
      </c>
      <c r="G47" s="21" t="s">
        <v>0</v>
      </c>
    </row>
    <row r="48" spans="2:7" x14ac:dyDescent="0.35">
      <c r="B48" s="21" t="s">
        <v>140</v>
      </c>
      <c r="C48" s="21">
        <v>5</v>
      </c>
      <c r="D48" s="21" t="s">
        <v>139</v>
      </c>
      <c r="E48" s="21" t="s">
        <v>160</v>
      </c>
      <c r="F48" s="21" t="s">
        <v>159</v>
      </c>
      <c r="G48" s="21" t="s">
        <v>0</v>
      </c>
    </row>
    <row r="49" spans="2:7" x14ac:dyDescent="0.35">
      <c r="B49" s="21" t="s">
        <v>140</v>
      </c>
      <c r="C49" s="21">
        <v>5</v>
      </c>
      <c r="D49" s="21" t="s">
        <v>139</v>
      </c>
      <c r="E49" s="21" t="s">
        <v>145</v>
      </c>
      <c r="F49" s="21" t="s">
        <v>144</v>
      </c>
      <c r="G49" s="21" t="s">
        <v>143</v>
      </c>
    </row>
    <row r="50" spans="2:7" x14ac:dyDescent="0.35">
      <c r="B50" s="21" t="s">
        <v>140</v>
      </c>
      <c r="C50" s="21">
        <v>5</v>
      </c>
      <c r="D50" s="21" t="s">
        <v>139</v>
      </c>
      <c r="E50" s="21" t="s">
        <v>158</v>
      </c>
      <c r="F50" s="21" t="s">
        <v>157</v>
      </c>
      <c r="G50" s="21" t="s">
        <v>143</v>
      </c>
    </row>
    <row r="51" spans="2:7" x14ac:dyDescent="0.35">
      <c r="B51" s="21" t="s">
        <v>140</v>
      </c>
      <c r="C51" s="21">
        <v>5</v>
      </c>
      <c r="D51" s="21" t="s">
        <v>139</v>
      </c>
      <c r="E51" s="21" t="s">
        <v>145</v>
      </c>
      <c r="F51" s="21" t="s">
        <v>144</v>
      </c>
      <c r="G51" s="21" t="s">
        <v>143</v>
      </c>
    </row>
    <row r="52" spans="2:7" x14ac:dyDescent="0.35">
      <c r="B52" s="21" t="s">
        <v>140</v>
      </c>
      <c r="C52" s="21">
        <v>5</v>
      </c>
      <c r="D52" s="21" t="s">
        <v>139</v>
      </c>
      <c r="E52" s="21" t="s">
        <v>158</v>
      </c>
      <c r="F52" s="21" t="s">
        <v>157</v>
      </c>
      <c r="G52" s="21" t="s">
        <v>143</v>
      </c>
    </row>
    <row r="53" spans="2:7" x14ac:dyDescent="0.35">
      <c r="B53" s="21" t="s">
        <v>140</v>
      </c>
      <c r="C53" s="21">
        <v>5</v>
      </c>
      <c r="D53" s="21" t="s">
        <v>139</v>
      </c>
      <c r="E53" s="21" t="s">
        <v>156</v>
      </c>
      <c r="F53" s="21" t="s">
        <v>155</v>
      </c>
      <c r="G53" s="21" t="s">
        <v>0</v>
      </c>
    </row>
    <row r="54" spans="2:7" x14ac:dyDescent="0.35">
      <c r="B54" s="21" t="s">
        <v>140</v>
      </c>
      <c r="C54" s="21">
        <v>5</v>
      </c>
      <c r="D54" s="21" t="s">
        <v>139</v>
      </c>
      <c r="E54" s="21" t="s">
        <v>154</v>
      </c>
      <c r="F54" s="21" t="s">
        <v>153</v>
      </c>
      <c r="G54" s="21" t="s">
        <v>0</v>
      </c>
    </row>
    <row r="55" spans="2:7" x14ac:dyDescent="0.35">
      <c r="B55" s="21" t="s">
        <v>140</v>
      </c>
      <c r="C55" s="21">
        <v>5</v>
      </c>
      <c r="D55" s="21" t="s">
        <v>139</v>
      </c>
      <c r="E55" s="21" t="s">
        <v>152</v>
      </c>
      <c r="F55" s="21" t="s">
        <v>151</v>
      </c>
      <c r="G55" s="21" t="s">
        <v>143</v>
      </c>
    </row>
    <row r="56" spans="2:7" x14ac:dyDescent="0.35">
      <c r="B56" s="21" t="s">
        <v>140</v>
      </c>
      <c r="C56" s="21">
        <v>5</v>
      </c>
      <c r="D56" s="21" t="s">
        <v>139</v>
      </c>
      <c r="E56" s="21" t="s">
        <v>138</v>
      </c>
      <c r="F56" s="21" t="s">
        <v>137</v>
      </c>
      <c r="G56" s="21" t="s">
        <v>136</v>
      </c>
    </row>
    <row r="57" spans="2:7" ht="36" x14ac:dyDescent="0.35">
      <c r="B57" s="21" t="s">
        <v>140</v>
      </c>
      <c r="C57" s="21">
        <v>5</v>
      </c>
      <c r="D57" s="21" t="s">
        <v>139</v>
      </c>
      <c r="E57" s="21" t="s">
        <v>150</v>
      </c>
      <c r="F57" s="22" t="s">
        <v>149</v>
      </c>
      <c r="G57" s="21" t="s">
        <v>148</v>
      </c>
    </row>
    <row r="58" spans="2:7" x14ac:dyDescent="0.35">
      <c r="B58" s="21" t="s">
        <v>140</v>
      </c>
      <c r="C58" s="21">
        <v>6</v>
      </c>
      <c r="D58" s="21" t="s">
        <v>139</v>
      </c>
      <c r="E58" s="21" t="s">
        <v>147</v>
      </c>
      <c r="F58" s="21" t="s">
        <v>146</v>
      </c>
      <c r="G58" s="21" t="s">
        <v>0</v>
      </c>
    </row>
    <row r="59" spans="2:7" x14ac:dyDescent="0.35">
      <c r="B59" s="21" t="s">
        <v>140</v>
      </c>
      <c r="C59" s="21">
        <v>6</v>
      </c>
      <c r="D59" s="21" t="s">
        <v>139</v>
      </c>
      <c r="E59" s="21" t="s">
        <v>145</v>
      </c>
      <c r="F59" s="21" t="s">
        <v>144</v>
      </c>
      <c r="G59" s="21" t="s">
        <v>143</v>
      </c>
    </row>
    <row r="60" spans="2:7" x14ac:dyDescent="0.35">
      <c r="B60" s="21" t="s">
        <v>140</v>
      </c>
      <c r="C60" s="21">
        <v>6</v>
      </c>
      <c r="D60" s="21" t="s">
        <v>139</v>
      </c>
      <c r="E60" s="21" t="s">
        <v>142</v>
      </c>
      <c r="F60" s="21" t="s">
        <v>141</v>
      </c>
      <c r="G60" s="21" t="s">
        <v>0</v>
      </c>
    </row>
    <row r="61" spans="2:7" x14ac:dyDescent="0.35">
      <c r="B61" s="21" t="s">
        <v>140</v>
      </c>
      <c r="C61" s="21">
        <v>6</v>
      </c>
      <c r="D61" s="21" t="s">
        <v>139</v>
      </c>
      <c r="E61" s="21" t="s">
        <v>138</v>
      </c>
      <c r="F61" s="21" t="s">
        <v>137</v>
      </c>
      <c r="G61" s="21" t="s">
        <v>136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2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3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2026-05-21T12:55:19.1039322+00:00</LastUpdated>
    <CustomXmlPartGuid>{CEEF79B0-5DDD-4409-9A46-96BB0A31B785}</CustomXmlPartGuid>
  </CustomXmlPartIndex>
  <CustomXmlPartIndex>
    <CollectionName>HotkeyCommands</CollectionName>
    <ItemName>ADDRESSES_byDiarmuidEarly.lambda</ItemName>
    <ItemDescription/>
    <ItemType>Text</ItemType>
    <ItemSubtype/>
    <LastUpdated>2026-05-21T12:55:19.1069385+00:00</LastUpdated>
    <CustomXmlPartGuid>{DD4A89E7-18B3-40D7-BFF4-9B6BC22A680D}</CustomXmlPartGuid>
  </CustomXmlPartIndex>
  <CustomXmlPartIndex>
    <CollectionName>HotkeyCommands</CollectionName>
    <ItemName>ARROWSHIFT.lambda</ItemName>
    <ItemDescription/>
    <ItemType>Text</ItemType>
    <ItemSubtype/>
    <LastUpdated>2026-05-21T12:55:19.1100521+00:00</LastUpdated>
    <CustomXmlPartGuid>{FDD2E500-E9C9-4165-9B06-55BDD92CA5DB}</CustomXmlPartGuid>
  </CustomXmlPartIndex>
  <CustomXmlPartIndex>
    <CollectionName>HotkeyCommands</CollectionName>
    <ItemName>BiRow_byPeterBartholomew.lambda</ItemName>
    <ItemDescription/>
    <ItemType>Text</ItemType>
    <ItemSubtype/>
    <LastUpdated>2026-05-21T12:55:19.1120550+00:00</LastUpdated>
    <CustomXmlPartGuid>{06EE22CC-0FD5-46DE-AA41-FFB598F7E2DA}</CustomXmlPartGuid>
  </CustomXmlPartIndex>
  <CustomXmlPartIndex>
    <CollectionName>HotkeyCommands</CollectionName>
    <ItemName>DiffByRow_byJaqKennedy.lambda</ItemName>
    <ItemDescription/>
    <ItemType>Text</ItemType>
    <ItemSubtype/>
    <LastUpdated>2026-05-21T12:55:19.1150625+00:00</LastUpdated>
    <CustomXmlPartGuid>{E41EECC9-D46F-4B16-871E-4E0C32656616}</CustomXmlPartGuid>
  </CustomXmlPartIndex>
  <CustomXmlPartIndex>
    <CollectionName>HotkeyCommands</CollectionName>
    <ItemName>FilterArray_byErikOehm.lambda</ItemName>
    <ItemDescription/>
    <ItemType>Text</ItemType>
    <ItemSubtype/>
    <LastUpdated>2026-05-21T12:55:19.1180453+00:00</LastUpdated>
    <CustomXmlPartGuid>{FAF6E987-9F57-4E56-8C55-BDE91345FCDF}</CustomXmlPartGuid>
  </CustomXmlPartIndex>
  <CustomXmlPartIndex>
    <CollectionName>HotkeyCommands</CollectionName>
    <ItemName>GRIDTOCOL_byLiannaGerrish.lambda</ItemName>
    <ItemDescription/>
    <ItemType>Text</ItemType>
    <ItemSubtype/>
    <LastUpdated>2026-05-21T12:55:19.1280468+00:00</LastUpdated>
    <CustomXmlPartGuid>{60317809-6540-4108-99CF-87A4889CF7CC}</CustomXmlPartGuid>
  </CustomXmlPartIndex>
  <CustomXmlPartIndex>
    <CollectionName>HotkeyCommands</CollectionName>
    <ItemName>IFBLANK.lambda</ItemName>
    <ItemDescription/>
    <ItemType>Text</ItemType>
    <ItemSubtype/>
    <LastUpdated>2026-05-21T12:55:19.1429521+00:00</LastUpdated>
    <CustomXmlPartGuid>{9779BD63-CB3A-4767-9ADA-92778C92AA6D}</CustomXmlPartGuid>
  </CustomXmlPartIndex>
  <CustomXmlPartIndex>
    <CollectionName>HotkeyCommands</CollectionName>
    <ItemName>IsInList_byErikOehm.lambda</ItemName>
    <ItemDescription/>
    <ItemType>Text</ItemType>
    <ItemSubtype/>
    <LastUpdated>2026-05-21T12:55:19.1470549+00:00</LastUpdated>
    <CustomXmlPartGuid>{6CD39FB3-ABF5-43AF-8765-0A6EF14A96EB}</CustomXmlPartGuid>
  </CustomXmlPartIndex>
  <CustomXmlPartIndex>
    <CollectionName>HotkeyCommands</CollectionName>
    <ItemName>LkpRC.lambda</ItemName>
    <ItemDescription/>
    <ItemType>Text</ItemType>
    <ItemSubtype/>
    <LastUpdated>2026-05-21T12:55:19.1509335+00:00</LastUpdated>
    <CustomXmlPartGuid>{CD09E349-3598-4392-88C0-0CC1A97876B0}</CustomXmlPartGuid>
  </CustomXmlPartIndex>
  <CustomXmlPartIndex>
    <CollectionName>HotkeyCommands</CollectionName>
    <ItemName>LkpRCByRow.lambda</ItemName>
    <ItemDescription/>
    <ItemType>Text</ItemType>
    <ItemSubtype/>
    <LastUpdated>2026-05-21T12:55:19.1542434+00:00</LastUpdated>
    <CustomXmlPartGuid>{EB2484B5-5A1F-4801-88AE-D1F557AFCE1C}</CustomXmlPartGuid>
  </CustomXmlPartIndex>
  <CustomXmlPartIndex>
    <CollectionName>HotkeyCommands</CollectionName>
    <ItemName>RightAlignedArray_byJaqKennedy.lambda</ItemName>
    <ItemDescription/>
    <ItemType>Text</ItemType>
    <ItemSubtype/>
    <LastUpdated>2026-05-21T12:55:19.1590842+00:00</LastUpdated>
    <CustomXmlPartGuid>{731F67A8-1427-4929-9E37-972021288BA1}</CustomXmlPartGuid>
  </CustomXmlPartIndex>
  <CustomXmlPartIndex>
    <CollectionName>HotkeyCommands</CollectionName>
    <ItemName>ARROWSHIFT_byEmilieWilliams.lambda</ItemName>
    <ItemDescription/>
    <ItemType>Text</ItemType>
    <ItemSubtype/>
    <LastUpdated>2026-05-21T12:55:19.1613340+00:00</LastUpdated>
    <CustomXmlPartGuid>{6663A6A7-ED34-4917-A795-E43E3A44EC58}</CustomXmlPartGuid>
  </CustomXmlPartIndex>
</writeIndexDataTable>
</file>

<file path=customXml/item5.xml><?xml version="1.0" encoding="utf-8"?>
<Text><![CDATA[
ADDRESSES_byDiarmuidEarly = LAMBDA(rng, ADDRESS(ROW(rng), COLUMN(rng), 4));
]]></Text>
</file>

<file path=customXml/item6.xml><?xml version="1.0" encoding="utf-8"?>
<Text><![CDATA[
]]></Text>
</file>

<file path=customXml/item7.xml><?xml version="1.0" encoding="utf-8"?>
<Text><![CDATA[
/*Returns the cell address of a range*/
ADDRESSES_byDiarmuidEarly = LAMBDA(rng, ADDRESS(ROW(rng), COLUMN(rng), 4));
]]></Text>
</file>

<file path=customXml/item8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9.xml><?xml version="1.0" encoding="utf-8"?>
<Text><![CDATA[
IFBLANK = LAMBDA(value,value_if_blank, IF(ISBLANK(value), value_if_blank, value));
]]></Text>
</file>

<file path=customXml/item10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1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1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13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Apply ARROWSHIFT_byEmilieWilliams Lambda",
      "Description": "Apply ARROWSHIFT_byEmilieWilliams lambda function to active cell, using direction in clipboard.",
      "Type": "ExcelFormulaCommand",
      "LaunchCodes": [
        "ARR"
      ],
      "Formula": "=ARROWSHIFT_byEmilieWilliams([[ActiveCell::Formula]], [[Clipboard]])",
      "Tags": [
        "WrapWith"
      ],
      "FormulaDependencies": [
        "ARROWSHIFT_byEmilieWilliams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Current Settings",
      "Description": "Get current settings for this computer.",
      "Type": "VBAMacroCommand",
      "LaunchCodes": [
        "GS"
      ],
      "MacroExpression": "modMisc.GetCurrentSettings()",
      "Tags": [
        "Settings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Revert Settings",
      "Description": "Reverts settings to those loaded into the Loaded column.",
      "Type": "VBAMacroCommand",
      "LaunchCodes": [
        "RS"
      ],
      "MacroExpression": "modMisc.RevertSettings()",
      "Tags": [
        "Settings"
      ]
    },
    {
      "Name": "Round to 0",
      "Description": "Round to 0.",
      "Type": "ExcelFormulaCommand",
      "LaunchCodes": [
        "r0"
      ],
      "Formula": "=ROUND([[ActiveCell::Formula]],0)",
      "Tags": [
        "Convert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Update Settings",
      "Description": "Updates default settings to those in Default Settings sheet",
      "Type": "VBAMacroCommand",
      "LaunchCodes": [
        "US"
      ],
      "MacroExpression": "modMisc.UpdateSettings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in UNIQUE",
      "Description": "Wrap in Unique",
      "Type": "ExcelFormulaCommand",
      "LaunchCodes": [
        "U"
      ],
      "Formula": "=UNIQU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ARROWSHIFT.lambda",
      "Description": "Definition of ARROWSHIFT lambda function.",
      "Type": "ExcelNameText",
      "ContentType": "ExcelLambda",
      "Location": "ARROWSHIFT"
    },
    {
      "Name": "ARROWSHIFT_byEmilieWilliams.lambda",
      "Description": "Definition of ARROWSHIFT_byEmilieWilliams lambda function.",
      "Type": "ExcelNameText",
      "ContentType": "ExcelLambda",
      "Location": "ARROWSHIFT_byEmilieWilliams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14.xml><?xml version="1.0" encoding="utf-8"?>
<Text><![CDATA[
/*BiRow function as defined by Peter Bartholomew*/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15.xml><?xml version="1.0" encoding="utf-8"?>
<Text><![CDATA[
IsInList_byErikOehm = LAMBDA(array,list,LET(\\LambdaName, "IsInList", MAP(array, LAMBDA(x, OR(list = x)))));
]]></Text>
</file>

<file path=customXml/item16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17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8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9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20.xml>�� 
</file>

<file path=customXml/item21.xml><?xml version="1.0" encoding="utf-8"?>
<Text><![CDATA[
IsInList =     LAMBDA(array,list,LET(
   \\LambdaName, "IsInList",
MAP(array,LAMBDA(x,OR(list=x))))
);
]]></Text>
</file>

<file path=customXml/item22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23.xml><?xml version="1.0" encoding="utf-8"?>
<Text><![CDATA[
]]></Text>
</file>

<file path=customXml/item24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25.xml><?xml version="1.0" encoding="utf-8"?>
<Text><![CDATA[
IFBLANK = LAMBDA(value,value_if_blank, IF(ISBLANK(value), value_if_blank, value));
]]></Text>
</file>

<file path=customXml/item26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27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28.xml><?xml version="1.0" encoding="utf-8"?>
<Text><![CDATA[
ARROWSHIFT = LAMBDA(starting_cell,arrow, LET(
   Arrows, VSTACK("↗", "↓", "↖", "←", "→", "↙", "↘", "↑"),
   Cards, VSTACK("NE", "S", "NW", "W", "E", "SW", "SE", "N"),
   Arrowsx, VSTACK(1, 0, -1, -1, 1, -1, 1, 0),
   Arrowsy, VSTACK(-1, 1, -1, 0, 0, 1, 1, -1),
   CardInd, ISERROR(XMATCH(RIGHT(arrow), Arrows, 0)),
   CardComment, "Multiplier Can Only Be Used On Arrows",
   d, IF(CardInd, arrow, RIGHT(arrow, 1)),
   m, IF((LEN(arrow) = 1) + CardInd, 1, 1 * LEFT(arrow, LEN(arrow) - 1)),
   xmoveunit, XLOOKUP(d, IF(CardInd, Cards, Arrows), Arrowsx),
   ymoveunit, XLOOKUP(d, IF(CardInd, Cards, Arrows), Arrowsy),
   xmove, xmoveunit * m,
   ymove, ymoveunit * m,
   collet, TAKE(TEXTSPLIT(starting_cell, SEQUENCE(, 10, 0)), , 1),
   startcol, COLUMN(INDIRECT(collet & 1)),
   startrow, 1 * RIGHT(starting_cell, LEN(starting_cell) - LEN(collet)),
   newcell, ADDRESS(startrow + ymove, startcol + xmove, 4),
   newcell
));
]]></Text>
</file>

<file path=customXml/itemProps1.xml><?xml version="1.0" encoding="utf-8"?>
<ds:datastoreItem xmlns:ds="http://schemas.openxmlformats.org/officeDocument/2006/customXml" ds:itemID="{60136850-0A80-46DA-A7BC-83E4B88FD331}">
  <ds:schemaRefs/>
</ds:datastoreItem>
</file>

<file path=customXml/itemProps2.xml><?xml version="1.0" encoding="utf-8"?>
<ds:datastoreItem xmlns:ds="http://schemas.openxmlformats.org/officeDocument/2006/customXml" ds:itemID="{FAF6E987-9F57-4E56-8C55-BDE91345FCDF}">
  <ds:schemaRefs/>
</ds:datastoreItem>
</file>

<file path=customXml/itemProps3.xml><?xml version="1.0" encoding="utf-8"?>
<ds:datastoreItem xmlns:ds="http://schemas.openxmlformats.org/officeDocument/2006/customXml" ds:itemID="{EB2484B5-5A1F-4801-88AE-D1F557AFCE1C}">
  <ds:schemaRefs/>
</ds:datastoreItem>
</file>

<file path=customXml/itemProps4.xml><?xml version="1.0" encoding="utf-8"?>
<ds:datastoreItem xmlns:ds="http://schemas.openxmlformats.org/officeDocument/2006/customXml" ds:itemID="{97F6FA7B-3B57-4C63-ADAB-7AA741082D0C}">
  <ds:schemaRefs>
    <ds:schemaRef ds:uri=""/>
    <ds:schemaRef ds:uri="http://www.w3.org/2001/XMLSchema"/>
    <ds:schemaRef ds:uri="urn:schemas-microsoft-com:xml-msdata"/>
  </ds:schemaRefs>
</ds:datastoreItem>
</file>

<file path=customXml/itemProps5.xml><?xml version="1.0" encoding="utf-8"?>
<ds:datastoreItem xmlns:ds="http://schemas.openxmlformats.org/officeDocument/2006/customXml" ds:itemID="{9C3962FE-B426-46FD-8FB0-7535580B8A92}">
  <ds:schemaRefs/>
</ds:datastoreItem>
</file>

<file path=customXml/itemProps6.xml><?xml version="1.0" encoding="utf-8"?>
<ds:datastoreItem xmlns:ds="http://schemas.openxmlformats.org/officeDocument/2006/customXml" ds:itemID="{1A9F9B0F-1F08-4F37-9A0C-B6CBC0761010}">
  <ds:schemaRefs/>
</ds:datastoreItem>
</file>

<file path=customXml/itemProps7.xml><?xml version="1.0" encoding="utf-8"?>
<ds:datastoreItem xmlns:ds="http://schemas.openxmlformats.org/officeDocument/2006/customXml" ds:itemID="{DD4A89E7-18B3-40D7-BFF4-9B6BC22A680D}">
  <ds:schemaRefs/>
</ds:datastoreItem>
</file>

<file path=customXml/itemProps8.xml><?xml version="1.0" encoding="utf-8"?>
<ds:datastoreItem xmlns:ds="http://schemas.openxmlformats.org/officeDocument/2006/customXml" ds:itemID="{CD09E349-3598-4392-88C0-0CC1A97876B0}">
  <ds:schemaRefs/>
</ds:datastoreItem>
</file>

<file path=customXml/itemProps9.xml><?xml version="1.0" encoding="utf-8"?>
<ds:datastoreItem xmlns:ds="http://schemas.openxmlformats.org/officeDocument/2006/customXml" ds:itemID="{B3FD0068-9C97-44E4-93C5-75B53553265A}">
  <ds:schemaRefs/>
</ds:datastoreItem>
</file>

<file path=customXml/itemProps10.xml><?xml version="1.0" encoding="utf-8"?>
<ds:datastoreItem xmlns:ds="http://schemas.openxmlformats.org/officeDocument/2006/customXml" ds:itemID="{E41EECC9-D46F-4B16-871E-4E0C32656616}">
  <ds:schemaRefs/>
</ds:datastoreItem>
</file>

<file path=customXml/itemProps11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12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13.xml><?xml version="1.0" encoding="utf-8"?>
<ds:datastoreItem xmlns:ds="http://schemas.openxmlformats.org/officeDocument/2006/customXml" ds:itemID="{CEEF79B0-5DDD-4409-9A46-96BB0A31B785}">
  <ds:schemaRefs/>
</ds:datastoreItem>
</file>

<file path=customXml/itemProps14.xml><?xml version="1.0" encoding="utf-8"?>
<ds:datastoreItem xmlns:ds="http://schemas.openxmlformats.org/officeDocument/2006/customXml" ds:itemID="{06EE22CC-0FD5-46DE-AA41-FFB598F7E2DA}">
  <ds:schemaRefs/>
</ds:datastoreItem>
</file>

<file path=customXml/itemProps15.xml><?xml version="1.0" encoding="utf-8"?>
<ds:datastoreItem xmlns:ds="http://schemas.openxmlformats.org/officeDocument/2006/customXml" ds:itemID="{6CD39FB3-ABF5-43AF-8765-0A6EF14A96EB}">
  <ds:schemaRefs/>
</ds:datastoreItem>
</file>

<file path=customXml/itemProps16.xml><?xml version="1.0" encoding="utf-8"?>
<ds:datastoreItem xmlns:ds="http://schemas.openxmlformats.org/officeDocument/2006/customXml" ds:itemID="{A83826B5-B686-40BC-844F-041648993120}">
  <ds:schemaRefs/>
</ds:datastoreItem>
</file>

<file path=customXml/itemProps17.xml><?xml version="1.0" encoding="utf-8"?>
<ds:datastoreItem xmlns:ds="http://schemas.openxmlformats.org/officeDocument/2006/customXml" ds:itemID="{77900331-8BCF-4A61-83B4-0F22D244E56E}">
  <ds:schemaRefs/>
</ds:datastoreItem>
</file>

<file path=customXml/itemProps18.xml><?xml version="1.0" encoding="utf-8"?>
<ds:datastoreItem xmlns:ds="http://schemas.openxmlformats.org/officeDocument/2006/customXml" ds:itemID="{60317809-6540-4108-99CF-87A4889CF7CC}">
  <ds:schemaRefs/>
</ds:datastoreItem>
</file>

<file path=customXml/itemProps19.xml><?xml version="1.0" encoding="utf-8"?>
<ds:datastoreItem xmlns:ds="http://schemas.openxmlformats.org/officeDocument/2006/customXml" ds:itemID="{731F67A8-1427-4929-9E37-972021288BA1}">
  <ds:schemaRefs/>
</ds:datastoreItem>
</file>

<file path=customXml/itemProps20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2EC15307-E297-4155-8C64-BD7C819FC834}">
  <ds:schemaRefs/>
</ds:datastoreItem>
</file>

<file path=customXml/itemProps22.xml><?xml version="1.0" encoding="utf-8"?>
<ds:datastoreItem xmlns:ds="http://schemas.openxmlformats.org/officeDocument/2006/customXml" ds:itemID="{4E9FD6E5-37CB-441F-9645-F6D489E32598}">
  <ds:schemaRefs/>
</ds:datastoreItem>
</file>

<file path=customXml/itemProps23.xml><?xml version="1.0" encoding="utf-8"?>
<ds:datastoreItem xmlns:ds="http://schemas.openxmlformats.org/officeDocument/2006/customXml" ds:itemID="{6663A6A7-ED34-4917-A795-E43E3A44EC58}">
  <ds:schemaRefs/>
</ds:datastoreItem>
</file>

<file path=customXml/itemProps24.xml><?xml version="1.0" encoding="utf-8"?>
<ds:datastoreItem xmlns:ds="http://schemas.openxmlformats.org/officeDocument/2006/customXml" ds:itemID="{148CA7B6-1095-4B59-A609-F0DD3983C05B}">
  <ds:schemaRefs/>
</ds:datastoreItem>
</file>

<file path=customXml/itemProps25.xml><?xml version="1.0" encoding="utf-8"?>
<ds:datastoreItem xmlns:ds="http://schemas.openxmlformats.org/officeDocument/2006/customXml" ds:itemID="{9779BD63-CB3A-4767-9ADA-92778C92AA6D}">
  <ds:schemaRefs/>
</ds:datastoreItem>
</file>

<file path=customXml/itemProps26.xml><?xml version="1.0" encoding="utf-8"?>
<ds:datastoreItem xmlns:ds="http://schemas.openxmlformats.org/officeDocument/2006/customXml" ds:itemID="{CC8676E6-6DD4-4D3A-B5C3-FEDBE93B926B}">
  <ds:schemaRefs/>
</ds:datastoreItem>
</file>

<file path=customXml/itemProps27.xml><?xml version="1.0" encoding="utf-8"?>
<ds:datastoreItem xmlns:ds="http://schemas.openxmlformats.org/officeDocument/2006/customXml" ds:itemID="{D2670061-FB7D-41F0-AB90-118C32DC6B5A}">
  <ds:schemaRefs/>
</ds:datastoreItem>
</file>

<file path=customXml/itemProps28.xml><?xml version="1.0" encoding="utf-8"?>
<ds:datastoreItem xmlns:ds="http://schemas.openxmlformats.org/officeDocument/2006/customXml" ds:itemID="{FDD2E500-E9C9-4165-9B06-55BDD92CA5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Decimal_Separator</vt:lpstr>
      <vt:lpstr>LanguageList</vt:lpstr>
      <vt:lpstr>List_Separator</vt:lpstr>
      <vt:lpstr>Loaded_Decimal_Separator</vt:lpstr>
      <vt:lpstr>Loaded_Language</vt:lpstr>
      <vt:lpstr>Loaded_Language_ID</vt:lpstr>
      <vt:lpstr>Loaded_List_Separator</vt:lpstr>
      <vt:lpstr>Loaded_Thousands_Separator</vt:lpstr>
      <vt:lpstr>Loaded_Use_System_Separators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2026-05-21T13:06:37Z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 Edited">
    <vt:lpwstr>25/04/2025 19:08:51 +00:00</vt:lpwstr>
  </property>
  <property fmtid="{D5CDD505-2E9C-101B-9397-08002B2CF9AE}" pid="3" name="OA Tools">
    <vt:lpwstr>{97F6FA7B-3B57-4C63-ADAB-7AA741082D0C}</vt:lpwstr>
  </property>
  <property fmtid="{D5CDD505-2E9C-101B-9397-08002B2CF9AE}" pid="4" name="OA Tools Last Modified">
    <vt:lpwstr>2026-05-21 12:55:19 UTC</vt:lpwstr>
  </property>
</Properties>
</file>