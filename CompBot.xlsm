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6436" documentId="13_ncr:1_{CB529C48-4B7D-49F5-9884-C8EB850A3A07}" xr6:coauthVersionLast="47" xr6:coauthVersionMax="47" xr10:uidLastSave="{38F88FFD-3980-49DC-AD2B-EB5E421ACF78}"/>
  <bookViews>
    <workbookView xWindow="25800" yWindow="0" windowWidth="25800" windowHeight="20880" xr2:uid="{680F85FE-7009-46FF-BF5C-10DA0B68E903}"/>
  </bookViews>
  <sheets>
    <sheet name="Info_Robot Commands" sheetId="20" r:id="rId1"/>
    <sheet name="Setup Settings" sheetId="21" r:id="rId2"/>
    <sheet name="Info_Lambdas" sheetId="1" r:id="rId3"/>
    <sheet name="Lambdas List" sheetId="14" r:id="rId4"/>
    <sheet name="Load Lambdas" sheetId="15" r:id="rId5"/>
    <sheet name="Default Settings" sheetId="18" r:id="rId6"/>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'Default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'Default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'Default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'Default Settings'!$E$12</definedName>
    <definedName name="Loaded_Language">'Default Settings'!$E$15</definedName>
    <definedName name="Loaded_Language_ID">'Default Settings'!$E$16</definedName>
    <definedName name="Loaded_List_Separator">'Default Settings'!$E$14</definedName>
    <definedName name="Loaded_Thousands_Separator">'Default Settings'!$E$13</definedName>
    <definedName name="Loaded_Use_System_Separators">'Default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'Default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'Default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B8" i="14" a="1"/>
  <c r="B6" i="14" s="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<sst xmlns="http://schemas.openxmlformats.org/spreadsheetml/2006/main" count="1084" uniqueCount="829">
  <si>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</si>
  <si>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</si>
  <si>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</si>
  <si>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</si>
  <si>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</si>
  <si>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</si>
  <si>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</si>
  <si>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</si>
  <si>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</si>
  <si>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</si>
  <si>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</si>
  <si>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</si>
  <si>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</si>
  <si>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</si>
  <si>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Load Lambdas</t>
  </si>
  <si>
    <t>Import Lambdas From</t>
  </si>
  <si>
    <t>Opens a browser to navigate to a workbook with the lambdas to load</t>
  </si>
  <si>
    <t>N/A</t>
  </si>
  <si>
    <t>Launch Code</t>
  </si>
  <si>
    <t>Import your lambdas from your own lambda library by clicking this icon or running the "Import Lambdas From" command</t>
  </si>
  <si>
    <t>Full Lambda List</t>
  </si>
  <si>
    <t xml:space="preserve"> </t>
  </si>
  <si>
    <t>Backup Sheets in Workbook</t>
  </si>
  <si>
    <t>Create Level Sheets</t>
  </si>
  <si>
    <t>Diarmuid Early</t>
  </si>
  <si>
    <t>Lianna Gerrish</t>
  </si>
  <si>
    <t>Yes</t>
  </si>
  <si>
    <t>Default Settings Header</t>
  </si>
  <si>
    <t>Decimal Separator</t>
  </si>
  <si>
    <t>Thousands Separator</t>
  </si>
  <si>
    <t>Use System Separators</t>
  </si>
  <si>
    <t>List Separator</t>
  </si>
  <si>
    <t>.</t>
  </si>
  <si>
    <t>,</t>
  </si>
  <si>
    <t>Language</t>
  </si>
  <si>
    <t>Afrikaans</t>
  </si>
  <si>
    <t>Example</t>
  </si>
  <si>
    <t>English (UK/US)</t>
  </si>
  <si>
    <t>Current list of CompBot Commands</t>
  </si>
  <si>
    <t>Create Data Table</t>
  </si>
  <si>
    <t>Actual Lambdas List (UDF)</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</si>
  <si>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</si>
  <si>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</si>
  <si>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</si>
  <si>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</si>
  <si>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</si>
  <si>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</si>
  <si>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</si>
  <si>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</si>
  <si>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</si>
  <si>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</si>
  <si>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</si>
  <si>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</si>
  <si>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</si>
  <si>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</si>
  <si>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</si>
  <si>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</si>
  <si>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</si>
  <si>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</si>
  <si>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</si>
  <si>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</si>
  <si>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</si>
  <si>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</si>
  <si>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</si>
  <si>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</si>
  <si>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</si>
  <si>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</si>
  <si>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</si>
  <si>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</si>
  <si>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</si>
  <si>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</si>
  <si>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</si>
  <si>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</si>
  <si>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</si>
  <si>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</si>
  <si>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</si>
  <si>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</si>
  <si>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</si>
  <si>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</si>
  <si>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</si>
  <si>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</si>
  <si>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</si>
  <si>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</si>
  <si>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</si>
  <si>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</si>
  <si>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</si>
  <si>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</si>
  <si>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</si>
  <si>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</si>
  <si>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</si>
  <si>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</si>
  <si>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</si>
  <si>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</si>
  <si>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</si>
  <si>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</si>
  <si>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</si>
  <si>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</si>
  <si>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</si>
  <si>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</si>
  <si>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</si>
  <si>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</si>
  <si>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</si>
  <si>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</si>
  <si>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</si>
  <si>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</si>
  <si>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</si>
  <si>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</si>
  <si>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</si>
  <si>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</si>
  <si>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</si>
  <si>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</si>
  <si>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</si>
  <si>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</si>
  <si>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</si>
  <si>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</si>
  <si>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</si>
  <si>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</si>
  <si>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</si>
  <si>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</si>
  <si>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</si>
  <si>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</si>
  <si>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</si>
  <si>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</si>
  <si>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</si>
  <si>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</si>
  <si>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</si>
  <si>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</si>
  <si>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</si>
  <si>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</si>
  <si>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</si>
  <si>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</si>
  <si>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</si>
  <si>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</si>
  <si>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</si>
  <si>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</si>
  <si>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</si>
  <si>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</si>
  <si>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</si>
  <si>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</si>
  <si>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</si>
  <si>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</si>
  <si>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</si>
  <si>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</si>
  <si>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</si>
  <si>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</si>
  <si>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</si>
  <si>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</si>
  <si>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</si>
  <si>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</si>
  <si>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</si>
  <si>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</si>
  <si>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</si>
  <si>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</si>
  <si>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</si>
  <si>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</si>
  <si>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</si>
  <si>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</si>
  <si>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</si>
  <si>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</si>
  <si>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</si>
  <si>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</si>
  <si>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</si>
  <si>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</si>
  <si>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</si>
  <si>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</si>
  <si>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</si>
  <si>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</si>
  <si>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</si>
  <si>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</si>
  <si>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</si>
  <si>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</si>
  <si>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</si>
  <si>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</si>
  <si>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</si>
  <si>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</si>
  <si>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</si>
  <si>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</si>
  <si>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</si>
  <si>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</si>
  <si>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</si>
  <si>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</si>
  <si>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</si>
  <si>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</si>
  <si>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</si>
  <si>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</si>
  <si>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</si>
  <si>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</si>
  <si>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</si>
  <si>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</si>
  <si>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</si>
  <si>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</si>
  <si>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</si>
  <si>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</si>
  <si>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</si>
  <si>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</si>
  <si>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</si>
  <si>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</si>
  <si>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</si>
  <si>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</si>
  <si>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</si>
  <si>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</si>
  <si>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</si>
  <si>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</si>
  <si>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</si>
  <si>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</si>
  <si>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</si>
  <si>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</si>
  <si>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</si>
  <si>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</si>
  <si>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</si>
  <si>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</si>
  <si>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</si>
  <si>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</si>
  <si>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</si>
  <si>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</si>
  <si>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</si>
  <si>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</si>
  <si>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</si>
  <si>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</si>
  <si>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</si>
  <si>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</si>
  <si>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</si>
  <si>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</si>
  <si>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</si>
  <si>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</si>
  <si>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</si>
  <si>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</si>
  <si>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</si>
  <si>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</si>
  <si>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</si>
  <si>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</si>
  <si>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</si>
  <si>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</si>
  <si>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</si>
  <si>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</si>
  <si>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</si>
  <si>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</si>
  <si>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</si>
  <si>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</si>
  <si>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</si>
  <si>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</si>
  <si>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</si>
  <si>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</si>
  <si>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</si>
  <si>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</si>
  <si>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</si>
  <si>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</si>
  <si>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</si>
  <si>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</si>
  <si>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</si>
  <si>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</si>
  <si>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</si>
  <si>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</si>
  <si>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</si>
  <si>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</si>
  <si>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</si>
  <si>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</si>
  <si>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</si>
  <si>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</si>
  <si>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</si>
  <si>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</si>
  <si>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</si>
  <si>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</si>
  <si>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</si>
  <si>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</si>
  <si>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</si>
  <si>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</si>
  <si>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</si>
  <si>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</si>
  <si>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</si>
  <si>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</si>
  <si>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</si>
  <si>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</si>
  <si>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</si>
  <si>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</si>
  <si>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</si>
  <si>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</si>
  <si>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</si>
  <si>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</si>
  <si>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</si>
  <si>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</si>
  <si>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</si>
  <si>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</si>
  <si>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</si>
  <si>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</si>
  <si>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</si>
  <si>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</si>
  <si>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</si>
  <si>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</si>
  <si>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</si>
  <si>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</si>
  <si>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</si>
  <si>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</si>
  <si>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</si>
  <si>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</si>
  <si>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</si>
  <si>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</si>
  <si>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</si>
  <si>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</si>
  <si>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</si>
  <si>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</si>
  <si>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</si>
  <si>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</si>
  <si>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</si>
  <si>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</si>
  <si>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</si>
  <si>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</si>
  <si>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</si>
  <si>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</si>
  <si>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</si>
  <si>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</si>
  <si>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</si>
  <si>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</si>
  <si>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</si>
  <si>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</si>
  <si>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</si>
  <si>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</si>
  <si>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</si>
  <si>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</si>
  <si>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</si>
  <si>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</si>
  <si>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</si>
  <si>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</si>
  <si>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</si>
  <si>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</si>
  <si>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</si>
  <si>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</si>
  <si>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</si>
  <si>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</si>
  <si>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</si>
  <si>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</si>
  <si>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</si>
  <si>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</si>
  <si>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</si>
  <si>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</si>
  <si>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</si>
  <si>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</si>
  <si>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</si>
  <si>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</si>
  <si>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</si>
  <si>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</si>
  <si>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</si>
  <si>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</si>
  <si>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</si>
  <si>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</si>
  <si>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</si>
  <si>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</si>
  <si>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</si>
  <si>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</si>
  <si>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</si>
  <si>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</si>
  <si>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</si>
  <si>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</si>
  <si>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</si>
  <si>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</si>
  <si>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</si>
  <si>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</si>
  <si>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</si>
  <si>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</si>
  <si>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</si>
  <si>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</si>
  <si>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</si>
  <si>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</si>
  <si>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</si>
  <si>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</si>
  <si>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</si>
  <si>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</si>
  <si>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</si>
  <si>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</si>
  <si>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</si>
  <si>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</si>
  <si>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</si>
  <si>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</si>
  <si>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</si>
  <si>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</si>
  <si>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</si>
  <si>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</si>
  <si>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</si>
  <si>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</si>
  <si>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</si>
  <si>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</si>
  <si>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</si>
  <si>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</si>
  <si>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</si>
  <si>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</si>
  <si>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</si>
  <si>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</si>
  <si>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</si>
  <si>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</si>
  <si>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</si>
  <si>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</si>
  <si>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</si>
  <si>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</si>
  <si>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</si>
  <si>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</si>
  <si>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</si>
  <si>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</si>
  <si>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</si>
  <si>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</si>
  <si>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</si>
  <si>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</si>
  <si>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</si>
  <si>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</si>
  <si>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</si>
  <si>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</si>
  <si>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</si>
  <si>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</si>
  <si>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</si>
  <si>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</si>
  <si>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</si>
  <si>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</si>
  <si>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</si>
  <si>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</si>
  <si>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</si>
  <si>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</si>
  <si>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</si>
  <si>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</si>
  <si>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</si>
  <si>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</si>
  <si>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</si>
  <si>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</si>
  <si>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</si>
  <si>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</si>
  <si>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</si>
  <si>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</si>
  <si>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</si>
  <si>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</si>
  <si>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</si>
  <si>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</si>
  <si>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</si>
  <si>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</si>
  <si>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</si>
  <si>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</si>
  <si>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</si>
  <si>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</si>
  <si>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</si>
  <si>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</si>
  <si>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</si>
  <si>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</si>
  <si>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</si>
  <si>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</si>
  <si>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</si>
  <si>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</si>
  <si>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</si>
  <si>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</si>
  <si>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</si>
  <si>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</si>
  <si>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</si>
  <si>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</si>
  <si>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</si>
  <si>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</si>
  <si>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</si>
  <si>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</si>
  <si>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</si>
  <si>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</si>
  <si>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</si>
  <si>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</si>
  <si>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</si>
  <si>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</si>
  <si>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</si>
  <si>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</si>
  <si>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Creates a case inputs sheet with the inputs for the current case</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</si>
  <si>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</si>
  <si>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</si>
  <si>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</si>
  <si>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</si>
  <si>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</si>
  <si>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</si>
  <si>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</si>
  <si>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</si>
  <si>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</si>
  <si>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</si>
  <si>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</si>
  <si>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</si>
  <si>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</si>
  <si>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</si>
  <si>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</si>
  <si>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</si>
  <si>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</si>
  <si>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</si>
  <si>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</si>
  <si>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</si>
  <si>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</si>
  <si>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</si>
  <si>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</si>
  <si>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</si>
  <si>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</si>
  <si>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</si>
  <si>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</si>
  <si>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</si>
  <si>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</si>
  <si>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</si>
  <si>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</si>
  <si>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</si>
  <si>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</si>
  <si>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</si>
  <si>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</si>
  <si>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</si>
  <si>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</si>
  <si>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</si>
  <si>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</si>
  <si>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</si>
  <si>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</si>
  <si>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</si>
  <si>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</si>
  <si>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</si>
  <si>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</si>
  <si>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</si>
  <si>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</si>
  <si>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</si>
  <si>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</si>
  <si>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</si>
  <si>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</si>
  <si>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</si>
  <si>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</si>
  <si>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</si>
  <si>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</si>
  <si>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</si>
  <si>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</si>
  <si>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</si>
  <si>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</si>
  <si>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</si>
  <si>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</si>
  <si>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</si>
  <si>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</si>
  <si>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</si>
  <si>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</si>
  <si>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</si>
  <si>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</si>
  <si>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</si>
  <si>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RDT</t>
  </si>
  <si>
    <t>Save Answers To Left</t>
  </si>
  <si>
    <t>Saves references to the selected cells in the green answer cells to the left on the same row.</t>
  </si>
  <si>
    <t>Enable editing and save copy of file with suffix based on active cell (otherwise Working)</t>
  </si>
  <si>
    <t>Save From Example</t>
  </si>
  <si>
    <t>Solve once on the example row, then apply it to every question in the level and save the answers</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</si>
  <si>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</si>
  <si>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</si>
  <si>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</si>
  <si>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</si>
  <si>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</si>
  <si>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</si>
  <si>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</si>
  <si>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</si>
  <si>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</si>
  <si>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</si>
  <si>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</si>
  <si>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</si>
  <si>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</si>
  <si>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</si>
  <si>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</si>
  <si>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</si>
  <si>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</si>
  <si>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</si>
  <si>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</si>
  <si>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</si>
  <si>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Updates default settings to those in Default Settings sheet</t>
  </si>
  <si>
    <t>Wrap Flat List Into Grid</t>
  </si>
  <si>
    <t>WFG</t>
  </si>
  <si>
    <t>con</t>
  </si>
  <si>
    <t>Wraps the active formula in DROP(...,1) to remove a header row from a spilled array</t>
  </si>
  <si>
    <t>char</t>
  </si>
  <si>
    <t>code</t>
  </si>
  <si>
    <t>tbse</t>
  </si>
  <si>
    <t>refresh this UDF to see current list (Ctrl+Alt+F9)</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</si>
  <si>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</si>
  <si>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</si>
  <si>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</si>
  <si>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</si>
  <si>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</si>
  <si>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</si>
  <si>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</si>
  <si>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</si>
  <si>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</si>
  <si>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</si>
  <si>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</si>
  <si>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</si>
  <si>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</si>
  <si>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</si>
  <si>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</si>
  <si>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</si>
  <si>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</si>
  <si>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</si>
  <si>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</si>
  <si>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</si>
  <si>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</si>
  <si>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</si>
  <si>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</si>
  <si>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</si>
  <si>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</si>
  <si>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</si>
  <si>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</si>
  <si>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</si>
  <si>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</si>
  <si>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</si>
  <si>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</si>
  <si>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</si>
  <si>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</si>
  <si>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</si>
  <si>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</si>
  <si>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</si>
  <si>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</si>
  <si>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</si>
  <si>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</si>
  <si>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</si>
  <si>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</si>
  <si>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</si>
  <si>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</si>
  <si>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</si>
  <si>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</si>
  <si>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</si>
  <si>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</si>
  <si>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</si>
  <si>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</si>
  <si>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</si>
  <si>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</si>
  <si>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</si>
  <si>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</si>
  <si>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</si>
  <si>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</si>
  <si>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</si>
  <si>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</si>
  <si>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</si>
  <si>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</si>
  <si>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</si>
  <si>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</si>
  <si>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</si>
  <si>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</si>
  <si>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</si>
  <si>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</si>
  <si>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</si>
  <si>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</si>
  <si>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</si>
  <si>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</si>
  <si>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</si>
  <si>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</si>
  <si>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</si>
  <si>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</si>
  <si>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</si>
  <si>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</si>
  <si>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</si>
  <si>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</si>
  <si>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</si>
  <si>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</si>
  <si>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</si>
  <si>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</si>
  <si>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</si>
  <si>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</si>
  <si>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</si>
  <si>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</si>
  <si>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</si>
  <si>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</si>
  <si>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</si>
  <si>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</si>
  <si>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</si>
  <si>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</si>
  <si>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</si>
  <si>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</si>
  <si>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</si>
  <si>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</si>
  <si>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</si>
  <si>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</si>
  <si>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</si>
  <si>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</si>
  <si>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</si>
  <si>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</si>
  <si>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</si>
  <si>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</si>
  <si>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Loads YOUR own lambda library (set once with SLL) into the active workbook</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</si>
  <si>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</si>
  <si>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</si>
  <si>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</si>
  <si>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</si>
  <si>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</si>
  <si>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</si>
  <si>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</si>
  <si>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</si>
  <si>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</si>
  <si>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</si>
  <si>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</si>
  <si>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LDT, LG</t>
  </si>
  <si>
    <t>Limited collection included with CompBot for demonstration. To add lambdas to your workbook, view the Load Lambdas sheet or run "Import Lambdas From CompBot" (ILC) or "Import Lambda Library" (ILL)</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</si>
  <si>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</si>
  <si>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</si>
  <si>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</si>
  <si>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</si>
  <si>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</si>
  <si>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</si>
  <si>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</si>
  <si>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</si>
  <si>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</si>
  <si>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</si>
  <si>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</si>
  <si>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</si>
  <si>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</si>
  <si>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</si>
  <si>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</si>
  <si>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</si>
  <si>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</si>
  <si>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</si>
  <si>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</si>
  <si>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</si>
  <si>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</si>
  <si>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</si>
  <si>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</si>
  <si>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</si>
  <si>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</si>
  <si>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</si>
  <si>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</si>
  <si>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</si>
  <si>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</si>
  <si>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</si>
  <si>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</si>
  <si>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</si>
  <si>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</si>
  <si>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</si>
  <si>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</si>
  <si>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</si>
  <si>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</si>
  <si>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</si>
  <si>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</si>
  <si>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</si>
  <si>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</si>
  <si>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</si>
  <si>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</si>
  <si>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ANS</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</si>
  <si>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</si>
  <si>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</si>
  <si>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</si>
  <si>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</si>
  <si>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</si>
  <si>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</si>
  <si>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</si>
  <si>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</si>
  <si>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Adds a SIDE column to the level's data table, pointed at the active cell, so RDT also records a second value per game for a bonus</t>
  </si>
  <si>
    <t>LSC</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</si>
  <si>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</si>
  <si>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</si>
  <si>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</si>
  <si>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</si>
  <si>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</si>
  <si>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</si>
  <si>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</si>
  <si>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</si>
  <si>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</si>
  <si>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</si>
  <si>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</si>
  <si>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</si>
  <si>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</si>
  <si>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</si>
  <si>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</si>
  <si>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</si>
  <si>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</si>
  <si>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On a new or shared machine (the arena)</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</si>
  <si>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</si>
  <si>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</si>
  <si>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</si>
  <si>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</si>
  <si>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</si>
  <si>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</si>
  <si>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</si>
  <si>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</si>
  <si>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</si>
  <si>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</si>
  <si>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</si>
  <si>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</si>
  <si>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</si>
  <si>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</si>
  <si>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</si>
  <si>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</si>
  <si>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</si>
  <si>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</si>
  <si>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</si>
  <si>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</si>
  <si>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</si>
  <si>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</si>
  <si>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</si>
  <si>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</si>
  <si>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</si>
  <si>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</si>
  <si>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</si>
  <si>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</si>
  <si>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</si>
  <si>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</si>
  <si>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</si>
  <si>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</si>
  <si>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</si>
  <si>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</si>
  <si>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</si>
  <si>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</si>
  <si>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</si>
  <si>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</si>
  <si>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</si>
  <si>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</si>
  <si>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</si>
  <si>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</si>
  <si>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</si>
  <si>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</si>
  <si>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</si>
  <si>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</si>
  <si>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</si>
  <si>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</si>
  <si>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</si>
  <si>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</si>
  <si>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</si>
  <si>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</si>
  <si>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</si>
  <si>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</si>
  <si>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</si>
  <si>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</si>
  <si>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</si>
  <si>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</si>
  <si>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</si>
  <si>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</si>
  <si>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</si>
  <si>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</si>
  <si>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</si>
  <si>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</si>
  <si>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</si>
  <si>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</si>
  <si>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</si>
  <si>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</si>
  <si>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</si>
  <si>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</si>
  <si>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</si>
  <si>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</si>
  <si>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</si>
  <si>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none set</t>
  </si>
  <si>
    <t>Run Set Lambda Library (SLL) to choose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</si>
</sst>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3"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1"/>
      <color theme="1"/>
      <name val="Verdana"/>
      <family val="2"/>
    </font>
    <font>
      <b/>
      <sz val="20"/>
      <color theme="0"/>
      <name val="Verdana"/>
      <family val="2"/>
    </font>
    <font>
      <sz val="14"/>
      <color theme="0"/>
      <name val="Verdana"/>
      <family val="2"/>
    </font>
  </fonts>
  <fills count="6">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28">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0" fillId="0" borderId="0" xfId="0" quotePrefix="1"/>
    <xf numFmtId="0" fontId="0" fillId="0" borderId="0" xfId="0" applyAlignment="1">
      <alignment wrapText="1"/>
    </xf>
    <xf numFmtId="3" fontId="10" fillId="0" borderId="0" xfId="0" applyNumberFormat="1" applyFont="1"/>
    <xf numFmtId="0" fontId="11" fillId="0" borderId="0" xfId="0" applyFont="1"/>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2" fillId="3" borderId="3" xfId="7" applyFont="1" applyBorder="1"/>
    <xf numFmtId="0" fontId="12"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2"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4">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dxf>
    <dxf>
      <font>
        <strike val="0"/>
        <outline val="0"/>
        <shadow val="0"/>
        <u val="none"/>
        <vertAlign val="baseline"/>
        <name val="Verdana"/>
        <family val="2"/>
        <scheme val="none"/>
      </font>
      <alignment horizontal="general" vertical="bottom" textRotation="0" wrapText="1" indent="0" justifyLastLine="0" shrinkToFit="0" readingOrder="0"/>
    </dxf>
    <dxf>
      <font>
        <strike val="0"/>
        <outline val="0"/>
        <shadow val="0"/>
        <u val="none"/>
        <vertAlign val="baseline"/>
        <name val="Verdana"/>
        <family val="2"/>
        <scheme val="none"/>
      </font>
    </dxf>
    <dxf>
      <font>
        <strike val="0"/>
        <outline val="0"/>
        <shadow val="0"/>
        <u val="none"/>
        <vertAlign val="baseline"/>
        <name val="Verdana"/>
        <family val="2"/>
        <scheme val="none"/>
      </font>
    </dxf>
    <dxf>
      <font>
        <strike val="0"/>
        <outline val="0"/>
        <shadow val="0"/>
        <u val="none"/>
        <vertAlign val="baseline"/>
        <name val="Verdana"/>
        <family val="2"/>
        <scheme val="none"/>
      </font>
    </dxf>
    <dxf>
      <font>
        <strike val="0"/>
        <outline val="0"/>
        <shadow val="0"/>
        <u val="none"/>
        <vertAlign val="baseline"/>
        <name val="Verdana"/>
        <family val="2"/>
        <scheme val="none"/>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9" Type="http://schemas.openxmlformats.org/officeDocument/2006/relationships/customXml" Target="../customXml/item26.xml"/><Relationship Id="rId21" Type="http://schemas.openxmlformats.org/officeDocument/2006/relationships/customXml" Target="../customXml/item8.xml"/><Relationship Id="rId34" Type="http://schemas.openxmlformats.org/officeDocument/2006/relationships/customXml" Target="../customXml/item21.xml"/><Relationship Id="rId42" Type="http://schemas.openxmlformats.org/officeDocument/2006/relationships/customXml" Target="../customXml/item29.xml"/><Relationship Id="rId47" Type="http://schemas.openxmlformats.org/officeDocument/2006/relationships/customXml" Target="../customXml/item34.xml"/><Relationship Id="rId50" Type="http://schemas.openxmlformats.org/officeDocument/2006/relationships/customXml" Target="../customXml/item37.xml"/><Relationship Id="rId55" Type="http://schemas.openxmlformats.org/officeDocument/2006/relationships/customXml" Target="../customXml/item42.xml"/><Relationship Id="rId63" Type="http://schemas.microsoft.com/office/2006/relationships/vbaProject" Target="vbaProject.bin"/><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3.xml"/><Relationship Id="rId29" Type="http://schemas.openxmlformats.org/officeDocument/2006/relationships/customXml" Target="../customXml/item16.xml"/><Relationship Id="rId11" Type="http://schemas.microsoft.com/office/2017/10/relationships/person" Target="persons/person.xml"/><Relationship Id="rId24" Type="http://schemas.openxmlformats.org/officeDocument/2006/relationships/customXml" Target="../customXml/item11.xml"/><Relationship Id="rId32" Type="http://schemas.openxmlformats.org/officeDocument/2006/relationships/customXml" Target="../customXml/item19.xml"/><Relationship Id="rId37" Type="http://schemas.openxmlformats.org/officeDocument/2006/relationships/customXml" Target="../customXml/item24.xml"/><Relationship Id="rId40" Type="http://schemas.openxmlformats.org/officeDocument/2006/relationships/customXml" Target="../customXml/item27.xml"/><Relationship Id="rId45" Type="http://schemas.openxmlformats.org/officeDocument/2006/relationships/customXml" Target="../customXml/item32.xml"/><Relationship Id="rId53" Type="http://schemas.openxmlformats.org/officeDocument/2006/relationships/customXml" Target="../customXml/item40.xml"/><Relationship Id="rId58" Type="http://schemas.openxmlformats.org/officeDocument/2006/relationships/customXml" Target="../customXml/item45.xml"/><Relationship Id="rId5" Type="http://schemas.openxmlformats.org/officeDocument/2006/relationships/worksheet" Target="worksheets/sheet5.xml"/><Relationship Id="rId61" Type="http://schemas.openxmlformats.org/officeDocument/2006/relationships/customXml" Target="../customXml/item48.xml"/><Relationship Id="rId19" Type="http://schemas.openxmlformats.org/officeDocument/2006/relationships/customXml" Target="../customXml/item6.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35" Type="http://schemas.openxmlformats.org/officeDocument/2006/relationships/customXml" Target="../customXml/item22.xml"/><Relationship Id="rId43" Type="http://schemas.openxmlformats.org/officeDocument/2006/relationships/customXml" Target="../customXml/item30.xml"/><Relationship Id="rId48" Type="http://schemas.openxmlformats.org/officeDocument/2006/relationships/customXml" Target="../customXml/item35.xml"/><Relationship Id="rId56" Type="http://schemas.openxmlformats.org/officeDocument/2006/relationships/customXml" Target="../customXml/item43.xml"/><Relationship Id="rId8" Type="http://schemas.openxmlformats.org/officeDocument/2006/relationships/styles" Target="styles.xml"/><Relationship Id="rId51" Type="http://schemas.openxmlformats.org/officeDocument/2006/relationships/customXml" Target="../customXml/item38.xml"/><Relationship Id="rId3" Type="http://schemas.openxmlformats.org/officeDocument/2006/relationships/worksheet" Target="worksheets/sheet3.xml"/><Relationship Id="rId12" Type="http://schemas.microsoft.com/office/2022/11/relationships/FeaturePropertyBag" Target="featurePropertyBag/featurePropertyBag.xml"/><Relationship Id="rId17" Type="http://schemas.openxmlformats.org/officeDocument/2006/relationships/customXml" Target="../customXml/item4.xml"/><Relationship Id="rId25" Type="http://schemas.openxmlformats.org/officeDocument/2006/relationships/customXml" Target="../customXml/item12.xml"/><Relationship Id="rId33" Type="http://schemas.openxmlformats.org/officeDocument/2006/relationships/customXml" Target="../customXml/item20.xml"/><Relationship Id="rId38" Type="http://schemas.openxmlformats.org/officeDocument/2006/relationships/customXml" Target="../customXml/item25.xml"/><Relationship Id="rId46" Type="http://schemas.openxmlformats.org/officeDocument/2006/relationships/customXml" Target="../customXml/item33.xml"/><Relationship Id="rId59" Type="http://schemas.openxmlformats.org/officeDocument/2006/relationships/customXml" Target="../customXml/item46.xml"/><Relationship Id="rId20" Type="http://schemas.openxmlformats.org/officeDocument/2006/relationships/customXml" Target="../customXml/item7.xml"/><Relationship Id="rId41" Type="http://schemas.openxmlformats.org/officeDocument/2006/relationships/customXml" Target="../customXml/item28.xml"/><Relationship Id="rId54" Type="http://schemas.openxmlformats.org/officeDocument/2006/relationships/customXml" Target="../customXml/item41.xml"/><Relationship Id="rId62"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36" Type="http://schemas.openxmlformats.org/officeDocument/2006/relationships/customXml" Target="../customXml/item23.xml"/><Relationship Id="rId49" Type="http://schemas.openxmlformats.org/officeDocument/2006/relationships/customXml" Target="../customXml/item36.xml"/><Relationship Id="rId57" Type="http://schemas.openxmlformats.org/officeDocument/2006/relationships/customXml" Target="../customXml/item44.xml"/><Relationship Id="rId10" Type="http://schemas.openxmlformats.org/officeDocument/2006/relationships/sheetMetadata" Target="metadata.xml"/><Relationship Id="rId31" Type="http://schemas.openxmlformats.org/officeDocument/2006/relationships/customXml" Target="../customXml/item18.xml"/><Relationship Id="rId44" Type="http://schemas.openxmlformats.org/officeDocument/2006/relationships/customXml" Target="../customXml/item31.xml"/><Relationship Id="rId52" Type="http://schemas.openxmlformats.org/officeDocument/2006/relationships/customXml" Target="../customXml/item39.xml"/><Relationship Id="rId60" Type="http://schemas.openxmlformats.org/officeDocument/2006/relationships/customXml" Target="../customXml/item47.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1590675</xdr:colOff>
      <xdr:row>5</xdr:row>
      <xdr:rowOff>152400</xdr:rowOff>
    </xdr:from>
    <xdr:to>
      <xdr:col>3</xdr:col>
      <xdr:colOff>2505075</xdr:colOff>
      <xdr:row>9</xdr:row>
      <xdr:rowOff>66675</xdr:rowOff>
    </xdr:to>
    <xdr:pic macro="[0]!ImportLambdasFrom">
      <xdr:nvPicPr>
        <xdr:cNvPr id="3" name="Graphic 2" descr="Folder Search with solid fill">
          <a:extLst>
            <a:ext uri="{FF2B5EF4-FFF2-40B4-BE49-F238E27FC236}">
              <a16:creationId xmlns:a16="http://schemas.microsoft.com/office/drawing/2014/main" id="{A149C987-E87F-44C3-EFAB-13184C5E7E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219825" y="14097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38100</xdr:rowOff>
    </xdr:from>
    <xdr:to>
      <xdr:col>4</xdr:col>
      <xdr:colOff>1417321</xdr:colOff>
      <xdr:row>21</xdr:row>
      <xdr:rowOff>84124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5"/>
          <a:ext cx="1988820" cy="1284274"/>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38099</xdr:rowOff>
    </xdr:from>
    <xdr:to>
      <xdr:col>2</xdr:col>
      <xdr:colOff>1699260</xdr:colOff>
      <xdr:row>27</xdr:row>
      <xdr:rowOff>33009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4"/>
          <a:ext cx="1996440" cy="3214360"/>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31</xdr:row>
      <xdr:rowOff>68688</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3745338"/>
          <a:chOff x="4809884" y="2156460"/>
          <a:chExt cx="2110740" cy="3802488"/>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40"/>
            <a:ext cx="2110740" cy="1219308"/>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09" totalsRowShown="0" headerRowDxfId="23" dataDxfId="22">
  <autoFilter ref="B8:F109" xr:uid="{0094C780-BB06-4D44-A3B5-11A203AC5962}"/>
  <sortState xmlns:xlrd2="http://schemas.microsoft.com/office/spreadsheetml/2017/richdata2" ref="B9:F108">
    <sortCondition ref="B9:B108"/>
  </sortState>
  <tableColumns count="5">
    <tableColumn id="1" xr3:uid="{E0991380-7C68-4019-8397-222B470C1582}" name="Name" dataDxfId="21"/>
    <tableColumn id="2" xr3:uid="{1D428C75-77DF-45DA-912B-098A1ABAC5AD}" name="Creator" dataDxfId="20"/>
    <tableColumn id="3" xr3:uid="{A6B3CCED-8990-4FBA-ACFB-9A1799381525}" name="Description" dataDxfId="19"/>
    <tableColumn id="4" xr3:uid="{476E0F6A-DE40-44D5-A6AE-77D5D1C4F9C6}" name="Parameters" dataDxfId="18"/>
    <tableColumn id="5" xr3:uid="{1906B3F5-C5BE-47F5-9821-1B5225407536}" name="Launch Code" dataDxfId="17"/>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6" dataDxfId="15">
  <autoFilter ref="B8:F83" xr:uid="{A558CB64-4555-4E76-9388-CC0298969050}"/>
  <tableColumns count="5">
    <tableColumn id="1" xr3:uid="{C7B661F8-E847-4A13-A5CD-4111AD54A043}" name="Name" dataDxfId="14"/>
    <tableColumn id="2" xr3:uid="{402102D7-5F04-4A93-A427-CDD8E9743522}" name="Creator" dataDxfId="13"/>
    <tableColumn id="3" xr3:uid="{29C5C72F-191A-47D7-A0A3-65C070A08FBB}" name="Description" dataDxfId="12"/>
    <tableColumn id="4" xr3:uid="{2F739A7B-0273-48EB-80E8-8D0D97BADC77}" name="Parameters" dataDxfId="11"/>
    <tableColumn id="5" xr3:uid="{AA688AE3-B095-461C-B6E9-13454B67819F}" name="Array friendly" dataDxfId="10"/>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62841AF-C078-46E5-98E5-0DBC8B538EEB}" name="ImportLambdaCommand" displayName="ImportLambdaCommand" ref="B13:E14" totalsRowShown="0" headerRowDxfId="9" dataDxfId="8">
  <autoFilter ref="B13:E14" xr:uid="{062841AF-C078-46E5-98E5-0DBC8B538EEB}"/>
  <tableColumns count="4">
    <tableColumn id="1" xr3:uid="{B7A8EBE5-4AA7-4017-9E01-3C21991FBCE0}" name="Name" dataDxfId="7"/>
    <tableColumn id="2" xr3:uid="{1D3AFEAB-85C7-4BA0-A61C-6A270805FD0C}" name="Creator" dataDxfId="6"/>
    <tableColumn id="3" xr3:uid="{EE4BFA1A-37AC-43B0-A9CE-62FBC1007399}" name="Description" dataDxfId="5"/>
    <tableColumn id="4" xr3:uid="{8D1BA30C-9144-4469-AEE1-00A653AFC79F}" name="Parameters" dataDxfId="4"/>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09"/>
  <sheetViews>
    <sheetView showGridLines="0" tabSelected="1"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38</v>
      </c>
      <c r="C6" s="5"/>
      <c r="D6" s="5"/>
      <c r="E6" s="5"/>
      <c r="F6" s="5"/>
      <c r="G6" s="6"/>
      <c r="H6" s="6"/>
      <c r="I6" s="6"/>
      <c r="J6" s="6"/>
    </row>
    <row r="7" spans="2:10" x14ac:dyDescent="0.25">
      <c r="B7" s="9">
        <f>ROWS(CompBotCommands[])</f>
        <v>101</v>
      </c>
    </row>
    <row r="8" spans="2:10" x14ac:dyDescent="0.25">
      <c r="B8" s="9" t="s">
        <v>4</v>
      </c>
      <c r="C8" s="9" t="s">
        <v>6</v>
      </c>
      <c r="D8" s="9" t="s">
        <v>5</v>
      </c>
      <c r="E8" s="9" t="s">
        <v>8</v>
      </c>
      <c r="F8" s="9" t="s">
        <v>18</v>
      </c>
    </row>
    <row r="9" spans="2:10" x14ac:dyDescent="0.25">
      <c r="B9" s="10" t="s">
        <v>64</v>
      </c>
      <c r="C9" s="9" t="s">
        <v>12</v>
      </c>
      <c r="D9" s="10" t="s">
        <v>69</v>
      </c>
      <c r="E9" s="10"/>
      <c r="F9" s="9" t="s">
        <v>450</v>
      </c>
    </row>
    <row r="10" spans="2:10" ht="58.5" x14ac:dyDescent="0.25">
      <c r="B10" s="10" t="s">
        <v>313</v>
      </c>
      <c r="C10" s="9" t="s">
        <v>12</v>
      </c>
      <c r="D10" s="10" t="s">
        <v>451</v>
      </c>
      <c r="E10" s="10"/>
      <c r="F10" s="9" t="s">
        <v>305</v>
      </c>
    </row>
    <row r="11" spans="2:10" x14ac:dyDescent="0.25">
      <c r="B11" s="10" t="s">
        <v>22</v>
      </c>
      <c r="C11" s="9" t="s">
        <v>12</v>
      </c>
      <c r="D11" s="10" t="s">
        <v>452</v>
      </c>
      <c r="E11" s="10"/>
      <c r="F11" s="9" t="s">
        <v>49</v>
      </c>
    </row>
    <row r="12" spans="2:10" ht="39" x14ac:dyDescent="0.25">
      <c r="B12" s="10" t="s">
        <v>453</v>
      </c>
      <c r="C12" s="9" t="s">
        <v>12</v>
      </c>
      <c r="D12" s="10" t="s">
        <v>454</v>
      </c>
      <c r="E12" s="10" t="s">
        <v>583</v>
      </c>
      <c r="F12" s="9" t="s">
        <v>455</v>
      </c>
    </row>
    <row r="13" spans="2:10" ht="39" x14ac:dyDescent="0.25">
      <c r="B13" s="10" t="s">
        <v>676</v>
      </c>
      <c r="C13" s="9" t="s">
        <v>12</v>
      </c>
      <c r="D13" s="10" t="s">
        <v>677</v>
      </c>
      <c r="E13" s="10"/>
      <c r="F13" s="9" t="s">
        <v>678</v>
      </c>
    </row>
    <row r="14" spans="2:10" ht="78" x14ac:dyDescent="0.25">
      <c r="B14" s="10" t="s">
        <v>52</v>
      </c>
      <c r="C14" s="9" t="s">
        <v>12</v>
      </c>
      <c r="D14" s="10" t="s">
        <v>664</v>
      </c>
      <c r="E14" s="10"/>
    </row>
    <row r="15" spans="2:10" x14ac:dyDescent="0.25">
      <c r="B15" s="10" t="s">
        <v>670</v>
      </c>
      <c r="C15" s="9" t="s">
        <v>12</v>
      </c>
      <c r="D15" s="10" t="s">
        <v>721</v>
      </c>
      <c r="E15" s="10"/>
      <c r="F15" s="9" t="s">
        <v>722</v>
      </c>
    </row>
    <row r="16" spans="2:10" ht="39" x14ac:dyDescent="0.25">
      <c r="B16" s="10" t="s">
        <v>456</v>
      </c>
      <c r="C16" s="9" t="s">
        <v>12</v>
      </c>
      <c r="D16" s="10" t="s">
        <v>809</v>
      </c>
      <c r="E16" s="10"/>
    </row>
    <row r="17" spans="2:6" ht="58.5" x14ac:dyDescent="0.25">
      <c r="B17" s="10" t="s">
        <v>457</v>
      </c>
      <c r="C17" s="9" t="s">
        <v>12</v>
      </c>
      <c r="D17" s="10" t="s">
        <v>565</v>
      </c>
      <c r="E17" s="10"/>
    </row>
    <row r="18" spans="2:6" ht="52.5" customHeight="1" x14ac:dyDescent="0.25">
      <c r="B18" s="10" t="s">
        <v>11</v>
      </c>
      <c r="C18" s="9" t="s">
        <v>12</v>
      </c>
      <c r="D18" s="10" t="s">
        <v>13</v>
      </c>
      <c r="E18" s="10"/>
      <c r="F18" s="9" t="s">
        <v>458</v>
      </c>
    </row>
    <row r="19" spans="2:6" ht="52.5" customHeight="1" x14ac:dyDescent="0.25">
      <c r="B19" s="10" t="s">
        <v>48</v>
      </c>
      <c r="C19" s="9" t="s">
        <v>12</v>
      </c>
      <c r="D19" s="10" t="s">
        <v>459</v>
      </c>
      <c r="E19" s="10"/>
      <c r="F19" s="9" t="s">
        <v>460</v>
      </c>
    </row>
    <row r="20" spans="2:6" x14ac:dyDescent="0.25">
      <c r="B20" s="10" t="s">
        <v>70</v>
      </c>
      <c r="C20" s="9" t="s">
        <v>12</v>
      </c>
      <c r="D20" s="10" t="s">
        <v>461</v>
      </c>
      <c r="E20" s="10"/>
      <c r="F20" s="9" t="s">
        <v>462</v>
      </c>
    </row>
    <row r="21" spans="2:6" ht="58.5" x14ac:dyDescent="0.25">
      <c r="B21" s="10" t="s">
        <v>39</v>
      </c>
      <c r="C21" s="9" t="s">
        <v>12</v>
      </c>
      <c r="D21" s="10" t="s">
        <v>679</v>
      </c>
      <c r="E21" s="10"/>
      <c r="F21" s="9" t="s">
        <v>463</v>
      </c>
    </row>
    <row r="22" spans="2:6" x14ac:dyDescent="0.25">
      <c r="B22" s="10" t="s">
        <v>23</v>
      </c>
      <c r="C22" s="9" t="s">
        <v>12</v>
      </c>
      <c r="D22" s="10" t="s">
        <v>464</v>
      </c>
      <c r="E22" s="10"/>
      <c r="F22" s="9" t="s">
        <v>465</v>
      </c>
    </row>
    <row r="23" spans="2:6" x14ac:dyDescent="0.25">
      <c r="B23" s="10" t="s">
        <v>65</v>
      </c>
      <c r="C23" s="9" t="s">
        <v>12</v>
      </c>
      <c r="D23" s="10" t="s">
        <v>582</v>
      </c>
      <c r="E23" s="10"/>
      <c r="F23" s="9" t="s">
        <v>466</v>
      </c>
    </row>
    <row r="24" spans="2:6" x14ac:dyDescent="0.25">
      <c r="B24" s="10" t="s">
        <v>467</v>
      </c>
      <c r="C24" s="9" t="s">
        <v>12</v>
      </c>
      <c r="D24" s="10" t="s">
        <v>468</v>
      </c>
      <c r="E24" s="10"/>
    </row>
    <row r="25" spans="2:6" ht="39" x14ac:dyDescent="0.25">
      <c r="B25" s="10" t="s">
        <v>469</v>
      </c>
      <c r="C25" s="9" t="s">
        <v>12</v>
      </c>
      <c r="D25" s="10" t="s">
        <v>470</v>
      </c>
      <c r="E25" s="10"/>
      <c r="F25" s="9" t="s">
        <v>63</v>
      </c>
    </row>
    <row r="26" spans="2:6" ht="39" x14ac:dyDescent="0.25">
      <c r="B26" s="10" t="s">
        <v>471</v>
      </c>
      <c r="C26" s="9" t="s">
        <v>12</v>
      </c>
      <c r="D26" s="10" t="s">
        <v>472</v>
      </c>
      <c r="E26" s="10"/>
      <c r="F26" s="9" t="s">
        <v>473</v>
      </c>
    </row>
    <row r="27" spans="2:6" ht="39" x14ac:dyDescent="0.25">
      <c r="B27" s="10" t="s">
        <v>474</v>
      </c>
      <c r="C27" s="9" t="s">
        <v>12</v>
      </c>
      <c r="D27" s="10" t="s">
        <v>475</v>
      </c>
      <c r="E27" s="10"/>
    </row>
    <row r="28" spans="2:6" ht="39" x14ac:dyDescent="0.25">
      <c r="B28" s="10" t="s">
        <v>476</v>
      </c>
      <c r="C28" s="9" t="s">
        <v>12</v>
      </c>
      <c r="D28" s="10" t="s">
        <v>821</v>
      </c>
      <c r="E28" s="10"/>
      <c r="F28" s="9" t="s">
        <v>477</v>
      </c>
    </row>
    <row r="29" spans="2:6" ht="39" x14ac:dyDescent="0.25">
      <c r="B29" s="10" t="s">
        <v>56</v>
      </c>
      <c r="C29" s="9" t="s">
        <v>12</v>
      </c>
      <c r="D29" s="10" t="s">
        <v>777</v>
      </c>
      <c r="E29" s="10"/>
      <c r="F29" s="9" t="s">
        <v>478</v>
      </c>
    </row>
    <row r="30" spans="2:6" ht="39" x14ac:dyDescent="0.25">
      <c r="B30" s="10" t="s">
        <v>479</v>
      </c>
      <c r="C30" s="9" t="s">
        <v>12</v>
      </c>
      <c r="D30" s="10" t="s">
        <v>566</v>
      </c>
      <c r="E30" s="10" t="s">
        <v>781</v>
      </c>
      <c r="F30" s="9" t="s">
        <v>480</v>
      </c>
    </row>
    <row r="31" spans="2:6" ht="58.5" x14ac:dyDescent="0.25">
      <c r="B31" s="10" t="s">
        <v>481</v>
      </c>
      <c r="C31" s="9" t="s">
        <v>12</v>
      </c>
      <c r="D31" s="10" t="s">
        <v>782</v>
      </c>
      <c r="E31" s="10"/>
      <c r="F31" s="9" t="s">
        <v>482</v>
      </c>
    </row>
    <row r="32" spans="2:6" ht="58.5" x14ac:dyDescent="0.25">
      <c r="B32" s="10" t="s">
        <v>483</v>
      </c>
      <c r="C32" s="9" t="s">
        <v>12</v>
      </c>
      <c r="D32" s="10" t="s">
        <v>778</v>
      </c>
      <c r="E32" s="10" t="s">
        <v>779</v>
      </c>
      <c r="F32" s="9" t="s">
        <v>484</v>
      </c>
    </row>
    <row r="33" spans="2:6" ht="39" x14ac:dyDescent="0.25">
      <c r="B33" s="10" t="s">
        <v>485</v>
      </c>
      <c r="C33" s="9" t="s">
        <v>12</v>
      </c>
      <c r="D33" s="10" t="s">
        <v>784</v>
      </c>
      <c r="E33" s="10"/>
      <c r="F33" s="9" t="s">
        <v>486</v>
      </c>
    </row>
    <row r="34" spans="2:6" x14ac:dyDescent="0.25">
      <c r="B34" s="10" t="s">
        <v>798</v>
      </c>
      <c r="C34" s="9" t="s">
        <v>12</v>
      </c>
      <c r="D34" s="10" t="s">
        <v>799</v>
      </c>
      <c r="E34" s="10"/>
      <c r="F34" s="9" t="s">
        <v>800</v>
      </c>
    </row>
    <row r="35" spans="2:6" x14ac:dyDescent="0.25">
      <c r="B35" s="10" t="s">
        <v>801</v>
      </c>
      <c r="C35" s="9" t="s">
        <v>12</v>
      </c>
      <c r="D35" s="10" t="s">
        <v>802</v>
      </c>
      <c r="E35" s="10"/>
      <c r="F35" s="9" t="s">
        <v>803</v>
      </c>
    </row>
    <row r="36" spans="2:6" ht="58.5" x14ac:dyDescent="0.25">
      <c r="B36" s="10" t="s">
        <v>61</v>
      </c>
      <c r="C36" s="9" t="s">
        <v>12</v>
      </c>
      <c r="D36" s="10" t="s">
        <v>707</v>
      </c>
      <c r="E36" s="10"/>
      <c r="F36" s="9" t="s">
        <v>708</v>
      </c>
    </row>
    <row r="37" spans="2:6" x14ac:dyDescent="0.25">
      <c r="B37" s="10" t="s">
        <v>308</v>
      </c>
      <c r="C37" s="9" t="s">
        <v>12</v>
      </c>
      <c r="D37" s="10" t="s">
        <v>487</v>
      </c>
      <c r="E37" s="10"/>
      <c r="F37" s="9" t="s">
        <v>310</v>
      </c>
    </row>
    <row r="38" spans="2:6" ht="39" x14ac:dyDescent="0.25">
      <c r="B38" s="10" t="s">
        <v>718</v>
      </c>
      <c r="C38" s="9" t="s">
        <v>12</v>
      </c>
      <c r="D38" s="10" t="s">
        <v>719</v>
      </c>
      <c r="E38" s="10"/>
      <c r="F38" s="9" t="s">
        <v>720</v>
      </c>
    </row>
    <row r="39" spans="2:6" ht="39" x14ac:dyDescent="0.25">
      <c r="B39" s="10" t="s">
        <v>71</v>
      </c>
      <c r="C39" s="9" t="s">
        <v>12</v>
      </c>
      <c r="D39" s="10" t="s">
        <v>822</v>
      </c>
      <c r="E39" s="10"/>
      <c r="F39" s="9" t="s">
        <v>44</v>
      </c>
    </row>
    <row r="40" spans="2:6" ht="39" x14ac:dyDescent="0.25">
      <c r="B40" s="10" t="s">
        <v>674</v>
      </c>
      <c r="C40" s="9" t="s">
        <v>12</v>
      </c>
      <c r="D40" s="10" t="s">
        <v>675</v>
      </c>
      <c r="E40" s="10"/>
    </row>
    <row r="41" spans="2:6" ht="39" x14ac:dyDescent="0.25">
      <c r="B41" s="10" t="s">
        <v>68</v>
      </c>
      <c r="C41" s="9" t="s">
        <v>12</v>
      </c>
      <c r="D41" s="10" t="s">
        <v>668</v>
      </c>
      <c r="E41" s="10"/>
      <c r="F41" s="9" t="s">
        <v>669</v>
      </c>
    </row>
    <row r="42" spans="2:6" ht="39" x14ac:dyDescent="0.25">
      <c r="B42" s="10" t="s">
        <v>666</v>
      </c>
      <c r="C42" s="9" t="s">
        <v>12</v>
      </c>
      <c r="D42" s="10" t="s">
        <v>711</v>
      </c>
      <c r="E42" s="10"/>
      <c r="F42" s="9" t="s">
        <v>667</v>
      </c>
    </row>
    <row r="43" spans="2:6" ht="39" x14ac:dyDescent="0.25">
      <c r="B43" s="10" t="s">
        <v>87</v>
      </c>
      <c r="C43" s="9" t="s">
        <v>12</v>
      </c>
      <c r="D43" s="10" t="s">
        <v>488</v>
      </c>
      <c r="E43" s="10"/>
      <c r="F43" s="9" t="s">
        <v>88</v>
      </c>
    </row>
    <row r="44" spans="2:6" ht="39" x14ac:dyDescent="0.25">
      <c r="B44" s="10" t="s">
        <v>789</v>
      </c>
      <c r="C44" s="9" t="s">
        <v>12</v>
      </c>
      <c r="D44" s="10" t="s">
        <v>790</v>
      </c>
      <c r="E44" s="10"/>
      <c r="F44" s="9" t="s">
        <v>791</v>
      </c>
    </row>
    <row r="45" spans="2:6" ht="39" x14ac:dyDescent="0.25">
      <c r="B45" s="10" t="s">
        <v>795</v>
      </c>
      <c r="C45" s="9" t="s">
        <v>12</v>
      </c>
      <c r="D45" s="10" t="s">
        <v>796</v>
      </c>
      <c r="E45" s="10"/>
      <c r="F45" s="9" t="s">
        <v>797</v>
      </c>
    </row>
    <row r="46" spans="2:6" ht="39" x14ac:dyDescent="0.25">
      <c r="B46" s="10" t="s">
        <v>723</v>
      </c>
      <c r="C46" s="9" t="s">
        <v>12</v>
      </c>
      <c r="D46" s="10" t="s">
        <v>724</v>
      </c>
      <c r="E46" s="10"/>
      <c r="F46" s="9" t="s">
        <v>725</v>
      </c>
    </row>
    <row r="47" spans="2:6" ht="58.5" x14ac:dyDescent="0.25">
      <c r="B47" s="10" t="s">
        <v>733</v>
      </c>
      <c r="C47" s="9" t="s">
        <v>12</v>
      </c>
      <c r="D47" s="10" t="s">
        <v>734</v>
      </c>
      <c r="E47" s="10"/>
      <c r="F47" s="9" t="s">
        <v>735</v>
      </c>
    </row>
    <row r="48" spans="2:6" ht="39" x14ac:dyDescent="0.25">
      <c r="B48" s="10" t="s">
        <v>489</v>
      </c>
      <c r="C48" s="9" t="s">
        <v>12</v>
      </c>
      <c r="D48" s="10" t="s">
        <v>785</v>
      </c>
      <c r="E48" s="10"/>
      <c r="F48" s="9" t="s">
        <v>490</v>
      </c>
    </row>
    <row r="49" spans="2:6" ht="39" x14ac:dyDescent="0.25">
      <c r="B49" s="10" t="s">
        <v>491</v>
      </c>
      <c r="C49" s="9" t="s">
        <v>12</v>
      </c>
      <c r="D49" s="10" t="s">
        <v>567</v>
      </c>
      <c r="E49" s="10"/>
    </row>
    <row r="50" spans="2:6" ht="39" x14ac:dyDescent="0.25">
      <c r="B50" s="10" t="s">
        <v>804</v>
      </c>
      <c r="C50" s="9" t="s">
        <v>12</v>
      </c>
      <c r="D50" s="10" t="s">
        <v>805</v>
      </c>
      <c r="E50" s="10"/>
      <c r="F50" s="9" t="s">
        <v>806</v>
      </c>
    </row>
    <row r="51" spans="2:6" ht="39" x14ac:dyDescent="0.25">
      <c r="B51" s="10" t="s">
        <v>492</v>
      </c>
      <c r="C51" s="9" t="s">
        <v>12</v>
      </c>
      <c r="D51" s="10" t="s">
        <v>493</v>
      </c>
      <c r="E51" s="10"/>
      <c r="F51" s="9" t="s">
        <v>680</v>
      </c>
    </row>
    <row r="52" spans="2:6" ht="58.5" x14ac:dyDescent="0.25">
      <c r="B52" s="10" t="s">
        <v>494</v>
      </c>
      <c r="C52" s="9" t="s">
        <v>12</v>
      </c>
      <c r="D52" s="10" t="s">
        <v>495</v>
      </c>
      <c r="E52" s="10" t="s">
        <v>584</v>
      </c>
      <c r="F52" s="9" t="s">
        <v>496</v>
      </c>
    </row>
    <row r="53" spans="2:6" x14ac:dyDescent="0.25">
      <c r="B53" s="10" t="s">
        <v>72</v>
      </c>
      <c r="C53" s="9" t="s">
        <v>12</v>
      </c>
      <c r="D53" s="10" t="s">
        <v>73</v>
      </c>
      <c r="E53" s="10"/>
      <c r="F53" s="9" t="s">
        <v>497</v>
      </c>
    </row>
    <row r="54" spans="2:6" ht="39" x14ac:dyDescent="0.25">
      <c r="B54" s="10" t="s">
        <v>786</v>
      </c>
      <c r="C54" s="9" t="s">
        <v>12</v>
      </c>
      <c r="D54" s="10" t="s">
        <v>787</v>
      </c>
      <c r="E54" s="10"/>
      <c r="F54" s="9" t="s">
        <v>788</v>
      </c>
    </row>
    <row r="55" spans="2:6" ht="39" x14ac:dyDescent="0.25">
      <c r="B55" s="10" t="s">
        <v>792</v>
      </c>
      <c r="C55" s="9" t="s">
        <v>12</v>
      </c>
      <c r="D55" s="10" t="s">
        <v>793</v>
      </c>
      <c r="E55" s="10"/>
      <c r="F55" s="9" t="s">
        <v>794</v>
      </c>
    </row>
    <row r="56" spans="2:6" x14ac:dyDescent="0.25">
      <c r="B56" s="10" t="s">
        <v>714</v>
      </c>
      <c r="C56" s="9" t="s">
        <v>12</v>
      </c>
      <c r="D56" s="10" t="s">
        <v>715</v>
      </c>
      <c r="E56" s="10"/>
      <c r="F56" s="9" t="s">
        <v>716</v>
      </c>
    </row>
    <row r="57" spans="2:6" ht="39" x14ac:dyDescent="0.25">
      <c r="B57" s="10" t="s">
        <v>498</v>
      </c>
      <c r="C57" s="9" t="s">
        <v>12</v>
      </c>
      <c r="D57" s="10" t="s">
        <v>499</v>
      </c>
      <c r="E57" s="10"/>
      <c r="F57" s="9" t="s">
        <v>498</v>
      </c>
    </row>
    <row r="58" spans="2:6" ht="39" x14ac:dyDescent="0.25">
      <c r="B58" s="10" t="s">
        <v>500</v>
      </c>
      <c r="C58" s="9" t="s">
        <v>12</v>
      </c>
      <c r="D58" s="10" t="s">
        <v>568</v>
      </c>
      <c r="E58" s="10" t="s">
        <v>585</v>
      </c>
      <c r="F58" s="9" t="s">
        <v>501</v>
      </c>
    </row>
    <row r="59" spans="2:6" ht="39" x14ac:dyDescent="0.25">
      <c r="B59" s="10" t="s">
        <v>502</v>
      </c>
      <c r="C59" s="9" t="s">
        <v>12</v>
      </c>
      <c r="D59" s="10" t="s">
        <v>817</v>
      </c>
      <c r="E59" s="10" t="s">
        <v>585</v>
      </c>
      <c r="F59" s="9" t="s">
        <v>503</v>
      </c>
    </row>
    <row r="60" spans="2:6" x14ac:dyDescent="0.25">
      <c r="B60" s="10" t="s">
        <v>41</v>
      </c>
      <c r="C60" s="9" t="s">
        <v>12</v>
      </c>
      <c r="D60" s="10" t="s">
        <v>504</v>
      </c>
      <c r="E60" s="10"/>
      <c r="F60" s="9" t="s">
        <v>505</v>
      </c>
    </row>
    <row r="61" spans="2:6" ht="39" x14ac:dyDescent="0.25">
      <c r="B61" s="10" t="s">
        <v>74</v>
      </c>
      <c r="C61" s="9" t="s">
        <v>12</v>
      </c>
      <c r="D61" s="10" t="s">
        <v>506</v>
      </c>
      <c r="E61" s="10"/>
      <c r="F61" s="9" t="s">
        <v>42</v>
      </c>
    </row>
    <row r="62" spans="2:6" x14ac:dyDescent="0.25">
      <c r="B62" s="10" t="s">
        <v>66</v>
      </c>
      <c r="C62" s="9" t="s">
        <v>12</v>
      </c>
      <c r="D62" s="10" t="s">
        <v>75</v>
      </c>
      <c r="E62" s="10"/>
      <c r="F62" s="9" t="s">
        <v>507</v>
      </c>
    </row>
    <row r="63" spans="2:6" ht="39" x14ac:dyDescent="0.25">
      <c r="B63" s="10" t="s">
        <v>508</v>
      </c>
      <c r="C63" s="9" t="s">
        <v>12</v>
      </c>
      <c r="D63" s="10" t="s">
        <v>509</v>
      </c>
      <c r="E63" s="10"/>
      <c r="F63" s="9" t="s">
        <v>510</v>
      </c>
    </row>
    <row r="64" spans="2:6" ht="39" x14ac:dyDescent="0.25">
      <c r="B64" s="10" t="s">
        <v>511</v>
      </c>
      <c r="C64" s="9" t="s">
        <v>12</v>
      </c>
      <c r="D64" s="10" t="s">
        <v>823</v>
      </c>
      <c r="E64" s="10"/>
      <c r="F64" s="9" t="s">
        <v>512</v>
      </c>
    </row>
    <row r="65" spans="2:6" x14ac:dyDescent="0.25">
      <c r="B65" s="10" t="s">
        <v>513</v>
      </c>
      <c r="C65" s="9" t="s">
        <v>12</v>
      </c>
      <c r="D65" s="10" t="s">
        <v>514</v>
      </c>
      <c r="E65" s="10"/>
      <c r="F65" s="9" t="s">
        <v>515</v>
      </c>
    </row>
    <row r="66" spans="2:6" ht="39" x14ac:dyDescent="0.25">
      <c r="B66" s="10" t="s">
        <v>516</v>
      </c>
      <c r="C66" s="9" t="s">
        <v>12</v>
      </c>
      <c r="D66" s="10" t="s">
        <v>517</v>
      </c>
      <c r="E66" s="10"/>
      <c r="F66" s="9" t="s">
        <v>518</v>
      </c>
    </row>
    <row r="67" spans="2:6" ht="58.5" x14ac:dyDescent="0.25">
      <c r="B67" s="10" t="s">
        <v>807</v>
      </c>
      <c r="C67" s="9" t="s">
        <v>12</v>
      </c>
      <c r="D67" s="10" t="s">
        <v>826</v>
      </c>
      <c r="E67" s="10"/>
      <c r="F67" s="9" t="s">
        <v>808</v>
      </c>
    </row>
    <row r="68" spans="2:6" ht="39" x14ac:dyDescent="0.25">
      <c r="B68" s="10" t="s">
        <v>76</v>
      </c>
      <c r="C68" s="9" t="s">
        <v>12</v>
      </c>
      <c r="D68" s="10" t="s">
        <v>710</v>
      </c>
      <c r="E68" s="10"/>
      <c r="F68" s="9" t="s">
        <v>519</v>
      </c>
    </row>
    <row r="69" spans="2:6" x14ac:dyDescent="0.25">
      <c r="B69" s="10" t="s">
        <v>520</v>
      </c>
      <c r="C69" s="9" t="s">
        <v>12</v>
      </c>
      <c r="D69" s="10" t="s">
        <v>521</v>
      </c>
      <c r="E69" s="10"/>
      <c r="F69" s="9" t="s">
        <v>522</v>
      </c>
    </row>
    <row r="70" spans="2:6" x14ac:dyDescent="0.25">
      <c r="B70" s="10" t="s">
        <v>309</v>
      </c>
      <c r="C70" s="9" t="s">
        <v>12</v>
      </c>
      <c r="D70" s="10" t="s">
        <v>523</v>
      </c>
      <c r="E70" s="10"/>
      <c r="F70" s="9" t="s">
        <v>524</v>
      </c>
    </row>
    <row r="71" spans="2:6" ht="39" x14ac:dyDescent="0.25">
      <c r="B71" s="10" t="s">
        <v>525</v>
      </c>
      <c r="C71" s="9" t="s">
        <v>12</v>
      </c>
      <c r="D71" s="10" t="s">
        <v>783</v>
      </c>
      <c r="E71" s="10"/>
      <c r="F71" s="9" t="s">
        <v>526</v>
      </c>
    </row>
    <row r="72" spans="2:6" ht="58.5" x14ac:dyDescent="0.25">
      <c r="B72" s="10" t="s">
        <v>304</v>
      </c>
      <c r="C72" s="9" t="s">
        <v>12</v>
      </c>
      <c r="D72" s="10" t="s">
        <v>569</v>
      </c>
      <c r="E72" s="10"/>
      <c r="F72" s="9" t="s">
        <v>527</v>
      </c>
    </row>
    <row r="73" spans="2:6" ht="39" x14ac:dyDescent="0.25">
      <c r="B73" s="10" t="s">
        <v>528</v>
      </c>
      <c r="C73" s="9" t="s">
        <v>12</v>
      </c>
      <c r="D73" s="10" t="s">
        <v>529</v>
      </c>
      <c r="E73" s="10"/>
      <c r="F73" s="9" t="s">
        <v>530</v>
      </c>
    </row>
    <row r="74" spans="2:6" ht="39" x14ac:dyDescent="0.25">
      <c r="B74" s="10" t="s">
        <v>767</v>
      </c>
      <c r="C74" s="9" t="s">
        <v>12</v>
      </c>
      <c r="D74" s="10" t="s">
        <v>768</v>
      </c>
      <c r="E74" s="10"/>
      <c r="F74" s="9" t="s">
        <v>769</v>
      </c>
    </row>
    <row r="75" spans="2:6" ht="58.5" x14ac:dyDescent="0.25">
      <c r="B75" s="10" t="s">
        <v>774</v>
      </c>
      <c r="C75" s="9" t="s">
        <v>12</v>
      </c>
      <c r="D75" s="10" t="s">
        <v>775</v>
      </c>
      <c r="E75" s="10"/>
      <c r="F75" s="9" t="s">
        <v>776</v>
      </c>
    </row>
    <row r="76" spans="2:6" ht="58.5" x14ac:dyDescent="0.25">
      <c r="B76" s="10" t="s">
        <v>770</v>
      </c>
      <c r="C76" s="9" t="s">
        <v>12</v>
      </c>
      <c r="D76" s="10" t="s">
        <v>771</v>
      </c>
      <c r="E76" s="10" t="s">
        <v>772</v>
      </c>
      <c r="F76" s="9" t="s">
        <v>773</v>
      </c>
    </row>
    <row r="77" spans="2:6" ht="39" x14ac:dyDescent="0.25">
      <c r="B77" s="10" t="s">
        <v>736</v>
      </c>
      <c r="C77" s="9" t="s">
        <v>12</v>
      </c>
      <c r="D77" s="10" t="s">
        <v>737</v>
      </c>
      <c r="E77" s="10"/>
      <c r="F77" s="9" t="s">
        <v>738</v>
      </c>
    </row>
    <row r="78" spans="2:6" ht="39" x14ac:dyDescent="0.25">
      <c r="B78" s="10" t="s">
        <v>739</v>
      </c>
      <c r="C78" s="9" t="s">
        <v>12</v>
      </c>
      <c r="D78" s="10" t="s">
        <v>740</v>
      </c>
      <c r="E78" s="10"/>
      <c r="F78" s="9" t="s">
        <v>741</v>
      </c>
    </row>
    <row r="79" spans="2:6" ht="39" x14ac:dyDescent="0.25">
      <c r="B79" s="10" t="s">
        <v>742</v>
      </c>
      <c r="C79" s="9" t="s">
        <v>12</v>
      </c>
      <c r="D79" s="10" t="s">
        <v>743</v>
      </c>
      <c r="E79" s="10"/>
      <c r="F79" s="9" t="s">
        <v>744</v>
      </c>
    </row>
    <row r="80" spans="2:6" ht="39" x14ac:dyDescent="0.25">
      <c r="B80" s="10" t="s">
        <v>745</v>
      </c>
      <c r="C80" s="9" t="s">
        <v>12</v>
      </c>
      <c r="D80" s="10" t="s">
        <v>746</v>
      </c>
      <c r="E80" s="10"/>
      <c r="F80" s="9" t="s">
        <v>747</v>
      </c>
    </row>
    <row r="81" spans="2:6" ht="39" x14ac:dyDescent="0.25">
      <c r="B81" s="10" t="s">
        <v>748</v>
      </c>
      <c r="C81" s="9" t="s">
        <v>12</v>
      </c>
      <c r="D81" s="10" t="s">
        <v>749</v>
      </c>
      <c r="E81" s="10"/>
      <c r="F81" s="9" t="s">
        <v>750</v>
      </c>
    </row>
    <row r="82" spans="2:6" ht="39" x14ac:dyDescent="0.25">
      <c r="B82" s="10" t="s">
        <v>531</v>
      </c>
      <c r="C82" s="9" t="s">
        <v>12</v>
      </c>
      <c r="D82" s="10" t="s">
        <v>532</v>
      </c>
      <c r="E82" s="10"/>
      <c r="F82" s="9" t="s">
        <v>45</v>
      </c>
    </row>
    <row r="83" spans="2:6" ht="39" x14ac:dyDescent="0.25">
      <c r="B83" s="10" t="s">
        <v>50</v>
      </c>
      <c r="C83" s="9" t="s">
        <v>12</v>
      </c>
      <c r="D83" s="10" t="s">
        <v>533</v>
      </c>
      <c r="E83" s="10"/>
      <c r="F83" s="9" t="s">
        <v>51</v>
      </c>
    </row>
    <row r="84" spans="2:6" ht="39" x14ac:dyDescent="0.25">
      <c r="B84" s="10" t="s">
        <v>534</v>
      </c>
      <c r="C84" s="9" t="s">
        <v>12</v>
      </c>
      <c r="D84" s="10" t="s">
        <v>535</v>
      </c>
      <c r="E84" s="10"/>
      <c r="F84" s="9" t="s">
        <v>536</v>
      </c>
    </row>
    <row r="85" spans="2:6" x14ac:dyDescent="0.25">
      <c r="B85" s="10" t="s">
        <v>55</v>
      </c>
      <c r="C85" s="9" t="s">
        <v>12</v>
      </c>
      <c r="D85" s="10" t="s">
        <v>77</v>
      </c>
      <c r="E85" s="10"/>
      <c r="F85" s="9" t="s">
        <v>537</v>
      </c>
    </row>
    <row r="86" spans="2:6" ht="39" x14ac:dyDescent="0.25">
      <c r="B86" s="10" t="s">
        <v>671</v>
      </c>
      <c r="C86" s="9" t="s">
        <v>12</v>
      </c>
      <c r="D86" s="10" t="s">
        <v>672</v>
      </c>
      <c r="E86" s="10"/>
      <c r="F86" s="9" t="s">
        <v>673</v>
      </c>
    </row>
    <row r="87" spans="2:6" ht="39" x14ac:dyDescent="0.25">
      <c r="B87" s="10" t="s">
        <v>682</v>
      </c>
      <c r="C87" s="9" t="s">
        <v>12</v>
      </c>
      <c r="D87" s="10" t="s">
        <v>712</v>
      </c>
      <c r="E87" s="10"/>
      <c r="F87" s="9" t="s">
        <v>713</v>
      </c>
    </row>
    <row r="88" spans="2:6" ht="39" x14ac:dyDescent="0.25">
      <c r="B88" s="10" t="s">
        <v>538</v>
      </c>
      <c r="C88" s="9" t="s">
        <v>12</v>
      </c>
      <c r="D88" s="10" t="s">
        <v>539</v>
      </c>
      <c r="E88" s="10"/>
      <c r="F88" s="9" t="s">
        <v>540</v>
      </c>
    </row>
    <row r="89" spans="2:6" ht="58.5" x14ac:dyDescent="0.25">
      <c r="B89" s="10" t="s">
        <v>89</v>
      </c>
      <c r="C89" s="9" t="s">
        <v>12</v>
      </c>
      <c r="D89" s="10" t="s">
        <v>780</v>
      </c>
      <c r="E89" s="10"/>
      <c r="F89" s="9" t="s">
        <v>90</v>
      </c>
    </row>
    <row r="90" spans="2:6" ht="39" x14ac:dyDescent="0.25">
      <c r="B90" s="10" t="s">
        <v>541</v>
      </c>
      <c r="C90" s="9" t="s">
        <v>12</v>
      </c>
      <c r="D90" s="10" t="s">
        <v>542</v>
      </c>
      <c r="E90" s="10"/>
      <c r="F90" s="9" t="s">
        <v>543</v>
      </c>
    </row>
    <row r="91" spans="2:6" ht="39" x14ac:dyDescent="0.25">
      <c r="B91" s="10" t="s">
        <v>544</v>
      </c>
      <c r="C91" s="9" t="s">
        <v>12</v>
      </c>
      <c r="D91" s="10" t="s">
        <v>545</v>
      </c>
      <c r="E91" s="10"/>
      <c r="F91" s="9" t="s">
        <v>546</v>
      </c>
    </row>
    <row r="92" spans="2:6" ht="39" x14ac:dyDescent="0.25">
      <c r="B92" s="10" t="s">
        <v>547</v>
      </c>
      <c r="C92" s="9" t="s">
        <v>12</v>
      </c>
      <c r="D92" s="10" t="s">
        <v>570</v>
      </c>
      <c r="E92" s="10"/>
      <c r="F92" s="9" t="s">
        <v>548</v>
      </c>
    </row>
    <row r="93" spans="2:6" ht="39" x14ac:dyDescent="0.25">
      <c r="B93" s="10" t="s">
        <v>549</v>
      </c>
      <c r="C93" s="9" t="s">
        <v>12</v>
      </c>
      <c r="D93" s="10" t="s">
        <v>550</v>
      </c>
      <c r="E93" s="10"/>
      <c r="F93" s="9" t="s">
        <v>551</v>
      </c>
    </row>
    <row r="94" spans="2:6" ht="39" x14ac:dyDescent="0.25">
      <c r="B94" s="10" t="s">
        <v>761</v>
      </c>
      <c r="C94" s="9" t="s">
        <v>12</v>
      </c>
      <c r="D94" s="10" t="s">
        <v>762</v>
      </c>
      <c r="E94" s="10"/>
      <c r="F94" s="9" t="s">
        <v>763</v>
      </c>
    </row>
    <row r="95" spans="2:6" ht="39" x14ac:dyDescent="0.25">
      <c r="B95" s="10" t="s">
        <v>552</v>
      </c>
      <c r="C95" s="9" t="s">
        <v>12</v>
      </c>
      <c r="D95" s="10" t="s">
        <v>759</v>
      </c>
      <c r="E95" s="10"/>
      <c r="F95" s="9" t="s">
        <v>760</v>
      </c>
    </row>
    <row r="96" spans="2:6" ht="39" x14ac:dyDescent="0.25">
      <c r="B96" s="10" t="s">
        <v>78</v>
      </c>
      <c r="C96" s="9" t="s">
        <v>12</v>
      </c>
      <c r="D96" s="10" t="s">
        <v>553</v>
      </c>
      <c r="E96" s="10"/>
      <c r="F96" s="9" t="s">
        <v>46</v>
      </c>
    </row>
    <row r="97" spans="2:6" x14ac:dyDescent="0.25">
      <c r="B97" s="10" t="s">
        <v>79</v>
      </c>
      <c r="C97" s="9" t="s">
        <v>12</v>
      </c>
      <c r="D97" s="10" t="s">
        <v>554</v>
      </c>
      <c r="E97" s="10"/>
      <c r="F97" s="9" t="s">
        <v>47</v>
      </c>
    </row>
    <row r="98" spans="2:6" ht="58.5" x14ac:dyDescent="0.25">
      <c r="B98" s="10" t="s">
        <v>555</v>
      </c>
      <c r="C98" s="9" t="s">
        <v>12</v>
      </c>
      <c r="D98" s="10" t="s">
        <v>709</v>
      </c>
      <c r="E98" s="10"/>
    </row>
    <row r="99" spans="2:6" x14ac:dyDescent="0.25">
      <c r="B99" s="10" t="s">
        <v>306</v>
      </c>
      <c r="C99" s="9" t="s">
        <v>12</v>
      </c>
      <c r="D99" s="10" t="s">
        <v>556</v>
      </c>
      <c r="E99" s="10"/>
      <c r="F99" s="9" t="s">
        <v>307</v>
      </c>
    </row>
    <row r="100" spans="2:6" ht="39" x14ac:dyDescent="0.25">
      <c r="B100" s="10" t="s">
        <v>557</v>
      </c>
      <c r="C100" s="9" t="s">
        <v>12</v>
      </c>
      <c r="D100" s="10" t="s">
        <v>571</v>
      </c>
      <c r="E100" s="10" t="s">
        <v>586</v>
      </c>
      <c r="F100" s="9" t="s">
        <v>558</v>
      </c>
    </row>
    <row r="101" spans="2:6" ht="39" x14ac:dyDescent="0.25">
      <c r="B101" s="10" t="s">
        <v>80</v>
      </c>
      <c r="C101" s="9" t="s">
        <v>12</v>
      </c>
      <c r="D101" s="10" t="s">
        <v>572</v>
      </c>
      <c r="E101" s="10"/>
      <c r="F101" s="9" t="s">
        <v>81</v>
      </c>
    </row>
    <row r="102" spans="2:6" ht="39" x14ac:dyDescent="0.25">
      <c r="B102" s="10" t="s">
        <v>59</v>
      </c>
      <c r="C102" s="9" t="s">
        <v>12</v>
      </c>
      <c r="D102" s="10" t="s">
        <v>573</v>
      </c>
      <c r="E102" s="10"/>
      <c r="F102" s="9" t="s">
        <v>559</v>
      </c>
    </row>
    <row r="103" spans="2:6" ht="39" x14ac:dyDescent="0.25">
      <c r="B103" s="10" t="s">
        <v>58</v>
      </c>
      <c r="C103" s="9" t="s">
        <v>12</v>
      </c>
      <c r="D103" s="10" t="s">
        <v>560</v>
      </c>
      <c r="E103" s="10"/>
      <c r="F103" s="9" t="s">
        <v>57</v>
      </c>
    </row>
    <row r="104" spans="2:6" ht="39" x14ac:dyDescent="0.25">
      <c r="B104" s="10" t="s">
        <v>82</v>
      </c>
      <c r="C104" s="9" t="s">
        <v>12</v>
      </c>
      <c r="D104" s="10" t="s">
        <v>83</v>
      </c>
      <c r="E104" s="10"/>
      <c r="F104" s="9" t="s">
        <v>84</v>
      </c>
    </row>
    <row r="105" spans="2:6" ht="39" x14ac:dyDescent="0.25">
      <c r="B105" s="10" t="s">
        <v>85</v>
      </c>
      <c r="C105" s="9" t="s">
        <v>12</v>
      </c>
      <c r="D105" s="10" t="s">
        <v>574</v>
      </c>
      <c r="E105" s="10"/>
      <c r="F105" s="9" t="s">
        <v>561</v>
      </c>
    </row>
    <row r="106" spans="2:6" ht="58.5" x14ac:dyDescent="0.25">
      <c r="B106" s="10" t="s">
        <v>62</v>
      </c>
      <c r="C106" s="9" t="s">
        <v>12</v>
      </c>
      <c r="D106" s="10" t="s">
        <v>575</v>
      </c>
      <c r="E106" s="10"/>
      <c r="F106" s="9" t="s">
        <v>562</v>
      </c>
    </row>
    <row r="107" spans="2:6" ht="39" x14ac:dyDescent="0.25">
      <c r="B107" s="10" t="s">
        <v>311</v>
      </c>
      <c r="C107" s="9" t="s">
        <v>12</v>
      </c>
      <c r="D107" s="10" t="s">
        <v>824</v>
      </c>
      <c r="E107" s="10"/>
      <c r="F107" s="9" t="s">
        <v>312</v>
      </c>
    </row>
    <row r="108" spans="2:6" ht="39" x14ac:dyDescent="0.25">
      <c r="B108" s="10" t="s">
        <v>60</v>
      </c>
      <c r="C108" s="9" t="s">
        <v>12</v>
      </c>
      <c r="D108" s="10" t="s">
        <v>86</v>
      </c>
      <c r="E108" s="10"/>
      <c r="F108" s="9" t="s">
        <v>563</v>
      </c>
    </row>
    <row r="109" spans="2:6" ht="78" x14ac:dyDescent="0.25">
      <c r="B109" s="10" t="s">
        <v>818</v>
      </c>
      <c r="C109" s="9" t="s">
        <v>12</v>
      </c>
      <c r="D109" s="10" t="s">
        <v>825</v>
      </c>
      <c r="E109" s="10" t="s">
        <v>819</v>
      </c>
      <c r="F109" s="9" t="s">
        <v>820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28"/>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706</v>
      </c>
    </row>
    <row r="3" spans="2:27" ht="19.5" customHeight="1" x14ac:dyDescent="0.25"/>
    <row r="4" spans="2:27" ht="19.5" customHeight="1" x14ac:dyDescent="0.25"/>
    <row r="5" spans="2:27" ht="21" customHeight="1" thickBot="1" x14ac:dyDescent="0.35">
      <c r="B5" s="15" t="s">
        <v>682</v>
      </c>
      <c r="C5" s="15"/>
      <c r="D5" s="15"/>
      <c r="E5" s="15"/>
      <c r="F5" s="15"/>
      <c r="G5" s="15"/>
      <c r="H5" s="15"/>
      <c r="I5" s="15"/>
      <c r="J5" s="15"/>
      <c r="K5" s="15"/>
      <c r="L5" s="4"/>
      <c r="M5" s="4"/>
    </row>
    <row r="6" spans="2:27" ht="20.25" customHeight="1" thickTop="1" x14ac:dyDescent="0.25">
      <c r="B6" s="16" t="s">
        <v>751</v>
      </c>
      <c r="C6" s="16"/>
      <c r="D6" s="16"/>
      <c r="E6" s="16"/>
      <c r="F6" s="16"/>
      <c r="G6" s="16"/>
      <c r="H6" s="16"/>
      <c r="I6" s="16"/>
      <c r="J6" s="16"/>
      <c r="K6" s="16"/>
      <c r="L6" s="6"/>
      <c r="M6" s="6"/>
    </row>
    <row r="7" spans="2:27" ht="39" customHeight="1" x14ac:dyDescent="0.25">
      <c r="B7" s="17" t="s">
        <v>752</v>
      </c>
      <c r="C7" s="16"/>
      <c r="D7" s="16"/>
      <c r="E7" s="16"/>
      <c r="F7" s="16"/>
      <c r="G7" s="16"/>
      <c r="H7" s="16"/>
      <c r="I7" s="16"/>
      <c r="J7" s="16"/>
      <c r="K7" s="16"/>
      <c r="L7" s="6"/>
      <c r="M7" s="6"/>
    </row>
    <row r="8" spans="2:27" ht="19.5" customHeight="1" x14ac:dyDescent="0.25"/>
    <row r="9" spans="2:27" ht="19.5" customHeight="1" x14ac:dyDescent="0.25"/>
    <row r="10" spans="2:27" ht="19.5" customHeight="1" x14ac:dyDescent="0.25">
      <c r="C10" t="s">
        <v>683</v>
      </c>
      <c r="E10" t="s">
        <v>684</v>
      </c>
    </row>
    <row r="11" spans="2:27" ht="19.5" customHeight="1" x14ac:dyDescent="0.25">
      <c r="B11" s="20" t="s">
        <v>685</v>
      </c>
      <c r="C11" s="25" t="b">
        <v>1</v>
      </c>
      <c r="E11" s="23" t="s">
        <v>686</v>
      </c>
    </row>
    <row r="12" spans="2:27" ht="19.5" customHeight="1" x14ac:dyDescent="0.25">
      <c r="B12" s="20" t="s">
        <v>687</v>
      </c>
      <c r="C12" s="25" t="b">
        <v>1</v>
      </c>
      <c r="E12" s="23" t="s">
        <v>688</v>
      </c>
    </row>
    <row r="13" spans="2:27" ht="19.5" customHeight="1" x14ac:dyDescent="0.25">
      <c r="B13" s="20" t="s">
        <v>689</v>
      </c>
      <c r="C13" s="25" t="b">
        <v>1</v>
      </c>
      <c r="E13" s="23" t="s">
        <v>690</v>
      </c>
    </row>
    <row r="14" spans="2:27" ht="19.5" customHeight="1" x14ac:dyDescent="0.25">
      <c r="B14" s="20" t="s">
        <v>691</v>
      </c>
      <c r="C14" s="25" t="b">
        <v>1</v>
      </c>
      <c r="E14" s="23" t="s">
        <v>717</v>
      </c>
    </row>
    <row r="15" spans="2:27" ht="19.5" customHeight="1" x14ac:dyDescent="0.25">
      <c r="B15" s="20" t="s">
        <v>692</v>
      </c>
      <c r="C15" s="25" t="b">
        <v>1</v>
      </c>
      <c r="E15" s="23" t="s">
        <v>693</v>
      </c>
    </row>
    <row r="16" spans="2:27" ht="19.5" customHeight="1" x14ac:dyDescent="0.25">
      <c r="B16" s="20" t="s">
        <v>694</v>
      </c>
      <c r="C16" s="25" t="b">
        <v>1</v>
      </c>
      <c r="E16" s="23" t="s">
        <v>695</v>
      </c>
    </row>
    <row r="17" spans="2:9" ht="19.5" customHeight="1" x14ac:dyDescent="0.25">
      <c r="B17" s="20" t="s">
        <v>696</v>
      </c>
      <c r="C17" s="25" t="b">
        <v>1</v>
      </c>
      <c r="E17" s="23" t="s">
        <v>697</v>
      </c>
    </row>
    <row r="18" spans="2:9" ht="19.5" customHeight="1" x14ac:dyDescent="0.25">
      <c r="B18" s="20" t="s">
        <v>698</v>
      </c>
      <c r="C18" s="25" t="b">
        <v>1</v>
      </c>
      <c r="E18" s="23" t="s">
        <v>699</v>
      </c>
    </row>
    <row r="19" spans="2:9" ht="19.5" customHeight="1" x14ac:dyDescent="0.25">
      <c r="B19" s="20" t="s">
        <v>700</v>
      </c>
      <c r="C19" s="24" t="s">
        <v>0</v>
      </c>
      <c r="E19" s="23" t="s">
        <v>701</v>
      </c>
    </row>
    <row r="20" spans="2:9" ht="19.5" customHeight="1" x14ac:dyDescent="0.25"/>
    <row r="21" spans="2:9" ht="19.5" customHeight="1" x14ac:dyDescent="0.25">
      <c r="B21" t="s">
        <v>702</v>
      </c>
    </row>
    <row r="22" spans="2:9" ht="19.5" customHeight="1" x14ac:dyDescent="0.25">
      <c r="B22" s="20" t="s">
        <v>703</v>
      </c>
      <c r="C22" s="21" t="s">
        <v>827</v>
      </c>
      <c r="E22" s="23" t="s">
        <v>704</v>
      </c>
    </row>
    <row r="23" spans="2:9" ht="19.5" customHeight="1" x14ac:dyDescent="0.25">
      <c r="B23" s="20" t="s">
        <v>705</v>
      </c>
      <c r="C23" s="27" t="s">
        <v>828</v>
      </c>
      <c r="D23" s="27"/>
      <c r="E23" s="27"/>
      <c r="F23" s="27"/>
      <c r="G23" s="27"/>
      <c r="H23" s="27"/>
      <c r="I23" s="27"/>
    </row>
    <row r="24" spans="2:9" ht="19.5" customHeight="1" x14ac:dyDescent="0.25"/>
    <row r="25" spans="2:9" x14ac:dyDescent="0.25">
      <c r="B25" t="s">
        <v>753</v>
      </c>
    </row>
    <row r="26" spans="2:9" ht="19.5" customHeight="1" x14ac:dyDescent="0.25">
      <c r="B26" s="20" t="s">
        <v>754</v>
      </c>
      <c r="C26" s="26" t="b">
        <v>0</v>
      </c>
      <c r="E26" s="23" t="s">
        <v>755</v>
      </c>
    </row>
    <row r="27" spans="2:9" ht="19.5" customHeight="1" x14ac:dyDescent="0.25">
      <c r="B27" s="20" t="s">
        <v>702</v>
      </c>
      <c r="C27" s="26" t="b">
        <v>0</v>
      </c>
      <c r="E27" s="23" t="s">
        <v>756</v>
      </c>
    </row>
    <row r="28" spans="2:9" ht="19.5" customHeight="1" x14ac:dyDescent="0.25">
      <c r="B28" s="20" t="s">
        <v>757</v>
      </c>
      <c r="C28" s="26" t="b">
        <v>0</v>
      </c>
      <c r="E28" s="23" t="s">
        <v>758</v>
      </c>
    </row>
  </sheetData>
  <mergeCells count="1">
    <mergeCell ref="C23:I23"/>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40" zoomScaleNormal="4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681</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ht="156" x14ac:dyDescent="0.25">
      <c r="B9" s="9" t="s">
        <v>315</v>
      </c>
      <c r="C9" s="9" t="s">
        <v>348</v>
      </c>
      <c r="D9" s="9" t="s">
        <v>349</v>
      </c>
      <c r="E9" s="10" t="s">
        <v>588</v>
      </c>
      <c r="F9" s="10" t="s">
        <v>26</v>
      </c>
    </row>
    <row r="10" spans="2:10" ht="97.5" x14ac:dyDescent="0.25">
      <c r="B10" s="9" t="s">
        <v>350</v>
      </c>
      <c r="C10" s="9" t="s">
        <v>348</v>
      </c>
      <c r="D10" s="9" t="s">
        <v>351</v>
      </c>
      <c r="E10" s="10" t="s">
        <v>589</v>
      </c>
      <c r="F10" s="10" t="s">
        <v>26</v>
      </c>
    </row>
    <row r="11" spans="2:10" ht="58.5" x14ac:dyDescent="0.25">
      <c r="B11" s="9" t="s">
        <v>352</v>
      </c>
      <c r="C11" s="9" t="s">
        <v>348</v>
      </c>
      <c r="D11" s="9" t="s">
        <v>576</v>
      </c>
      <c r="E11" s="10" t="s">
        <v>590</v>
      </c>
      <c r="F11" s="10" t="s">
        <v>26</v>
      </c>
    </row>
    <row r="12" spans="2:10" ht="156" x14ac:dyDescent="0.25">
      <c r="B12" s="9" t="s">
        <v>333</v>
      </c>
      <c r="C12" s="9" t="s">
        <v>348</v>
      </c>
      <c r="D12" s="9" t="s">
        <v>353</v>
      </c>
      <c r="E12" s="10" t="s">
        <v>591</v>
      </c>
      <c r="F12" s="10" t="s">
        <v>627</v>
      </c>
    </row>
    <row r="13" spans="2:10" ht="136.5" x14ac:dyDescent="0.25">
      <c r="B13" s="9" t="s">
        <v>334</v>
      </c>
      <c r="C13" s="9" t="s">
        <v>348</v>
      </c>
      <c r="D13" s="10" t="s">
        <v>354</v>
      </c>
      <c r="E13" s="10" t="s">
        <v>636</v>
      </c>
      <c r="F13" s="10" t="s">
        <v>627</v>
      </c>
    </row>
    <row r="14" spans="2:10" ht="175.5" x14ac:dyDescent="0.25">
      <c r="B14" s="9" t="s">
        <v>355</v>
      </c>
      <c r="C14" s="10" t="s">
        <v>356</v>
      </c>
      <c r="D14" s="10" t="s">
        <v>577</v>
      </c>
      <c r="E14" s="10" t="s">
        <v>637</v>
      </c>
      <c r="F14" s="10" t="s">
        <v>26</v>
      </c>
    </row>
    <row r="15" spans="2:10" ht="97.5" x14ac:dyDescent="0.25">
      <c r="B15" s="9" t="s">
        <v>341</v>
      </c>
      <c r="C15" s="10" t="s">
        <v>348</v>
      </c>
      <c r="D15" s="10" t="s">
        <v>357</v>
      </c>
      <c r="E15" s="10" t="s">
        <v>592</v>
      </c>
      <c r="F15" s="10" t="s">
        <v>627</v>
      </c>
    </row>
    <row r="16" spans="2:10" ht="39" x14ac:dyDescent="0.25">
      <c r="B16" s="9" t="s">
        <v>358</v>
      </c>
      <c r="C16" s="10" t="s">
        <v>348</v>
      </c>
      <c r="D16" s="10" t="s">
        <v>359</v>
      </c>
      <c r="E16" s="10" t="s">
        <v>638</v>
      </c>
      <c r="F16" s="10" t="s">
        <v>26</v>
      </c>
    </row>
    <row r="17" spans="2:6" ht="390" x14ac:dyDescent="0.25">
      <c r="B17" s="9" t="s">
        <v>360</v>
      </c>
      <c r="C17" s="10" t="s">
        <v>25</v>
      </c>
      <c r="D17" s="10" t="s">
        <v>361</v>
      </c>
      <c r="E17" s="10" t="s">
        <v>639</v>
      </c>
      <c r="F17" s="10" t="s">
        <v>26</v>
      </c>
    </row>
    <row r="18" spans="2:6" ht="136.5" x14ac:dyDescent="0.25">
      <c r="B18" s="9" t="s">
        <v>344</v>
      </c>
      <c r="C18" s="10" t="s">
        <v>348</v>
      </c>
      <c r="D18" s="10" t="s">
        <v>362</v>
      </c>
      <c r="E18" s="10" t="s">
        <v>593</v>
      </c>
      <c r="F18" s="10" t="s">
        <v>627</v>
      </c>
    </row>
    <row r="19" spans="2:6" ht="97.5" x14ac:dyDescent="0.25">
      <c r="B19" s="9" t="s">
        <v>346</v>
      </c>
      <c r="C19" s="9" t="s">
        <v>348</v>
      </c>
      <c r="D19" s="9" t="s">
        <v>363</v>
      </c>
      <c r="E19" s="10" t="s">
        <v>594</v>
      </c>
      <c r="F19" s="10" t="s">
        <v>26</v>
      </c>
    </row>
    <row r="20" spans="2:6" ht="58.5" x14ac:dyDescent="0.25">
      <c r="B20" s="9" t="s">
        <v>364</v>
      </c>
      <c r="C20" s="9" t="s">
        <v>365</v>
      </c>
      <c r="D20" s="9" t="s">
        <v>366</v>
      </c>
      <c r="E20" s="10" t="s">
        <v>595</v>
      </c>
      <c r="F20" s="10" t="s">
        <v>26</v>
      </c>
    </row>
    <row r="21" spans="2:6" ht="78" x14ac:dyDescent="0.25">
      <c r="B21" s="9" t="s">
        <v>347</v>
      </c>
      <c r="C21" s="9" t="s">
        <v>348</v>
      </c>
      <c r="D21" s="10" t="s">
        <v>367</v>
      </c>
      <c r="E21" s="10" t="s">
        <v>596</v>
      </c>
      <c r="F21" s="10" t="s">
        <v>26</v>
      </c>
    </row>
    <row r="22" spans="2:6" ht="58.5" x14ac:dyDescent="0.25">
      <c r="B22" s="9" t="s">
        <v>368</v>
      </c>
      <c r="C22" s="9" t="s">
        <v>25</v>
      </c>
      <c r="D22" s="9" t="s">
        <v>369</v>
      </c>
      <c r="E22" s="10" t="s">
        <v>597</v>
      </c>
      <c r="F22" s="10" t="s">
        <v>10</v>
      </c>
    </row>
    <row r="23" spans="2:6" ht="195" x14ac:dyDescent="0.25">
      <c r="B23" t="s">
        <v>321</v>
      </c>
      <c r="C23" s="9" t="s">
        <v>348</v>
      </c>
      <c r="D23" s="9" t="s">
        <v>370</v>
      </c>
      <c r="E23" s="10" t="s">
        <v>598</v>
      </c>
      <c r="F23" s="10" t="s">
        <v>26</v>
      </c>
    </row>
    <row r="24" spans="2:6" ht="58.5" x14ac:dyDescent="0.25">
      <c r="B24" s="9" t="s">
        <v>328</v>
      </c>
      <c r="C24" s="9" t="s">
        <v>348</v>
      </c>
      <c r="D24" s="9" t="s">
        <v>371</v>
      </c>
      <c r="E24" s="10" t="s">
        <v>599</v>
      </c>
      <c r="F24" s="10" t="s">
        <v>26</v>
      </c>
    </row>
    <row r="25" spans="2:6" ht="39" x14ac:dyDescent="0.25">
      <c r="B25" s="9" t="s">
        <v>320</v>
      </c>
      <c r="C25" s="9" t="s">
        <v>348</v>
      </c>
      <c r="D25" s="9" t="s">
        <v>815</v>
      </c>
      <c r="E25" s="10" t="s">
        <v>816</v>
      </c>
      <c r="F25" s="10" t="s">
        <v>26</v>
      </c>
    </row>
    <row r="26" spans="2:6" ht="136.5" x14ac:dyDescent="0.25">
      <c r="B26" s="9" t="s">
        <v>372</v>
      </c>
      <c r="C26" s="9" t="s">
        <v>373</v>
      </c>
      <c r="D26" s="9" t="s">
        <v>374</v>
      </c>
      <c r="E26" s="10" t="s">
        <v>640</v>
      </c>
      <c r="F26" s="10" t="s">
        <v>627</v>
      </c>
    </row>
    <row r="27" spans="2:6" ht="331.5" x14ac:dyDescent="0.25">
      <c r="B27" s="9" t="s">
        <v>322</v>
      </c>
      <c r="C27" s="9" t="s">
        <v>348</v>
      </c>
      <c r="D27" s="9" t="s">
        <v>375</v>
      </c>
      <c r="E27" s="10" t="s">
        <v>641</v>
      </c>
      <c r="F27" s="10" t="s">
        <v>627</v>
      </c>
    </row>
    <row r="28" spans="2:6" ht="175.5" x14ac:dyDescent="0.25">
      <c r="B28" s="9" t="s">
        <v>329</v>
      </c>
      <c r="C28" s="9" t="s">
        <v>348</v>
      </c>
      <c r="D28" s="9" t="s">
        <v>578</v>
      </c>
      <c r="E28" s="10" t="s">
        <v>600</v>
      </c>
      <c r="F28" s="10" t="s">
        <v>26</v>
      </c>
    </row>
    <row r="29" spans="2:6" ht="97.5" x14ac:dyDescent="0.25">
      <c r="B29" s="9" t="s">
        <v>376</v>
      </c>
      <c r="C29" s="9" t="s">
        <v>24</v>
      </c>
      <c r="D29" s="9" t="s">
        <v>377</v>
      </c>
      <c r="E29" s="10" t="s">
        <v>642</v>
      </c>
      <c r="F29" s="10" t="s">
        <v>26</v>
      </c>
    </row>
    <row r="30" spans="2:6" ht="117" x14ac:dyDescent="0.25">
      <c r="B30" s="9" t="s">
        <v>378</v>
      </c>
      <c r="C30" s="9" t="s">
        <v>348</v>
      </c>
      <c r="D30" s="9" t="s">
        <v>379</v>
      </c>
      <c r="E30" s="10" t="s">
        <v>643</v>
      </c>
      <c r="F30" s="10" t="s">
        <v>628</v>
      </c>
    </row>
    <row r="31" spans="2:6" ht="234" x14ac:dyDescent="0.25">
      <c r="B31" s="9" t="s">
        <v>380</v>
      </c>
      <c r="C31" s="9" t="s">
        <v>12</v>
      </c>
      <c r="D31" s="9" t="s">
        <v>381</v>
      </c>
      <c r="E31" s="10" t="s">
        <v>644</v>
      </c>
      <c r="F31" s="10" t="s">
        <v>628</v>
      </c>
    </row>
    <row r="32" spans="2:6" ht="234" x14ac:dyDescent="0.25">
      <c r="B32" s="9" t="s">
        <v>382</v>
      </c>
      <c r="C32" s="9" t="s">
        <v>348</v>
      </c>
      <c r="D32" s="9" t="s">
        <v>383</v>
      </c>
      <c r="E32" s="10" t="s">
        <v>601</v>
      </c>
      <c r="F32" s="10" t="s">
        <v>627</v>
      </c>
    </row>
    <row r="33" spans="2:6" ht="195" x14ac:dyDescent="0.25">
      <c r="B33" s="9" t="s">
        <v>384</v>
      </c>
      <c r="C33" s="9" t="s">
        <v>348</v>
      </c>
      <c r="D33" s="9" t="s">
        <v>385</v>
      </c>
      <c r="E33" s="10" t="s">
        <v>645</v>
      </c>
      <c r="F33" s="10" t="s">
        <v>627</v>
      </c>
    </row>
    <row r="34" spans="2:6" ht="156" x14ac:dyDescent="0.25">
      <c r="B34" s="9" t="s">
        <v>386</v>
      </c>
      <c r="C34" s="9" t="s">
        <v>348</v>
      </c>
      <c r="D34" s="9" t="s">
        <v>387</v>
      </c>
      <c r="E34" s="10" t="s">
        <v>602</v>
      </c>
      <c r="F34" s="10" t="s">
        <v>627</v>
      </c>
    </row>
    <row r="35" spans="2:6" ht="156" x14ac:dyDescent="0.25">
      <c r="B35" s="9" t="s">
        <v>336</v>
      </c>
      <c r="C35" s="9" t="s">
        <v>348</v>
      </c>
      <c r="D35" s="9" t="s">
        <v>388</v>
      </c>
      <c r="E35" s="10" t="s">
        <v>603</v>
      </c>
      <c r="F35" s="10" t="s">
        <v>629</v>
      </c>
    </row>
    <row r="36" spans="2:6" ht="409.5" x14ac:dyDescent="0.25">
      <c r="B36" s="9" t="s">
        <v>337</v>
      </c>
      <c r="C36" s="9" t="s">
        <v>348</v>
      </c>
      <c r="D36" s="9" t="s">
        <v>579</v>
      </c>
      <c r="E36" s="10" t="s">
        <v>646</v>
      </c>
      <c r="F36" s="10" t="s">
        <v>629</v>
      </c>
    </row>
    <row r="37" spans="2:6" ht="234" x14ac:dyDescent="0.25">
      <c r="B37" s="9" t="s">
        <v>338</v>
      </c>
      <c r="C37" s="9" t="s">
        <v>348</v>
      </c>
      <c r="D37" s="9" t="s">
        <v>389</v>
      </c>
      <c r="E37" s="10" t="s">
        <v>647</v>
      </c>
      <c r="F37" s="10" t="s">
        <v>627</v>
      </c>
    </row>
    <row r="38" spans="2:6" ht="253.5" x14ac:dyDescent="0.25">
      <c r="B38" s="9" t="s">
        <v>339</v>
      </c>
      <c r="C38" s="9" t="s">
        <v>348</v>
      </c>
      <c r="D38" s="9" t="s">
        <v>390</v>
      </c>
      <c r="E38" s="10" t="s">
        <v>648</v>
      </c>
      <c r="F38" s="10" t="s">
        <v>26</v>
      </c>
    </row>
    <row r="39" spans="2:6" ht="195" x14ac:dyDescent="0.25">
      <c r="B39" s="9" t="s">
        <v>340</v>
      </c>
      <c r="C39" s="9" t="s">
        <v>348</v>
      </c>
      <c r="D39" s="9" t="s">
        <v>391</v>
      </c>
      <c r="E39" s="10" t="s">
        <v>649</v>
      </c>
      <c r="F39" s="10" t="s">
        <v>629</v>
      </c>
    </row>
    <row r="40" spans="2:6" ht="39" x14ac:dyDescent="0.25">
      <c r="B40" s="9" t="s">
        <v>67</v>
      </c>
      <c r="C40" s="9" t="s">
        <v>43</v>
      </c>
      <c r="D40" s="9" t="s">
        <v>53</v>
      </c>
      <c r="E40" s="10" t="s">
        <v>604</v>
      </c>
      <c r="F40" s="10" t="s">
        <v>26</v>
      </c>
    </row>
    <row r="41" spans="2:6" ht="58.5" x14ac:dyDescent="0.25">
      <c r="B41" s="9" t="s">
        <v>392</v>
      </c>
      <c r="C41" s="9" t="s">
        <v>12</v>
      </c>
      <c r="D41" s="9" t="s">
        <v>393</v>
      </c>
      <c r="E41" s="10" t="s">
        <v>650</v>
      </c>
      <c r="F41" s="10" t="s">
        <v>630</v>
      </c>
    </row>
    <row r="42" spans="2:6" ht="78" x14ac:dyDescent="0.25">
      <c r="B42" s="9" t="s">
        <v>726</v>
      </c>
      <c r="C42" s="9" t="s">
        <v>12</v>
      </c>
      <c r="D42" s="9" t="s">
        <v>727</v>
      </c>
      <c r="E42" s="10" t="s">
        <v>728</v>
      </c>
      <c r="F42" s="10" t="s">
        <v>729</v>
      </c>
    </row>
    <row r="43" spans="2:6" ht="78" x14ac:dyDescent="0.25">
      <c r="B43" s="9" t="s">
        <v>730</v>
      </c>
      <c r="C43" s="9" t="s">
        <v>12</v>
      </c>
      <c r="D43" s="9" t="s">
        <v>731</v>
      </c>
      <c r="E43" s="10" t="s">
        <v>732</v>
      </c>
      <c r="F43" s="10" t="s">
        <v>729</v>
      </c>
    </row>
    <row r="44" spans="2:6" ht="214.5" x14ac:dyDescent="0.25">
      <c r="B44" s="9" t="s">
        <v>394</v>
      </c>
      <c r="C44" s="9" t="s">
        <v>12</v>
      </c>
      <c r="D44" s="10" t="s">
        <v>395</v>
      </c>
      <c r="E44" s="10" t="s">
        <v>605</v>
      </c>
      <c r="F44" s="10" t="s">
        <v>631</v>
      </c>
    </row>
    <row r="45" spans="2:6" ht="195" x14ac:dyDescent="0.25">
      <c r="B45" s="9" t="s">
        <v>54</v>
      </c>
      <c r="C45" s="9" t="s">
        <v>396</v>
      </c>
      <c r="D45" s="9" t="s">
        <v>397</v>
      </c>
      <c r="E45" s="10" t="s">
        <v>651</v>
      </c>
      <c r="F45" s="10" t="s">
        <v>26</v>
      </c>
    </row>
    <row r="46" spans="2:6" ht="58.5" x14ac:dyDescent="0.25">
      <c r="B46" s="9" t="s">
        <v>317</v>
      </c>
      <c r="C46" s="9" t="s">
        <v>348</v>
      </c>
      <c r="D46" s="9" t="s">
        <v>580</v>
      </c>
      <c r="E46" s="10" t="s">
        <v>606</v>
      </c>
      <c r="F46" s="10" t="s">
        <v>26</v>
      </c>
    </row>
    <row r="47" spans="2:6" ht="58.5" x14ac:dyDescent="0.25">
      <c r="B47" s="9" t="s">
        <v>319</v>
      </c>
      <c r="C47" s="9" t="s">
        <v>348</v>
      </c>
      <c r="D47" s="9" t="s">
        <v>581</v>
      </c>
      <c r="E47" s="10" t="s">
        <v>607</v>
      </c>
      <c r="F47" s="10" t="s">
        <v>26</v>
      </c>
    </row>
    <row r="48" spans="2:6" ht="97.5" x14ac:dyDescent="0.25">
      <c r="B48" s="9" t="s">
        <v>398</v>
      </c>
      <c r="C48" s="9" t="s">
        <v>7</v>
      </c>
      <c r="D48" s="9" t="s">
        <v>399</v>
      </c>
      <c r="E48" s="10" t="s">
        <v>652</v>
      </c>
      <c r="F48" s="10" t="s">
        <v>26</v>
      </c>
    </row>
    <row r="49" spans="2:6" ht="78" x14ac:dyDescent="0.25">
      <c r="B49" s="9" t="s">
        <v>400</v>
      </c>
      <c r="C49" s="9" t="s">
        <v>7</v>
      </c>
      <c r="D49" s="9" t="s">
        <v>401</v>
      </c>
      <c r="E49" s="10" t="s">
        <v>608</v>
      </c>
      <c r="F49" s="10" t="s">
        <v>26</v>
      </c>
    </row>
    <row r="50" spans="2:6" ht="195" x14ac:dyDescent="0.25">
      <c r="B50" s="9" t="s">
        <v>402</v>
      </c>
      <c r="C50" s="9" t="s">
        <v>373</v>
      </c>
      <c r="D50" s="9" t="s">
        <v>403</v>
      </c>
      <c r="E50" s="10" t="s">
        <v>665</v>
      </c>
      <c r="F50" s="10" t="s">
        <v>632</v>
      </c>
    </row>
    <row r="51" spans="2:6" ht="78" x14ac:dyDescent="0.25">
      <c r="B51" s="9" t="s">
        <v>404</v>
      </c>
      <c r="C51" s="9" t="s">
        <v>373</v>
      </c>
      <c r="D51" s="9" t="s">
        <v>405</v>
      </c>
      <c r="E51" s="10" t="s">
        <v>653</v>
      </c>
      <c r="F51" s="10" t="s">
        <v>26</v>
      </c>
    </row>
    <row r="52" spans="2:6" ht="117" x14ac:dyDescent="0.25">
      <c r="B52" s="9" t="s">
        <v>318</v>
      </c>
      <c r="C52" s="9" t="s">
        <v>348</v>
      </c>
      <c r="D52" s="9" t="s">
        <v>406</v>
      </c>
      <c r="E52" s="10" t="s">
        <v>654</v>
      </c>
      <c r="F52" s="10" t="s">
        <v>26</v>
      </c>
    </row>
    <row r="53" spans="2:6" x14ac:dyDescent="0.25">
      <c r="B53" s="9" t="s">
        <v>407</v>
      </c>
      <c r="C53" s="9" t="s">
        <v>25</v>
      </c>
      <c r="D53" s="9" t="s">
        <v>408</v>
      </c>
      <c r="E53" s="9" t="s">
        <v>655</v>
      </c>
      <c r="F53" s="10" t="s">
        <v>627</v>
      </c>
    </row>
    <row r="54" spans="2:6" x14ac:dyDescent="0.25">
      <c r="B54" s="9" t="s">
        <v>409</v>
      </c>
      <c r="C54" s="9" t="s">
        <v>24</v>
      </c>
      <c r="D54" s="9" t="s">
        <v>410</v>
      </c>
      <c r="E54" s="9" t="s">
        <v>656</v>
      </c>
      <c r="F54" s="10" t="s">
        <v>627</v>
      </c>
    </row>
    <row r="55" spans="2:6" x14ac:dyDescent="0.25">
      <c r="B55" s="9" t="s">
        <v>314</v>
      </c>
      <c r="C55" s="9" t="s">
        <v>348</v>
      </c>
      <c r="D55" s="9" t="s">
        <v>411</v>
      </c>
      <c r="E55" s="9" t="s">
        <v>17</v>
      </c>
      <c r="F55" s="10" t="s">
        <v>26</v>
      </c>
    </row>
    <row r="56" spans="2:6" x14ac:dyDescent="0.25">
      <c r="B56" s="9" t="s">
        <v>316</v>
      </c>
      <c r="C56" s="9" t="s">
        <v>348</v>
      </c>
      <c r="D56" s="9" t="s">
        <v>412</v>
      </c>
      <c r="E56" s="9" t="s">
        <v>609</v>
      </c>
      <c r="F56" s="10" t="s">
        <v>26</v>
      </c>
    </row>
    <row r="57" spans="2:6" x14ac:dyDescent="0.25">
      <c r="B57" s="9" t="s">
        <v>324</v>
      </c>
      <c r="C57" s="9" t="s">
        <v>348</v>
      </c>
      <c r="D57" s="9" t="s">
        <v>413</v>
      </c>
      <c r="E57" s="9" t="s">
        <v>610</v>
      </c>
      <c r="F57" s="10" t="s">
        <v>26</v>
      </c>
    </row>
    <row r="58" spans="2:6" ht="78" x14ac:dyDescent="0.25">
      <c r="B58" s="9" t="s">
        <v>331</v>
      </c>
      <c r="C58" s="9" t="s">
        <v>348</v>
      </c>
      <c r="D58" s="9" t="s">
        <v>414</v>
      </c>
      <c r="E58" s="10" t="s">
        <v>611</v>
      </c>
      <c r="F58" s="10" t="s">
        <v>26</v>
      </c>
    </row>
    <row r="59" spans="2:6" ht="156" x14ac:dyDescent="0.25">
      <c r="B59" s="9" t="s">
        <v>810</v>
      </c>
      <c r="C59" s="9" t="s">
        <v>12</v>
      </c>
      <c r="D59" s="9" t="s">
        <v>811</v>
      </c>
      <c r="E59" s="10" t="s">
        <v>812</v>
      </c>
      <c r="F59" s="10" t="s">
        <v>628</v>
      </c>
    </row>
    <row r="60" spans="2:6" ht="39" x14ac:dyDescent="0.25">
      <c r="B60" s="9" t="s">
        <v>415</v>
      </c>
      <c r="C60" s="9" t="s">
        <v>348</v>
      </c>
      <c r="D60" s="9" t="s">
        <v>416</v>
      </c>
      <c r="E60" s="9" t="s">
        <v>612</v>
      </c>
      <c r="F60" s="10" t="s">
        <v>633</v>
      </c>
    </row>
    <row r="61" spans="2:6" x14ac:dyDescent="0.25">
      <c r="B61" s="9" t="s">
        <v>342</v>
      </c>
      <c r="C61" s="9" t="s">
        <v>348</v>
      </c>
      <c r="D61" s="9" t="s">
        <v>417</v>
      </c>
      <c r="E61" s="9" t="s">
        <v>613</v>
      </c>
      <c r="F61" s="10" t="s">
        <v>26</v>
      </c>
    </row>
    <row r="62" spans="2:6" ht="58.5" x14ac:dyDescent="0.25">
      <c r="B62" s="9" t="s">
        <v>323</v>
      </c>
      <c r="C62" s="9" t="s">
        <v>348</v>
      </c>
      <c r="D62" s="9" t="s">
        <v>418</v>
      </c>
      <c r="E62" s="10" t="s">
        <v>657</v>
      </c>
      <c r="F62" s="10" t="s">
        <v>26</v>
      </c>
    </row>
    <row r="63" spans="2:6" ht="136.5" x14ac:dyDescent="0.25">
      <c r="B63" s="9" t="s">
        <v>325</v>
      </c>
      <c r="C63" s="9" t="s">
        <v>348</v>
      </c>
      <c r="D63" s="9" t="s">
        <v>419</v>
      </c>
      <c r="E63" s="10" t="s">
        <v>658</v>
      </c>
      <c r="F63" s="10" t="s">
        <v>26</v>
      </c>
    </row>
    <row r="64" spans="2:6" ht="97.5" x14ac:dyDescent="0.25">
      <c r="B64" s="9" t="s">
        <v>420</v>
      </c>
      <c r="C64" s="9" t="s">
        <v>348</v>
      </c>
      <c r="D64" s="9" t="s">
        <v>421</v>
      </c>
      <c r="E64" s="10" t="s">
        <v>614</v>
      </c>
      <c r="F64" s="10" t="s">
        <v>26</v>
      </c>
    </row>
    <row r="65" spans="2:6" ht="39" x14ac:dyDescent="0.25">
      <c r="B65" s="9" t="s">
        <v>422</v>
      </c>
      <c r="C65" s="9" t="s">
        <v>348</v>
      </c>
      <c r="D65" s="9" t="s">
        <v>423</v>
      </c>
      <c r="E65" s="10" t="s">
        <v>615</v>
      </c>
      <c r="F65" s="10" t="s">
        <v>26</v>
      </c>
    </row>
    <row r="66" spans="2:6" ht="156" x14ac:dyDescent="0.25">
      <c r="B66" s="9" t="s">
        <v>424</v>
      </c>
      <c r="C66" s="9" t="s">
        <v>373</v>
      </c>
      <c r="D66" s="9" t="s">
        <v>425</v>
      </c>
      <c r="E66" s="10" t="s">
        <v>616</v>
      </c>
      <c r="F66" s="10" t="s">
        <v>632</v>
      </c>
    </row>
    <row r="67" spans="2:6" ht="78" x14ac:dyDescent="0.25">
      <c r="B67" s="9" t="s">
        <v>426</v>
      </c>
      <c r="C67" s="9" t="s">
        <v>348</v>
      </c>
      <c r="D67" s="9" t="s">
        <v>427</v>
      </c>
      <c r="E67" s="10" t="s">
        <v>617</v>
      </c>
      <c r="F67" s="10" t="s">
        <v>26</v>
      </c>
    </row>
    <row r="68" spans="2:6" ht="97.5" x14ac:dyDescent="0.25">
      <c r="B68" s="9" t="s">
        <v>428</v>
      </c>
      <c r="C68" s="9" t="s">
        <v>348</v>
      </c>
      <c r="D68" s="9" t="s">
        <v>429</v>
      </c>
      <c r="E68" s="10" t="s">
        <v>618</v>
      </c>
      <c r="F68" s="10" t="s">
        <v>26</v>
      </c>
    </row>
    <row r="69" spans="2:6" x14ac:dyDescent="0.25">
      <c r="B69" s="9" t="s">
        <v>330</v>
      </c>
      <c r="C69" s="9" t="s">
        <v>348</v>
      </c>
      <c r="D69" s="9" t="s">
        <v>430</v>
      </c>
      <c r="E69" s="9" t="s">
        <v>619</v>
      </c>
      <c r="F69" s="10" t="s">
        <v>26</v>
      </c>
    </row>
    <row r="70" spans="2:6" ht="78" x14ac:dyDescent="0.25">
      <c r="B70" s="9" t="s">
        <v>431</v>
      </c>
      <c r="C70" s="9" t="s">
        <v>587</v>
      </c>
      <c r="D70" s="9" t="s">
        <v>432</v>
      </c>
      <c r="E70" s="10" t="s">
        <v>620</v>
      </c>
      <c r="F70" s="10" t="s">
        <v>26</v>
      </c>
    </row>
    <row r="71" spans="2:6" ht="117" x14ac:dyDescent="0.25">
      <c r="B71" s="9" t="s">
        <v>326</v>
      </c>
      <c r="C71" s="9" t="s">
        <v>348</v>
      </c>
      <c r="D71" s="9" t="s">
        <v>433</v>
      </c>
      <c r="E71" s="10" t="s">
        <v>659</v>
      </c>
      <c r="F71" s="10" t="s">
        <v>26</v>
      </c>
    </row>
    <row r="72" spans="2:6" ht="136.5" x14ac:dyDescent="0.25">
      <c r="B72" s="9" t="s">
        <v>327</v>
      </c>
      <c r="C72" s="9" t="s">
        <v>348</v>
      </c>
      <c r="D72" s="9" t="s">
        <v>434</v>
      </c>
      <c r="E72" s="10" t="s">
        <v>660</v>
      </c>
      <c r="F72" s="10" t="s">
        <v>26</v>
      </c>
    </row>
    <row r="73" spans="2:6" ht="58.5" x14ac:dyDescent="0.25">
      <c r="B73" s="9" t="s">
        <v>435</v>
      </c>
      <c r="C73" s="9" t="s">
        <v>12</v>
      </c>
      <c r="D73" s="9" t="s">
        <v>436</v>
      </c>
      <c r="E73" s="10" t="s">
        <v>621</v>
      </c>
      <c r="F73" s="10" t="s">
        <v>26</v>
      </c>
    </row>
    <row r="74" spans="2:6" ht="39" x14ac:dyDescent="0.25">
      <c r="B74" s="9" t="s">
        <v>437</v>
      </c>
      <c r="C74" s="9" t="s">
        <v>12</v>
      </c>
      <c r="D74" s="9" t="s">
        <v>438</v>
      </c>
      <c r="E74" s="10" t="s">
        <v>622</v>
      </c>
      <c r="F74" s="10" t="s">
        <v>634</v>
      </c>
    </row>
    <row r="75" spans="2:6" ht="58.5" x14ac:dyDescent="0.25">
      <c r="B75" s="9" t="s">
        <v>332</v>
      </c>
      <c r="C75" s="9" t="s">
        <v>348</v>
      </c>
      <c r="D75" s="9" t="s">
        <v>439</v>
      </c>
      <c r="E75" s="10" t="s">
        <v>623</v>
      </c>
      <c r="F75" s="10" t="s">
        <v>26</v>
      </c>
    </row>
    <row r="76" spans="2:6" ht="39" x14ac:dyDescent="0.25">
      <c r="B76" s="9" t="s">
        <v>440</v>
      </c>
      <c r="C76" s="9" t="s">
        <v>12</v>
      </c>
      <c r="D76" s="9" t="s">
        <v>441</v>
      </c>
      <c r="E76" s="10" t="s">
        <v>624</v>
      </c>
      <c r="F76" s="10" t="s">
        <v>634</v>
      </c>
    </row>
    <row r="77" spans="2:6" ht="78" x14ac:dyDescent="0.25">
      <c r="B77" s="9" t="s">
        <v>335</v>
      </c>
      <c r="C77" s="9" t="s">
        <v>348</v>
      </c>
      <c r="D77" s="9" t="s">
        <v>813</v>
      </c>
      <c r="E77" s="10" t="s">
        <v>814</v>
      </c>
      <c r="F77" s="10" t="s">
        <v>26</v>
      </c>
    </row>
    <row r="78" spans="2:6" ht="175.5" x14ac:dyDescent="0.25">
      <c r="B78" s="9" t="s">
        <v>442</v>
      </c>
      <c r="C78" s="9" t="s">
        <v>348</v>
      </c>
      <c r="D78" s="9" t="s">
        <v>443</v>
      </c>
      <c r="E78" s="10" t="s">
        <v>661</v>
      </c>
      <c r="F78" s="10" t="s">
        <v>26</v>
      </c>
    </row>
    <row r="79" spans="2:6" ht="117" x14ac:dyDescent="0.25">
      <c r="B79" s="9" t="s">
        <v>444</v>
      </c>
      <c r="C79" s="9" t="s">
        <v>12</v>
      </c>
      <c r="D79" s="9" t="s">
        <v>445</v>
      </c>
      <c r="E79" s="10" t="s">
        <v>662</v>
      </c>
      <c r="F79" s="10" t="s">
        <v>635</v>
      </c>
    </row>
    <row r="80" spans="2:6" ht="97.5" x14ac:dyDescent="0.25">
      <c r="B80" s="9" t="s">
        <v>446</v>
      </c>
      <c r="C80" s="9" t="s">
        <v>348</v>
      </c>
      <c r="D80" s="9" t="s">
        <v>447</v>
      </c>
      <c r="E80" s="10" t="s">
        <v>625</v>
      </c>
      <c r="F80" s="10" t="s">
        <v>26</v>
      </c>
    </row>
    <row r="81" spans="2:6" ht="156" x14ac:dyDescent="0.25">
      <c r="B81" s="9" t="s">
        <v>343</v>
      </c>
      <c r="C81" s="9" t="s">
        <v>348</v>
      </c>
      <c r="D81" s="9" t="s">
        <v>448</v>
      </c>
      <c r="E81" s="10" t="s">
        <v>663</v>
      </c>
      <c r="F81" s="10" t="s">
        <v>26</v>
      </c>
    </row>
    <row r="82" spans="2:6" ht="117" x14ac:dyDescent="0.25">
      <c r="B82" s="9" t="s">
        <v>345</v>
      </c>
      <c r="C82" s="9" t="s">
        <v>348</v>
      </c>
      <c r="D82" s="9" t="s">
        <v>449</v>
      </c>
      <c r="E82" s="10" t="s">
        <v>626</v>
      </c>
      <c r="F82" s="10" t="s">
        <v>26</v>
      </c>
    </row>
    <row r="83" spans="2:6" ht="156" x14ac:dyDescent="0.25">
      <c r="B83" s="9" t="s">
        <v>764</v>
      </c>
      <c r="C83" s="9" t="s">
        <v>12</v>
      </c>
      <c r="D83" s="9" t="s">
        <v>765</v>
      </c>
      <c r="E83" s="10" t="s">
        <v>766</v>
      </c>
      <c r="F83" s="10" t="s">
        <v>26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880AA-F0A0-44D2-8330-FA1FAA37C5BD}">
  <sheetPr codeName="Sheet14"/>
  <dimension ref="B4:B91"/>
  <sheetViews>
    <sheetView showGridLines="0" zoomScale="55" zoomScaleNormal="55" workbookViewId="0">
      <pane xSplit="3" ySplit="7" topLeftCell="D8" activePane="bottomRight" state="frozen"/>
      <selection pane="topRight" activeCell="D1" sqref="D1"/>
      <selection pane="bottomLeft" activeCell="A8" sqref="A8"/>
      <selection pane="bottomRight" activeCell="D8" sqref="D8"/>
    </sheetView>
  </sheetViews>
  <sheetFormatPr defaultRowHeight="19.5" x14ac:dyDescent="0.25"/>
  <cols>
    <col min="1" max="1" width="1.69140625" customWidth="1"/>
    <col min="2" max="2" width="28.765625" bestFit="1" customWidth="1"/>
    <col min="3" max="3" width="2.4609375" customWidth="1"/>
    <col min="4" max="4" width="34.15234375" bestFit="1" customWidth="1"/>
    <col min="5" max="6" width="12.69140625" bestFit="1" customWidth="1"/>
    <col min="7" max="7" width="18.53515625" bestFit="1" customWidth="1"/>
    <col min="8" max="8" width="19.15234375" bestFit="1" customWidth="1"/>
    <col min="9" max="9" width="8.07421875" bestFit="1" customWidth="1"/>
    <col min="10" max="10" width="8.921875" bestFit="1" customWidth="1"/>
    <col min="11" max="11" width="7.3046875" bestFit="1" customWidth="1"/>
    <col min="12" max="15" width="1.765625" bestFit="1" customWidth="1"/>
    <col min="16" max="16" width="3.15234375" bestFit="1" customWidth="1"/>
    <col min="17" max="17" width="5.15234375" bestFit="1" customWidth="1"/>
    <col min="18" max="18" width="4.3046875" bestFit="1" customWidth="1"/>
    <col min="19" max="19" width="4.15234375" bestFit="1" customWidth="1"/>
    <col min="20" max="20" width="1.765625" bestFit="1" customWidth="1"/>
    <col min="21" max="21" width="1.765625" customWidth="1"/>
    <col min="22" max="22" width="1.765625" bestFit="1" customWidth="1"/>
    <col min="24" max="24" width="26.3828125" bestFit="1" customWidth="1"/>
    <col min="26" max="26" width="23.15234375" bestFit="1" customWidth="1"/>
    <col min="28" max="28" width="9.765625" bestFit="1" customWidth="1"/>
    <col min="30" max="33" width="8.69140625" customWidth="1"/>
    <col min="34" max="34" width="9.765625" bestFit="1" customWidth="1"/>
    <col min="35" max="35" width="9.4609375" bestFit="1" customWidth="1"/>
    <col min="36" max="36" width="3.765625" bestFit="1" customWidth="1"/>
    <col min="37" max="37" width="9.765625" bestFit="1" customWidth="1"/>
    <col min="38" max="38" width="5.921875" bestFit="1" customWidth="1"/>
    <col min="39" max="39" width="8.765625" bestFit="1" customWidth="1"/>
    <col min="40" max="40" width="5.53515625" bestFit="1" customWidth="1"/>
    <col min="41" max="41" width="16.53515625" customWidth="1"/>
    <col min="42" max="42" width="9.765625" bestFit="1" customWidth="1"/>
  </cols>
  <sheetData>
    <row r="4" spans="2:2" x14ac:dyDescent="0.25">
      <c r="B4" t="s">
        <v>564</v>
      </c>
    </row>
    <row r="5" spans="2:2" x14ac:dyDescent="0.25">
      <c r="B5" t="s">
        <v>40</v>
      </c>
    </row>
    <row r="6" spans="2:2" x14ac:dyDescent="0.25">
      <c r="B6">
        <f>COUNTA(_xlfn.ANCHORARRAY(B8))</f>
        <v>84</v>
      </c>
    </row>
    <row r="7" spans="2:2" x14ac:dyDescent="0.25">
      <c r="B7" t="s">
        <v>20</v>
      </c>
    </row>
    <row r="8" spans="2:2" x14ac:dyDescent="0.25">
      <c r="B8" t="str" cm="1">
        <f t="array" ref="B8:B91">TRANSPOSE(ListLambdas())</f>
        <v>Addresses_byDiarmuidEarly</v>
      </c>
    </row>
    <row r="9" spans="2:2" x14ac:dyDescent="0.25">
      <c r="B9" t="str">
        <v>Alphabet_byHadynWiseman</v>
      </c>
    </row>
    <row r="10" spans="2:2" x14ac:dyDescent="0.25">
      <c r="B10" t="str">
        <v>ArrayShift_byHadynWiseman</v>
      </c>
    </row>
    <row r="11" spans="2:2" x14ac:dyDescent="0.25">
      <c r="B11" t="str">
        <v>ARROWSHIFT_byEmilieWilliams</v>
      </c>
    </row>
    <row r="12" spans="2:2" x14ac:dyDescent="0.25">
      <c r="B12" t="str">
        <v>ArrowsLookup_byHadynWiseman</v>
      </c>
    </row>
    <row r="13" spans="2:2" x14ac:dyDescent="0.25">
      <c r="B13" t="str">
        <v>BiCol_byHadynWiseman</v>
      </c>
    </row>
    <row r="14" spans="2:2" x14ac:dyDescent="0.25">
      <c r="B14" t="str">
        <v>Biggest_byHadynWiseman</v>
      </c>
    </row>
    <row r="15" spans="2:2" x14ac:dyDescent="0.25">
      <c r="B15" t="str">
        <v>BiRow_byHadynWiseman</v>
      </c>
    </row>
    <row r="16" spans="2:2" x14ac:dyDescent="0.25">
      <c r="B16" t="str">
        <v>BoardGameMove_byHadynWiseman</v>
      </c>
    </row>
    <row r="17" spans="2:2" x14ac:dyDescent="0.25">
      <c r="B17" t="str">
        <v>Bounce_byBoRydobon</v>
      </c>
    </row>
    <row r="18" spans="2:2" x14ac:dyDescent="0.25">
      <c r="B18" t="str">
        <v>ByRectangle_byBoRydobon</v>
      </c>
    </row>
    <row r="19" spans="2:2" x14ac:dyDescent="0.25">
      <c r="B19" t="str">
        <v>CardSets_byHadynWiseman</v>
      </c>
    </row>
    <row r="20" spans="2:2" x14ac:dyDescent="0.25">
      <c r="B20" t="str">
        <v>Clamp_byBoRydobon</v>
      </c>
    </row>
    <row r="21" spans="2:2" x14ac:dyDescent="0.25">
      <c r="B21" t="str">
        <v>ClosestOnMap_byHadynWiseman</v>
      </c>
    </row>
    <row r="22" spans="2:2" x14ac:dyDescent="0.25">
      <c r="B22" t="str">
        <v>Coins_byHadynWiseman</v>
      </c>
    </row>
    <row r="23" spans="2:2" x14ac:dyDescent="0.25">
      <c r="B23" t="str">
        <v>ColNum_byHadynWiseman</v>
      </c>
    </row>
    <row r="24" spans="2:2" x14ac:dyDescent="0.25">
      <c r="B24" t="str">
        <v>Combinations_byHadynWiseman</v>
      </c>
    </row>
    <row r="25" spans="2:2" x14ac:dyDescent="0.25">
      <c r="B25" t="str">
        <v>Consecutives_byHadynWiseman</v>
      </c>
    </row>
    <row r="26" spans="2:2" x14ac:dyDescent="0.25">
      <c r="B26" t="str">
        <v>CountOcc_byHadynWiseman</v>
      </c>
    </row>
    <row r="27" spans="2:2" x14ac:dyDescent="0.25">
      <c r="B27" t="str">
        <v>Dice_byHadynWiseman</v>
      </c>
    </row>
    <row r="28" spans="2:2" x14ac:dyDescent="0.25">
      <c r="B28" t="str">
        <v>DiffByRow_byJaqKennedy</v>
      </c>
    </row>
    <row r="29" spans="2:2" x14ac:dyDescent="0.25">
      <c r="B29" t="str">
        <v>Distance_byHadynWiseman</v>
      </c>
    </row>
    <row r="30" spans="2:2" x14ac:dyDescent="0.25">
      <c r="B30" t="str">
        <v>DistFrom_byDiarmuidEarly</v>
      </c>
    </row>
    <row r="31" spans="2:2" x14ac:dyDescent="0.25">
      <c r="B31" t="str">
        <v>Duplicates_byHadynWiseman</v>
      </c>
    </row>
    <row r="32" spans="2:2" x14ac:dyDescent="0.25">
      <c r="B32" t="str">
        <v>ExactUnique_byHadynWiseman</v>
      </c>
    </row>
    <row r="33" spans="2:2" x14ac:dyDescent="0.25">
      <c r="B33" t="str">
        <v>ExcludeCols_byHadynWiseman</v>
      </c>
    </row>
    <row r="34" spans="2:2" x14ac:dyDescent="0.25">
      <c r="B34" t="str">
        <v>Exists_byHadynWiseman</v>
      </c>
    </row>
    <row r="35" spans="2:2" x14ac:dyDescent="0.25">
      <c r="B35" t="str">
        <v>ExtractLetters_byJaqKennedy</v>
      </c>
    </row>
    <row r="36" spans="2:2" x14ac:dyDescent="0.25">
      <c r="B36" t="str">
        <v>ExtractLowerLetters_byJaqKennedy</v>
      </c>
    </row>
    <row r="37" spans="2:2" x14ac:dyDescent="0.25">
      <c r="B37" t="str">
        <v>ExtractNumbers_byHadynWiseman</v>
      </c>
    </row>
    <row r="38" spans="2:2" x14ac:dyDescent="0.25">
      <c r="B38" t="str">
        <v>ExtractUpperLetters_byJaqKennedy</v>
      </c>
    </row>
    <row r="39" spans="2:2" x14ac:dyDescent="0.25">
      <c r="B39" t="str">
        <v>Fetch_byJaqKennedy</v>
      </c>
    </row>
    <row r="40" spans="2:2" x14ac:dyDescent="0.25">
      <c r="B40" t="str">
        <v>FilterArray_byErikOehm</v>
      </c>
    </row>
    <row r="41" spans="2:2" x14ac:dyDescent="0.25">
      <c r="B41" t="str">
        <v>FindInMap_byHadynWiseman</v>
      </c>
    </row>
    <row r="42" spans="2:2" x14ac:dyDescent="0.25">
      <c r="B42" t="str">
        <v>Flip_byHadynWiseman</v>
      </c>
    </row>
    <row r="43" spans="2:2" x14ac:dyDescent="0.25">
      <c r="B43" t="str">
        <v>Fold_byHadynWiseman</v>
      </c>
    </row>
    <row r="44" spans="2:2" x14ac:dyDescent="0.25">
      <c r="B44" t="str">
        <v>GetBlock_byJaqKennedy</v>
      </c>
    </row>
    <row r="45" spans="2:2" x14ac:dyDescent="0.25">
      <c r="B45" t="str">
        <v>GridToCol_byLiannaGerrish</v>
      </c>
    </row>
    <row r="46" spans="2:2" x14ac:dyDescent="0.25">
      <c r="B46" t="str">
        <v>HugWall_byHadynWiseman</v>
      </c>
    </row>
    <row r="47" spans="2:2" x14ac:dyDescent="0.25">
      <c r="B47" t="str">
        <v>IFBLANK</v>
      </c>
    </row>
    <row r="48" spans="2:2" x14ac:dyDescent="0.25">
      <c r="B48" t="str">
        <v>IsInList_byErikOehm</v>
      </c>
    </row>
    <row r="49" spans="2:2" x14ac:dyDescent="0.25">
      <c r="B49" t="str">
        <v>KnapSackInteger_byHadynWiseman</v>
      </c>
    </row>
    <row r="50" spans="2:2" x14ac:dyDescent="0.25">
      <c r="B50" t="str">
        <v>LetterType_byHadynWiseman</v>
      </c>
    </row>
    <row r="51" spans="2:2" x14ac:dyDescent="0.25">
      <c r="B51" t="str">
        <v>LineOfSight_byHadynWiseman</v>
      </c>
    </row>
    <row r="52" spans="2:2" x14ac:dyDescent="0.25">
      <c r="B52" t="str">
        <v>LineOfSightCount_byHadynWiseman</v>
      </c>
    </row>
    <row r="53" spans="2:2" x14ac:dyDescent="0.25">
      <c r="B53" t="str">
        <v>LkpRC</v>
      </c>
    </row>
    <row r="54" spans="2:2" x14ac:dyDescent="0.25">
      <c r="B54" t="str">
        <v>LkpRCByRow</v>
      </c>
    </row>
    <row r="55" spans="2:2" x14ac:dyDescent="0.25">
      <c r="B55" t="str">
        <v>MassSubstitute_byHadynWiseman</v>
      </c>
    </row>
    <row r="56" spans="2:2" x14ac:dyDescent="0.25">
      <c r="B56" t="str">
        <v>Maze_byHadynWiseman</v>
      </c>
    </row>
    <row r="57" spans="2:2" x14ac:dyDescent="0.25">
      <c r="B57" t="str">
        <v>MazeDistance_byHadynWiseman</v>
      </c>
    </row>
    <row r="58" spans="2:2" x14ac:dyDescent="0.25">
      <c r="B58" t="str">
        <v>MissingLetters_byJaqKennedy</v>
      </c>
    </row>
    <row r="59" spans="2:2" x14ac:dyDescent="0.25">
      <c r="B59" t="str">
        <v>MM_byHaDang</v>
      </c>
    </row>
    <row r="60" spans="2:2" x14ac:dyDescent="0.25">
      <c r="B60" t="str">
        <v>ModeSuper_byLiannaGerrish</v>
      </c>
    </row>
    <row r="61" spans="2:2" x14ac:dyDescent="0.25">
      <c r="B61" t="str">
        <v>MostOf_byHadynWiseman</v>
      </c>
    </row>
    <row r="62" spans="2:2" x14ac:dyDescent="0.25">
      <c r="B62" t="str">
        <v>MoveOnMap_byHadynWiseman</v>
      </c>
    </row>
    <row r="63" spans="2:2" x14ac:dyDescent="0.25">
      <c r="B63" t="str">
        <v>NetworkGraph_byHadynWiseman</v>
      </c>
    </row>
    <row r="64" spans="2:2" x14ac:dyDescent="0.25">
      <c r="B64" t="str">
        <v>NotInList_byJaqKennedy</v>
      </c>
    </row>
    <row r="65" spans="2:2" x14ac:dyDescent="0.25">
      <c r="B65" t="str">
        <v>nSet_byJaqKennedy</v>
      </c>
    </row>
    <row r="66" spans="2:2" x14ac:dyDescent="0.25">
      <c r="B66" t="str">
        <v>OffsetA_byPeterScharl</v>
      </c>
    </row>
    <row r="67" spans="2:2" x14ac:dyDescent="0.25">
      <c r="B67" t="str">
        <v>OptimiseTSP_byHadynWiseman</v>
      </c>
    </row>
    <row r="68" spans="2:2" x14ac:dyDescent="0.25">
      <c r="B68" t="str">
        <v>PerCom_byBoRydobon</v>
      </c>
    </row>
    <row r="69" spans="2:2" x14ac:dyDescent="0.25">
      <c r="B69" t="str">
        <v>Prev</v>
      </c>
    </row>
    <row r="70" spans="2:2" x14ac:dyDescent="0.25">
      <c r="B70" t="str">
        <v>RCRefConvert_byHadynWiseman</v>
      </c>
    </row>
    <row r="71" spans="2:2" x14ac:dyDescent="0.25">
      <c r="B71" t="str">
        <v>Regions_byHadynWiseman</v>
      </c>
    </row>
    <row r="72" spans="2:2" x14ac:dyDescent="0.25">
      <c r="B72" t="str">
        <v>RegPattern_byHadynWiseman</v>
      </c>
    </row>
    <row r="73" spans="2:2" x14ac:dyDescent="0.25">
      <c r="B73" t="str">
        <v>RightAlignedArray_byJaqKennedy</v>
      </c>
    </row>
    <row r="74" spans="2:2" x14ac:dyDescent="0.25">
      <c r="B74" t="str">
        <v>Rotate_byHadynWiseman</v>
      </c>
    </row>
    <row r="75" spans="2:2" x14ac:dyDescent="0.25">
      <c r="B75" t="str">
        <v>RowNum_byHadynWiseman</v>
      </c>
    </row>
    <row r="76" spans="2:2" x14ac:dyDescent="0.25">
      <c r="B76" t="str">
        <v>RunningCount_byHadynWiseman</v>
      </c>
    </row>
    <row r="77" spans="2:2" x14ac:dyDescent="0.25">
      <c r="B77" t="str">
        <v>RunningTotal_byJaqKennedy</v>
      </c>
    </row>
    <row r="78" spans="2:2" x14ac:dyDescent="0.25">
      <c r="B78" t="str">
        <v>ShiftText_byHadynWiseman</v>
      </c>
    </row>
    <row r="79" spans="2:2" x14ac:dyDescent="0.25">
      <c r="B79" t="str">
        <v>Snake_byHadynWiseman</v>
      </c>
    </row>
    <row r="80" spans="2:2" x14ac:dyDescent="0.25">
      <c r="B80" t="str">
        <v>SplitText_byHadynWiseman</v>
      </c>
    </row>
    <row r="81" spans="2:2" x14ac:dyDescent="0.25">
      <c r="B81" t="str">
        <v>StackSheets_byJaqKennedy</v>
      </c>
    </row>
    <row r="82" spans="2:2" x14ac:dyDescent="0.25">
      <c r="B82" t="str">
        <v>TSPFull_byHadynWiseman</v>
      </c>
    </row>
    <row r="83" spans="2:2" x14ac:dyDescent="0.25">
      <c r="B83" t="str">
        <v>TSPGreedy_byHadynWiseman</v>
      </c>
    </row>
    <row r="84" spans="2:2" x14ac:dyDescent="0.25">
      <c r="B84" t="str">
        <v>UnPivot_byHadynWiseman</v>
      </c>
    </row>
    <row r="85" spans="2:2" x14ac:dyDescent="0.25">
      <c r="B85" t="str">
        <v>UnSplivot_byJJ</v>
      </c>
    </row>
    <row r="86" spans="2:2" x14ac:dyDescent="0.25">
      <c r="B86" t="str">
        <v>uSet_byJaqKennedy</v>
      </c>
    </row>
    <row r="87" spans="2:2" x14ac:dyDescent="0.25">
      <c r="B87" t="str">
        <v>VStacks_byHadynWiseman</v>
      </c>
    </row>
    <row r="88" spans="2:2" x14ac:dyDescent="0.25">
      <c r="B88" t="str">
        <v>WhileIterations_byHarryGross</v>
      </c>
    </row>
    <row r="89" spans="2:2" x14ac:dyDescent="0.25">
      <c r="B89" t="str">
        <v>WhileLoop_byHarryGross</v>
      </c>
    </row>
    <row r="90" spans="2:2" x14ac:dyDescent="0.25">
      <c r="B90" t="str">
        <v>XLOOKUP2D_byBendeLeon</v>
      </c>
    </row>
    <row r="91" spans="2:2" x14ac:dyDescent="0.25">
      <c r="B91" t="str">
        <v>YouAreHere_byLiannaGerrish</v>
      </c>
    </row>
  </sheetData>
  <protectedRanges>
    <protectedRange sqref="AB29 AB41" name="Range1_2_3"/>
  </protectedRange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7DF97-5C72-4E67-A3A9-E79227034A6D}">
  <sheetPr codeName="Sheet15"/>
  <dimension ref="B5:J38"/>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4.4609375" bestFit="1" customWidth="1"/>
    <col min="3" max="3" width="11.23046875" bestFit="1" customWidth="1"/>
    <col min="4" max="4" width="36" customWidth="1"/>
    <col min="5" max="5" width="12.4609375" bestFit="1" customWidth="1"/>
    <col min="6" max="10" width="4.23046875" customWidth="1"/>
  </cols>
  <sheetData>
    <row r="5" spans="2:10" ht="21" thickBot="1" x14ac:dyDescent="0.35">
      <c r="B5" s="4" t="s">
        <v>14</v>
      </c>
      <c r="C5" s="4"/>
      <c r="D5" s="4"/>
      <c r="E5" s="4"/>
      <c r="F5" s="4"/>
      <c r="G5" s="4"/>
      <c r="H5" s="4"/>
      <c r="I5" s="4"/>
      <c r="J5" s="4"/>
    </row>
    <row r="6" spans="2:10" ht="20.25" thickTop="1" x14ac:dyDescent="0.25">
      <c r="B6" s="6" t="s">
        <v>19</v>
      </c>
      <c r="C6" s="6"/>
      <c r="D6" s="6"/>
      <c r="E6" s="6"/>
      <c r="F6" s="6"/>
      <c r="G6" s="6"/>
      <c r="H6" s="6"/>
      <c r="I6" s="6"/>
      <c r="J6" s="6"/>
    </row>
    <row r="7" spans="2:10" x14ac:dyDescent="0.25">
      <c r="B7" s="11"/>
    </row>
    <row r="8" spans="2:10" x14ac:dyDescent="0.25">
      <c r="B8" s="11"/>
    </row>
    <row r="9" spans="2:10" x14ac:dyDescent="0.25">
      <c r="B9" s="11"/>
    </row>
    <row r="10" spans="2:10" x14ac:dyDescent="0.25">
      <c r="B10" s="11"/>
    </row>
    <row r="11" spans="2:10" ht="20.25" thickBot="1" x14ac:dyDescent="0.3">
      <c r="B11" s="8" t="s">
        <v>2</v>
      </c>
      <c r="C11" s="8"/>
      <c r="D11" s="8"/>
      <c r="E11" s="8"/>
      <c r="F11" s="8"/>
      <c r="G11" s="8"/>
      <c r="H11" s="8"/>
      <c r="I11" s="8"/>
      <c r="J11" s="8"/>
    </row>
    <row r="12" spans="2:10" ht="20.25" thickTop="1" x14ac:dyDescent="0.25"/>
    <row r="13" spans="2:10" x14ac:dyDescent="0.25">
      <c r="B13" t="s">
        <v>4</v>
      </c>
      <c r="C13" t="s">
        <v>6</v>
      </c>
      <c r="D13" t="s">
        <v>5</v>
      </c>
      <c r="E13" t="s">
        <v>8</v>
      </c>
    </row>
    <row r="14" spans="2:10" ht="39" x14ac:dyDescent="0.25">
      <c r="B14" t="s">
        <v>15</v>
      </c>
      <c r="C14" t="s">
        <v>12</v>
      </c>
      <c r="D14" s="12" t="s">
        <v>16</v>
      </c>
      <c r="E14" t="s">
        <v>17</v>
      </c>
    </row>
    <row r="23" spans="7:7" x14ac:dyDescent="0.25">
      <c r="G23" s="13"/>
    </row>
    <row r="24" spans="7:7" x14ac:dyDescent="0.25">
      <c r="G24" s="13"/>
    </row>
    <row r="25" spans="7:7" x14ac:dyDescent="0.25">
      <c r="G25" s="13"/>
    </row>
    <row r="26" spans="7:7" x14ac:dyDescent="0.25">
      <c r="G26" s="13"/>
    </row>
    <row r="27" spans="7:7" x14ac:dyDescent="0.25">
      <c r="G27" s="13"/>
    </row>
    <row r="28" spans="7:7" x14ac:dyDescent="0.25">
      <c r="G28" s="13"/>
    </row>
    <row r="29" spans="7:7" x14ac:dyDescent="0.25">
      <c r="G29" s="13"/>
    </row>
    <row r="30" spans="7:7" x14ac:dyDescent="0.25">
      <c r="G30" s="13"/>
    </row>
    <row r="31" spans="7:7" x14ac:dyDescent="0.25">
      <c r="G31" s="13"/>
    </row>
    <row r="32" spans="7:7" x14ac:dyDescent="0.25">
      <c r="G32" s="13"/>
    </row>
    <row r="33" spans="7:7" ht="24.75" x14ac:dyDescent="0.3">
      <c r="G33" s="14"/>
    </row>
    <row r="34" spans="7:7" ht="24.75" x14ac:dyDescent="0.3">
      <c r="G34" s="14"/>
    </row>
    <row r="35" spans="7:7" ht="24.75" x14ac:dyDescent="0.3">
      <c r="G35" s="14"/>
    </row>
    <row r="36" spans="7:7" ht="24.75" x14ac:dyDescent="0.3">
      <c r="G36" s="14"/>
    </row>
    <row r="37" spans="7:7" ht="24.75" x14ac:dyDescent="0.3">
      <c r="G37" s="14"/>
    </row>
    <row r="38" spans="7:7" ht="24.75" x14ac:dyDescent="0.3">
      <c r="G38" s="14"/>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5" t="s">
        <v>27</v>
      </c>
      <c r="C5" s="15"/>
      <c r="D5" s="15"/>
      <c r="E5" s="15"/>
      <c r="F5" s="15"/>
      <c r="G5" s="15"/>
      <c r="H5" s="15"/>
      <c r="I5" s="15"/>
      <c r="J5" s="15"/>
      <c r="K5" s="15"/>
      <c r="L5" s="4"/>
      <c r="M5" s="4"/>
    </row>
    <row r="6" spans="2:15" ht="20.25" thickTop="1" x14ac:dyDescent="0.25">
      <c r="B6" s="16" t="s">
        <v>299</v>
      </c>
      <c r="C6" s="16"/>
      <c r="D6" s="16"/>
      <c r="E6" s="16"/>
      <c r="F6" s="16"/>
      <c r="G6" s="16"/>
      <c r="H6" s="16"/>
      <c r="I6" s="16"/>
      <c r="J6" s="16"/>
      <c r="K6" s="16"/>
      <c r="L6" s="6"/>
      <c r="M6" s="6"/>
    </row>
    <row r="7" spans="2:15" ht="39" x14ac:dyDescent="0.25">
      <c r="B7" s="17" t="s">
        <v>301</v>
      </c>
      <c r="C7" s="16"/>
      <c r="D7" s="16"/>
      <c r="E7" s="16"/>
      <c r="F7" s="16"/>
      <c r="G7" s="16"/>
      <c r="H7" s="16"/>
      <c r="I7" s="16"/>
      <c r="J7" s="16"/>
      <c r="K7" s="16"/>
      <c r="L7" s="6"/>
      <c r="M7" s="6"/>
    </row>
    <row r="9" spans="2:15" x14ac:dyDescent="0.25">
      <c r="F9" s="18" t="s">
        <v>303</v>
      </c>
      <c r="G9" s="19"/>
    </row>
    <row r="10" spans="2:15" x14ac:dyDescent="0.25">
      <c r="C10" t="s">
        <v>302</v>
      </c>
      <c r="E10" t="s">
        <v>91</v>
      </c>
      <c r="F10" t="s">
        <v>37</v>
      </c>
      <c r="G10" t="s">
        <v>35</v>
      </c>
      <c r="I10" t="s">
        <v>36</v>
      </c>
      <c r="L10" t="s">
        <v>298</v>
      </c>
      <c r="M10" t="s">
        <v>34</v>
      </c>
      <c r="O10" t="str" cm="1">
        <f t="array" ref="O10:O215">_xlfn.UNIQUE(Languages[Language])</f>
        <v>Amharic</v>
      </c>
    </row>
    <row r="11" spans="2:15" x14ac:dyDescent="0.25">
      <c r="B11" s="20" t="s">
        <v>30</v>
      </c>
      <c r="C11" s="1" t="b">
        <v>0</v>
      </c>
      <c r="E11" s="21" t="b">
        <v>1</v>
      </c>
      <c r="F11" s="19" t="b">
        <v>1</v>
      </c>
      <c r="G11" s="19" t="b">
        <v>0</v>
      </c>
      <c r="L11">
        <v>1118</v>
      </c>
      <c r="M11" t="s">
        <v>95</v>
      </c>
      <c r="O11" t="str">
        <v>Afrikaans</v>
      </c>
    </row>
    <row r="12" spans="2:15" x14ac:dyDescent="0.25">
      <c r="B12" s="20" t="s">
        <v>28</v>
      </c>
      <c r="C12" s="1" t="s">
        <v>32</v>
      </c>
      <c r="E12" s="21" t="s">
        <v>32</v>
      </c>
      <c r="F12" s="19" t="s">
        <v>32</v>
      </c>
      <c r="G12" s="19" t="s">
        <v>33</v>
      </c>
      <c r="I12" s="2">
        <f>SUM(1000,0.23)</f>
        <v>1000.23</v>
      </c>
      <c r="J12" t="str">
        <f ca="1">_xlfn.FORMULATEXT(I12)</f>
        <v>=SUM(1000,0.23)</v>
      </c>
      <c r="L12">
        <v>54</v>
      </c>
      <c r="M12" t="s">
        <v>35</v>
      </c>
      <c r="O12" t="str">
        <v>Albanian</v>
      </c>
    </row>
    <row r="13" spans="2:15" x14ac:dyDescent="0.25">
      <c r="B13" s="20" t="s">
        <v>29</v>
      </c>
      <c r="C13" s="1" t="s">
        <v>33</v>
      </c>
      <c r="E13" s="21" t="s">
        <v>33</v>
      </c>
      <c r="F13" s="19" t="s">
        <v>33</v>
      </c>
      <c r="G13" s="19" t="s">
        <v>21</v>
      </c>
      <c r="I13" s="2">
        <v>1000.23</v>
      </c>
      <c r="L13">
        <v>1052</v>
      </c>
      <c r="M13" t="s">
        <v>93</v>
      </c>
      <c r="O13" t="str">
        <v>Alsatian</v>
      </c>
    </row>
    <row r="14" spans="2:15" x14ac:dyDescent="0.25">
      <c r="B14" s="20" t="s">
        <v>31</v>
      </c>
      <c r="C14" s="22" t="str">
        <f>IF(Decimal_Separator=",",";",",")</f>
        <v>,</v>
      </c>
      <c r="E14" s="22" t="str">
        <f>IF(Loaded_Decimal_Separator=",",";",",")</f>
        <v>,</v>
      </c>
      <c r="F14" s="22" t="str">
        <f>IF(F12=",",";",",")</f>
        <v>,</v>
      </c>
      <c r="G14" s="22" t="str">
        <f>IF(G12=",",";",",")</f>
        <v>;</v>
      </c>
      <c r="I14" t="str">
        <f>_xlfn.CONCAT(E12,E13,E14,E11)</f>
        <v>.,,TRUE</v>
      </c>
      <c r="J14" t="str">
        <f ca="1">_xlfn.FORMULATEXT(I14)</f>
        <v>=CONCAT(E12,E13,E14,E11)</v>
      </c>
      <c r="L14">
        <v>1156</v>
      </c>
      <c r="M14" t="s">
        <v>94</v>
      </c>
      <c r="O14" t="str">
        <v>Arabic (Algeria)</v>
      </c>
    </row>
    <row r="15" spans="2:15" x14ac:dyDescent="0.25">
      <c r="B15" s="20" t="s">
        <v>34</v>
      </c>
      <c r="E15" s="22" t="str">
        <f>_xlfn.XLOOKUP(Loaded_Language_ID,Languages[ID],Languages[Language],"Unknown",0)</f>
        <v>English (United States)</v>
      </c>
      <c r="I15" s="23" t="s">
        <v>300</v>
      </c>
      <c r="L15">
        <v>5121</v>
      </c>
      <c r="M15" t="s">
        <v>96</v>
      </c>
      <c r="O15" t="str">
        <v>Arabic (Bahrain)</v>
      </c>
    </row>
    <row r="16" spans="2:15" x14ac:dyDescent="0.25">
      <c r="B16" s="20" t="s">
        <v>92</v>
      </c>
      <c r="E16" s="21">
        <v>1033</v>
      </c>
      <c r="I16" s="23" t="s">
        <v>300</v>
      </c>
      <c r="L16">
        <v>15361</v>
      </c>
      <c r="M16" t="s">
        <v>97</v>
      </c>
      <c r="O16" t="str">
        <v>Arabic (Egypt)</v>
      </c>
    </row>
    <row r="17" spans="12:15" x14ac:dyDescent="0.25">
      <c r="L17">
        <v>3073</v>
      </c>
      <c r="M17" t="s">
        <v>98</v>
      </c>
      <c r="O17" t="str">
        <v>Arabic (Iraq)</v>
      </c>
    </row>
    <row r="18" spans="12:15" x14ac:dyDescent="0.25">
      <c r="L18">
        <v>2049</v>
      </c>
      <c r="M18" t="s">
        <v>99</v>
      </c>
      <c r="O18" t="str">
        <v>Arabic (Jordan)</v>
      </c>
    </row>
    <row r="19" spans="12:15" x14ac:dyDescent="0.25">
      <c r="L19">
        <v>11265</v>
      </c>
      <c r="M19" t="s">
        <v>100</v>
      </c>
      <c r="O19" t="str">
        <v>Arabic (Kuwait)</v>
      </c>
    </row>
    <row r="20" spans="12:15" x14ac:dyDescent="0.25">
      <c r="L20">
        <v>13313</v>
      </c>
      <c r="M20" t="s">
        <v>101</v>
      </c>
      <c r="O20" t="str">
        <v>Arabic (Lebanon)</v>
      </c>
    </row>
    <row r="21" spans="12:15" x14ac:dyDescent="0.25">
      <c r="L21">
        <v>12289</v>
      </c>
      <c r="M21" t="s">
        <v>102</v>
      </c>
      <c r="O21" t="str">
        <v>Arabic (Libya)</v>
      </c>
    </row>
    <row r="22" spans="12:15" x14ac:dyDescent="0.25">
      <c r="L22">
        <v>4097</v>
      </c>
      <c r="M22" t="s">
        <v>103</v>
      </c>
      <c r="O22" t="str">
        <v>Arabic (Morocco)</v>
      </c>
    </row>
    <row r="23" spans="12:15" x14ac:dyDescent="0.25">
      <c r="L23">
        <v>6145</v>
      </c>
      <c r="M23" t="s">
        <v>104</v>
      </c>
      <c r="O23" t="str">
        <v>Arabic (Oman)</v>
      </c>
    </row>
    <row r="24" spans="12:15" x14ac:dyDescent="0.25">
      <c r="L24">
        <v>8193</v>
      </c>
      <c r="M24" t="s">
        <v>105</v>
      </c>
      <c r="O24" t="str">
        <v>Arabic (Qatar)</v>
      </c>
    </row>
    <row r="25" spans="12:15" x14ac:dyDescent="0.25">
      <c r="L25">
        <v>16385</v>
      </c>
      <c r="M25" t="s">
        <v>106</v>
      </c>
      <c r="O25" t="str">
        <v>Arabic (Saudi Arabia)</v>
      </c>
    </row>
    <row r="26" spans="12:15" x14ac:dyDescent="0.25">
      <c r="L26">
        <v>1025</v>
      </c>
      <c r="M26" t="s">
        <v>107</v>
      </c>
      <c r="O26" t="str">
        <v>Arabic (Syria)</v>
      </c>
    </row>
    <row r="27" spans="12:15" x14ac:dyDescent="0.25">
      <c r="L27">
        <v>10241</v>
      </c>
      <c r="M27" t="s">
        <v>108</v>
      </c>
      <c r="O27" t="str">
        <v>Arabic (Tunisia)</v>
      </c>
    </row>
    <row r="28" spans="12:15" x14ac:dyDescent="0.25">
      <c r="L28">
        <v>7169</v>
      </c>
      <c r="M28" t="s">
        <v>109</v>
      </c>
      <c r="O28" t="str">
        <v>Arabic (U.A.E.)</v>
      </c>
    </row>
    <row r="29" spans="12:15" x14ac:dyDescent="0.25">
      <c r="L29">
        <v>14337</v>
      </c>
      <c r="M29" t="s">
        <v>110</v>
      </c>
      <c r="O29" t="str">
        <v>Arabic (Yemen)</v>
      </c>
    </row>
    <row r="30" spans="12:15" x14ac:dyDescent="0.25">
      <c r="L30">
        <v>9217</v>
      </c>
      <c r="M30" t="s">
        <v>111</v>
      </c>
      <c r="O30" t="str">
        <v>Armenian</v>
      </c>
    </row>
    <row r="31" spans="12:15" x14ac:dyDescent="0.25">
      <c r="L31">
        <v>1067</v>
      </c>
      <c r="M31" t="s">
        <v>112</v>
      </c>
      <c r="O31" t="str">
        <v>Assamese</v>
      </c>
    </row>
    <row r="32" spans="12:15" x14ac:dyDescent="0.25">
      <c r="L32">
        <v>1101</v>
      </c>
      <c r="M32" t="s">
        <v>113</v>
      </c>
      <c r="O32" t="str">
        <v>Azerbaijani (Cyrillic)</v>
      </c>
    </row>
    <row r="33" spans="12:15" x14ac:dyDescent="0.25">
      <c r="L33">
        <v>2092</v>
      </c>
      <c r="M33" t="s">
        <v>114</v>
      </c>
      <c r="O33" t="str">
        <v>Azerbaijani (Latin)</v>
      </c>
    </row>
    <row r="34" spans="12:15" x14ac:dyDescent="0.25">
      <c r="L34">
        <v>1068</v>
      </c>
      <c r="M34" t="s">
        <v>115</v>
      </c>
      <c r="O34" t="str">
        <v>Bashkir</v>
      </c>
    </row>
    <row r="35" spans="12:15" x14ac:dyDescent="0.25">
      <c r="L35">
        <v>1133</v>
      </c>
      <c r="M35" t="s">
        <v>116</v>
      </c>
      <c r="O35" t="str">
        <v>Basque</v>
      </c>
    </row>
    <row r="36" spans="12:15" x14ac:dyDescent="0.25">
      <c r="L36">
        <v>1069</v>
      </c>
      <c r="M36" t="s">
        <v>117</v>
      </c>
      <c r="O36" t="str">
        <v>Belarusian</v>
      </c>
    </row>
    <row r="37" spans="12:15" x14ac:dyDescent="0.25">
      <c r="L37">
        <v>1059</v>
      </c>
      <c r="M37" t="s">
        <v>118</v>
      </c>
      <c r="O37" t="str">
        <v>Bengali (Bangladesh)</v>
      </c>
    </row>
    <row r="38" spans="12:15" x14ac:dyDescent="0.25">
      <c r="L38">
        <v>2117</v>
      </c>
      <c r="M38" t="s">
        <v>119</v>
      </c>
      <c r="O38" t="str">
        <v>Bengali (India)</v>
      </c>
    </row>
    <row r="39" spans="12:15" x14ac:dyDescent="0.25">
      <c r="L39">
        <v>1093</v>
      </c>
      <c r="M39" t="s">
        <v>120</v>
      </c>
      <c r="O39" t="str">
        <v>Bosnian (Cyrillic)</v>
      </c>
    </row>
    <row r="40" spans="12:15" x14ac:dyDescent="0.25">
      <c r="L40">
        <v>8218</v>
      </c>
      <c r="M40" t="s">
        <v>121</v>
      </c>
      <c r="O40" t="str">
        <v>Bosnian (Latin)</v>
      </c>
    </row>
    <row r="41" spans="12:15" x14ac:dyDescent="0.25">
      <c r="L41">
        <v>5146</v>
      </c>
      <c r="M41" t="s">
        <v>122</v>
      </c>
      <c r="O41" t="str">
        <v>Breton</v>
      </c>
    </row>
    <row r="42" spans="12:15" x14ac:dyDescent="0.25">
      <c r="L42">
        <v>1150</v>
      </c>
      <c r="M42" t="s">
        <v>123</v>
      </c>
      <c r="O42" t="str">
        <v>Bulgarian</v>
      </c>
    </row>
    <row r="43" spans="12:15" x14ac:dyDescent="0.25">
      <c r="L43">
        <v>1026</v>
      </c>
      <c r="M43" t="s">
        <v>124</v>
      </c>
      <c r="O43" t="str">
        <v>Catalan</v>
      </c>
    </row>
    <row r="44" spans="12:15" x14ac:dyDescent="0.25">
      <c r="L44">
        <v>1027</v>
      </c>
      <c r="M44" t="s">
        <v>125</v>
      </c>
      <c r="O44" t="str">
        <v>Chinese (Hong Kong SAR)</v>
      </c>
    </row>
    <row r="45" spans="12:15" x14ac:dyDescent="0.25">
      <c r="L45">
        <v>3076</v>
      </c>
      <c r="M45" t="s">
        <v>126</v>
      </c>
      <c r="O45" t="str">
        <v>Chinese (Macao SAR)</v>
      </c>
    </row>
    <row r="46" spans="12:15" x14ac:dyDescent="0.25">
      <c r="L46">
        <v>5124</v>
      </c>
      <c r="M46" t="s">
        <v>127</v>
      </c>
      <c r="O46" t="str">
        <v>Chinese (Simplified, PRC)</v>
      </c>
    </row>
    <row r="47" spans="12:15" x14ac:dyDescent="0.25">
      <c r="L47">
        <v>2052</v>
      </c>
      <c r="M47" t="s">
        <v>128</v>
      </c>
      <c r="O47" t="str">
        <v>Chinese (Simplified, Singapore)</v>
      </c>
    </row>
    <row r="48" spans="12:15" x14ac:dyDescent="0.25">
      <c r="L48">
        <v>4100</v>
      </c>
      <c r="M48" t="s">
        <v>129</v>
      </c>
      <c r="O48" t="str">
        <v>Chinese (Traditional, Taiwan)</v>
      </c>
    </row>
    <row r="49" spans="12:15" x14ac:dyDescent="0.25">
      <c r="L49">
        <v>1028</v>
      </c>
      <c r="M49" t="s">
        <v>130</v>
      </c>
      <c r="O49" t="str">
        <v>Corsican</v>
      </c>
    </row>
    <row r="50" spans="12:15" x14ac:dyDescent="0.25">
      <c r="L50">
        <v>1155</v>
      </c>
      <c r="M50" t="s">
        <v>131</v>
      </c>
      <c r="O50" t="str">
        <v>Croatian</v>
      </c>
    </row>
    <row r="51" spans="12:15" x14ac:dyDescent="0.25">
      <c r="L51">
        <v>1050</v>
      </c>
      <c r="M51" t="s">
        <v>132</v>
      </c>
      <c r="O51" t="str">
        <v>Croatian (Latin, Bosnia)</v>
      </c>
    </row>
    <row r="52" spans="12:15" x14ac:dyDescent="0.25">
      <c r="L52">
        <v>4122</v>
      </c>
      <c r="M52" t="s">
        <v>133</v>
      </c>
      <c r="O52" t="str">
        <v>Czech</v>
      </c>
    </row>
    <row r="53" spans="12:15" x14ac:dyDescent="0.25">
      <c r="L53">
        <v>1029</v>
      </c>
      <c r="M53" t="s">
        <v>134</v>
      </c>
      <c r="O53" t="str">
        <v>Danish</v>
      </c>
    </row>
    <row r="54" spans="12:15" x14ac:dyDescent="0.25">
      <c r="L54">
        <v>1030</v>
      </c>
      <c r="M54" t="s">
        <v>135</v>
      </c>
      <c r="O54" t="str">
        <v>Dari</v>
      </c>
    </row>
    <row r="55" spans="12:15" x14ac:dyDescent="0.25">
      <c r="L55">
        <v>1164</v>
      </c>
      <c r="M55" t="s">
        <v>136</v>
      </c>
      <c r="O55" t="str">
        <v>Divehi</v>
      </c>
    </row>
    <row r="56" spans="12:15" x14ac:dyDescent="0.25">
      <c r="L56">
        <v>1125</v>
      </c>
      <c r="M56" t="s">
        <v>137</v>
      </c>
      <c r="O56" t="str">
        <v>Dutch (Belgium)</v>
      </c>
    </row>
    <row r="57" spans="12:15" x14ac:dyDescent="0.25">
      <c r="L57">
        <v>2067</v>
      </c>
      <c r="M57" t="s">
        <v>138</v>
      </c>
      <c r="O57" t="str">
        <v>Dutch (Netherlands)</v>
      </c>
    </row>
    <row r="58" spans="12:15" x14ac:dyDescent="0.25">
      <c r="L58">
        <v>1043</v>
      </c>
      <c r="M58" t="s">
        <v>139</v>
      </c>
      <c r="O58" t="str">
        <v>English (Australia)</v>
      </c>
    </row>
    <row r="59" spans="12:15" x14ac:dyDescent="0.25">
      <c r="L59">
        <v>3081</v>
      </c>
      <c r="M59" t="s">
        <v>140</v>
      </c>
      <c r="O59" t="str">
        <v>English (Belize)</v>
      </c>
    </row>
    <row r="60" spans="12:15" x14ac:dyDescent="0.25">
      <c r="L60">
        <v>10249</v>
      </c>
      <c r="M60" t="s">
        <v>141</v>
      </c>
      <c r="O60" t="str">
        <v>English (Canada)</v>
      </c>
    </row>
    <row r="61" spans="12:15" x14ac:dyDescent="0.25">
      <c r="L61">
        <v>4105</v>
      </c>
      <c r="M61" t="s">
        <v>142</v>
      </c>
      <c r="O61" t="str">
        <v>English (Caribbean)</v>
      </c>
    </row>
    <row r="62" spans="12:15" x14ac:dyDescent="0.25">
      <c r="L62">
        <v>9225</v>
      </c>
      <c r="M62" t="s">
        <v>143</v>
      </c>
      <c r="O62" t="str">
        <v>English (India)</v>
      </c>
    </row>
    <row r="63" spans="12:15" x14ac:dyDescent="0.25">
      <c r="L63">
        <v>16393</v>
      </c>
      <c r="M63" t="s">
        <v>144</v>
      </c>
      <c r="O63" t="str">
        <v>English (Ireland)</v>
      </c>
    </row>
    <row r="64" spans="12:15" x14ac:dyDescent="0.25">
      <c r="L64">
        <v>6153</v>
      </c>
      <c r="M64" t="s">
        <v>145</v>
      </c>
      <c r="O64" t="str">
        <v>English (Jamaica)</v>
      </c>
    </row>
    <row r="65" spans="12:15" x14ac:dyDescent="0.25">
      <c r="L65">
        <v>8201</v>
      </c>
      <c r="M65" t="s">
        <v>146</v>
      </c>
      <c r="O65" t="str">
        <v>English (Malaysia)</v>
      </c>
    </row>
    <row r="66" spans="12:15" x14ac:dyDescent="0.25">
      <c r="L66">
        <v>17417</v>
      </c>
      <c r="M66" t="s">
        <v>147</v>
      </c>
      <c r="O66" t="str">
        <v>English (New Zealand)</v>
      </c>
    </row>
    <row r="67" spans="12:15" x14ac:dyDescent="0.25">
      <c r="L67">
        <v>5129</v>
      </c>
      <c r="M67" t="s">
        <v>148</v>
      </c>
      <c r="O67" t="str">
        <v>English (Philippines)</v>
      </c>
    </row>
    <row r="68" spans="12:15" x14ac:dyDescent="0.25">
      <c r="L68">
        <v>13321</v>
      </c>
      <c r="M68" t="s">
        <v>149</v>
      </c>
      <c r="O68" t="str">
        <v>English (Singapore)</v>
      </c>
    </row>
    <row r="69" spans="12:15" x14ac:dyDescent="0.25">
      <c r="L69">
        <v>18441</v>
      </c>
      <c r="M69" t="s">
        <v>150</v>
      </c>
      <c r="O69" t="str">
        <v>English (South Africa)</v>
      </c>
    </row>
    <row r="70" spans="12:15" x14ac:dyDescent="0.25">
      <c r="L70">
        <v>7177</v>
      </c>
      <c r="M70" t="s">
        <v>151</v>
      </c>
      <c r="O70" t="str">
        <v>English (Trinidad)</v>
      </c>
    </row>
    <row r="71" spans="12:15" x14ac:dyDescent="0.25">
      <c r="L71">
        <v>11273</v>
      </c>
      <c r="M71" t="s">
        <v>152</v>
      </c>
      <c r="O71" t="str">
        <v>English (United Kingdom)</v>
      </c>
    </row>
    <row r="72" spans="12:15" x14ac:dyDescent="0.25">
      <c r="L72">
        <v>2057</v>
      </c>
      <c r="M72" t="s">
        <v>153</v>
      </c>
      <c r="O72" t="str">
        <v>English (United States)</v>
      </c>
    </row>
    <row r="73" spans="12:15" x14ac:dyDescent="0.25">
      <c r="L73">
        <v>1033</v>
      </c>
      <c r="M73" t="s">
        <v>154</v>
      </c>
      <c r="O73" t="str">
        <v>English (Zimbabwe)</v>
      </c>
    </row>
    <row r="74" spans="12:15" x14ac:dyDescent="0.25">
      <c r="L74">
        <v>12297</v>
      </c>
      <c r="M74" t="s">
        <v>155</v>
      </c>
      <c r="O74" t="str">
        <v>Estonian</v>
      </c>
    </row>
    <row r="75" spans="12:15" x14ac:dyDescent="0.25">
      <c r="L75">
        <v>1061</v>
      </c>
      <c r="M75" t="s">
        <v>156</v>
      </c>
      <c r="O75" t="str">
        <v>Faroese</v>
      </c>
    </row>
    <row r="76" spans="12:15" x14ac:dyDescent="0.25">
      <c r="L76">
        <v>1080</v>
      </c>
      <c r="M76" t="s">
        <v>157</v>
      </c>
      <c r="O76" t="str">
        <v>Filipino</v>
      </c>
    </row>
    <row r="77" spans="12:15" x14ac:dyDescent="0.25">
      <c r="L77">
        <v>1124</v>
      </c>
      <c r="M77" t="s">
        <v>158</v>
      </c>
      <c r="O77" t="str">
        <v>Finnish</v>
      </c>
    </row>
    <row r="78" spans="12:15" x14ac:dyDescent="0.25">
      <c r="L78">
        <v>1035</v>
      </c>
      <c r="M78" t="s">
        <v>159</v>
      </c>
      <c r="O78" t="str">
        <v>French (Belgium)</v>
      </c>
    </row>
    <row r="79" spans="12:15" x14ac:dyDescent="0.25">
      <c r="L79">
        <v>2060</v>
      </c>
      <c r="M79" t="s">
        <v>160</v>
      </c>
      <c r="O79" t="str">
        <v>French (Canada)</v>
      </c>
    </row>
    <row r="80" spans="12:15" x14ac:dyDescent="0.25">
      <c r="L80">
        <v>3084</v>
      </c>
      <c r="M80" t="s">
        <v>161</v>
      </c>
      <c r="O80" t="str">
        <v>French (France)</v>
      </c>
    </row>
    <row r="81" spans="12:15" x14ac:dyDescent="0.25">
      <c r="L81">
        <v>1036</v>
      </c>
      <c r="M81" t="s">
        <v>162</v>
      </c>
      <c r="O81" t="str">
        <v>French (Luxembourg)</v>
      </c>
    </row>
    <row r="82" spans="12:15" x14ac:dyDescent="0.25">
      <c r="L82">
        <v>5132</v>
      </c>
      <c r="M82" t="s">
        <v>163</v>
      </c>
      <c r="O82" t="str">
        <v>French (Monaco)</v>
      </c>
    </row>
    <row r="83" spans="12:15" x14ac:dyDescent="0.25">
      <c r="L83">
        <v>6156</v>
      </c>
      <c r="M83" t="s">
        <v>164</v>
      </c>
      <c r="O83" t="str">
        <v>French (Switzerland)</v>
      </c>
    </row>
    <row r="84" spans="12:15" x14ac:dyDescent="0.25">
      <c r="L84">
        <v>4108</v>
      </c>
      <c r="M84" t="s">
        <v>165</v>
      </c>
      <c r="O84" t="str">
        <v>Frisian</v>
      </c>
    </row>
    <row r="85" spans="12:15" x14ac:dyDescent="0.25">
      <c r="L85">
        <v>1122</v>
      </c>
      <c r="M85" t="s">
        <v>166</v>
      </c>
      <c r="O85" t="str">
        <v>Galician</v>
      </c>
    </row>
    <row r="86" spans="12:15" x14ac:dyDescent="0.25">
      <c r="L86">
        <v>1110</v>
      </c>
      <c r="M86" t="s">
        <v>167</v>
      </c>
      <c r="O86" t="str">
        <v>Georgian</v>
      </c>
    </row>
    <row r="87" spans="12:15" x14ac:dyDescent="0.25">
      <c r="L87">
        <v>1079</v>
      </c>
      <c r="M87" t="s">
        <v>168</v>
      </c>
      <c r="O87" t="str">
        <v>German (Austria)</v>
      </c>
    </row>
    <row r="88" spans="12:15" x14ac:dyDescent="0.25">
      <c r="L88">
        <v>3079</v>
      </c>
      <c r="M88" t="s">
        <v>169</v>
      </c>
      <c r="O88" t="str">
        <v>German (Germany)</v>
      </c>
    </row>
    <row r="89" spans="12:15" x14ac:dyDescent="0.25">
      <c r="L89">
        <v>1031</v>
      </c>
      <c r="M89" t="s">
        <v>170</v>
      </c>
      <c r="O89" t="str">
        <v>German (Liechtenstein)</v>
      </c>
    </row>
    <row r="90" spans="12:15" x14ac:dyDescent="0.25">
      <c r="L90">
        <v>5127</v>
      </c>
      <c r="M90" t="s">
        <v>171</v>
      </c>
      <c r="O90" t="str">
        <v>German (Luxembourg)</v>
      </c>
    </row>
    <row r="91" spans="12:15" x14ac:dyDescent="0.25">
      <c r="L91">
        <v>4103</v>
      </c>
      <c r="M91" t="s">
        <v>172</v>
      </c>
      <c r="O91" t="str">
        <v>German (Switzerland)</v>
      </c>
    </row>
    <row r="92" spans="12:15" x14ac:dyDescent="0.25">
      <c r="L92">
        <v>2055</v>
      </c>
      <c r="M92" t="s">
        <v>173</v>
      </c>
      <c r="O92" t="str">
        <v>Greek</v>
      </c>
    </row>
    <row r="93" spans="12:15" x14ac:dyDescent="0.25">
      <c r="L93">
        <v>1032</v>
      </c>
      <c r="M93" t="s">
        <v>174</v>
      </c>
      <c r="O93" t="str">
        <v>Greenlandic</v>
      </c>
    </row>
    <row r="94" spans="12:15" x14ac:dyDescent="0.25">
      <c r="L94">
        <v>1135</v>
      </c>
      <c r="M94" t="s">
        <v>175</v>
      </c>
      <c r="O94" t="str">
        <v>Gujarati</v>
      </c>
    </row>
    <row r="95" spans="12:15" x14ac:dyDescent="0.25">
      <c r="L95">
        <v>1095</v>
      </c>
      <c r="M95" t="s">
        <v>176</v>
      </c>
      <c r="O95" t="str">
        <v>Hausa (Latin)</v>
      </c>
    </row>
    <row r="96" spans="12:15" x14ac:dyDescent="0.25">
      <c r="L96">
        <v>1128</v>
      </c>
      <c r="M96" t="s">
        <v>177</v>
      </c>
      <c r="O96" t="str">
        <v>Hebrew</v>
      </c>
    </row>
    <row r="97" spans="12:15" x14ac:dyDescent="0.25">
      <c r="L97">
        <v>1037</v>
      </c>
      <c r="M97" t="s">
        <v>178</v>
      </c>
      <c r="O97" t="str">
        <v>Hindi</v>
      </c>
    </row>
    <row r="98" spans="12:15" x14ac:dyDescent="0.25">
      <c r="L98">
        <v>1081</v>
      </c>
      <c r="M98" t="s">
        <v>179</v>
      </c>
      <c r="O98" t="str">
        <v>Hungarian</v>
      </c>
    </row>
    <row r="99" spans="12:15" x14ac:dyDescent="0.25">
      <c r="L99">
        <v>1038</v>
      </c>
      <c r="M99" t="s">
        <v>180</v>
      </c>
      <c r="O99" t="str">
        <v>Icelandic</v>
      </c>
    </row>
    <row r="100" spans="12:15" x14ac:dyDescent="0.25">
      <c r="L100">
        <v>1039</v>
      </c>
      <c r="M100" t="s">
        <v>181</v>
      </c>
      <c r="O100" t="str">
        <v>Igbo</v>
      </c>
    </row>
    <row r="101" spans="12:15" x14ac:dyDescent="0.25">
      <c r="L101">
        <v>1136</v>
      </c>
      <c r="M101" t="s">
        <v>182</v>
      </c>
      <c r="O101" t="str">
        <v>Indonesian</v>
      </c>
    </row>
    <row r="102" spans="12:15" x14ac:dyDescent="0.25">
      <c r="L102">
        <v>1057</v>
      </c>
      <c r="M102" t="s">
        <v>183</v>
      </c>
      <c r="O102" t="str">
        <v>Inuktitut (Syllabics)</v>
      </c>
    </row>
    <row r="103" spans="12:15" x14ac:dyDescent="0.25">
      <c r="L103">
        <v>1117</v>
      </c>
      <c r="M103" t="s">
        <v>184</v>
      </c>
      <c r="O103" t="str">
        <v>Inuktitut (Latin)</v>
      </c>
    </row>
    <row r="104" spans="12:15" x14ac:dyDescent="0.25">
      <c r="L104">
        <v>2141</v>
      </c>
      <c r="M104" t="s">
        <v>185</v>
      </c>
      <c r="O104" t="str">
        <v>Irish</v>
      </c>
    </row>
    <row r="105" spans="12:15" x14ac:dyDescent="0.25">
      <c r="L105">
        <v>2108</v>
      </c>
      <c r="M105" t="s">
        <v>186</v>
      </c>
      <c r="O105" t="str">
        <v>isiXhosa</v>
      </c>
    </row>
    <row r="106" spans="12:15" x14ac:dyDescent="0.25">
      <c r="L106">
        <v>1076</v>
      </c>
      <c r="M106" t="s">
        <v>187</v>
      </c>
      <c r="O106" t="str">
        <v>isiZulu</v>
      </c>
    </row>
    <row r="107" spans="12:15" x14ac:dyDescent="0.25">
      <c r="L107">
        <v>1077</v>
      </c>
      <c r="M107" t="s">
        <v>188</v>
      </c>
      <c r="O107" t="str">
        <v>Italian (Italy)</v>
      </c>
    </row>
    <row r="108" spans="12:15" x14ac:dyDescent="0.25">
      <c r="L108">
        <v>1040</v>
      </c>
      <c r="M108" t="s">
        <v>189</v>
      </c>
      <c r="O108" t="str">
        <v>Italian (Switzerland)</v>
      </c>
    </row>
    <row r="109" spans="12:15" x14ac:dyDescent="0.25">
      <c r="L109">
        <v>2064</v>
      </c>
      <c r="M109" t="s">
        <v>190</v>
      </c>
      <c r="O109" t="str">
        <v>Japanese</v>
      </c>
    </row>
    <row r="110" spans="12:15" x14ac:dyDescent="0.25">
      <c r="L110">
        <v>1041</v>
      </c>
      <c r="M110" t="s">
        <v>191</v>
      </c>
      <c r="O110" t="str">
        <v>Kannada</v>
      </c>
    </row>
    <row r="111" spans="12:15" x14ac:dyDescent="0.25">
      <c r="L111">
        <v>1099</v>
      </c>
      <c r="M111" t="s">
        <v>192</v>
      </c>
      <c r="O111" t="str">
        <v>Kazakh</v>
      </c>
    </row>
    <row r="112" spans="12:15" x14ac:dyDescent="0.25">
      <c r="L112">
        <v>1087</v>
      </c>
      <c r="M112" t="s">
        <v>193</v>
      </c>
      <c r="O112" t="str">
        <v>Khmer</v>
      </c>
    </row>
    <row r="113" spans="12:15" x14ac:dyDescent="0.25">
      <c r="L113">
        <v>1107</v>
      </c>
      <c r="M113" t="s">
        <v>194</v>
      </c>
      <c r="O113" t="str">
        <v>K'iche</v>
      </c>
    </row>
    <row r="114" spans="12:15" x14ac:dyDescent="0.25">
      <c r="L114">
        <v>1158</v>
      </c>
      <c r="M114" t="s">
        <v>195</v>
      </c>
      <c r="O114" t="str">
        <v>Kinyarwanda</v>
      </c>
    </row>
    <row r="115" spans="12:15" x14ac:dyDescent="0.25">
      <c r="L115">
        <v>1159</v>
      </c>
      <c r="M115" t="s">
        <v>196</v>
      </c>
      <c r="O115" t="str">
        <v>Kiswahili</v>
      </c>
    </row>
    <row r="116" spans="12:15" x14ac:dyDescent="0.25">
      <c r="L116">
        <v>1089</v>
      </c>
      <c r="M116" t="s">
        <v>197</v>
      </c>
      <c r="O116" t="str">
        <v>Konkani</v>
      </c>
    </row>
    <row r="117" spans="12:15" x14ac:dyDescent="0.25">
      <c r="L117">
        <v>1111</v>
      </c>
      <c r="M117" t="s">
        <v>198</v>
      </c>
      <c r="O117" t="str">
        <v>Korean</v>
      </c>
    </row>
    <row r="118" spans="12:15" x14ac:dyDescent="0.25">
      <c r="L118">
        <v>1042</v>
      </c>
      <c r="M118" t="s">
        <v>199</v>
      </c>
      <c r="O118" t="str">
        <v>Kyrgyz</v>
      </c>
    </row>
    <row r="119" spans="12:15" x14ac:dyDescent="0.25">
      <c r="L119">
        <v>1088</v>
      </c>
      <c r="M119" t="s">
        <v>200</v>
      </c>
      <c r="O119" t="str">
        <v>Lao</v>
      </c>
    </row>
    <row r="120" spans="12:15" x14ac:dyDescent="0.25">
      <c r="L120">
        <v>1108</v>
      </c>
      <c r="M120" t="s">
        <v>201</v>
      </c>
      <c r="O120" t="str">
        <v>Latvian</v>
      </c>
    </row>
    <row r="121" spans="12:15" x14ac:dyDescent="0.25">
      <c r="L121">
        <v>1062</v>
      </c>
      <c r="M121" t="s">
        <v>202</v>
      </c>
      <c r="O121" t="str">
        <v>Lithuanian</v>
      </c>
    </row>
    <row r="122" spans="12:15" x14ac:dyDescent="0.25">
      <c r="L122">
        <v>1063</v>
      </c>
      <c r="M122" t="s">
        <v>203</v>
      </c>
      <c r="O122" t="str">
        <v>Lower Sorbian</v>
      </c>
    </row>
    <row r="123" spans="12:15" x14ac:dyDescent="0.25">
      <c r="L123">
        <v>2094</v>
      </c>
      <c r="M123" t="s">
        <v>204</v>
      </c>
      <c r="O123" t="str">
        <v>Luxembourgish</v>
      </c>
    </row>
    <row r="124" spans="12:15" x14ac:dyDescent="0.25">
      <c r="L124">
        <v>1134</v>
      </c>
      <c r="M124" t="s">
        <v>205</v>
      </c>
      <c r="O124" t="str">
        <v>Macedonian</v>
      </c>
    </row>
    <row r="125" spans="12:15" x14ac:dyDescent="0.25">
      <c r="L125">
        <v>1071</v>
      </c>
      <c r="M125" t="s">
        <v>206</v>
      </c>
      <c r="O125" t="str">
        <v>Malay (Brunei)</v>
      </c>
    </row>
    <row r="126" spans="12:15" x14ac:dyDescent="0.25">
      <c r="L126">
        <v>2110</v>
      </c>
      <c r="M126" t="s">
        <v>207</v>
      </c>
      <c r="O126" t="str">
        <v>Malay (Malaysia)</v>
      </c>
    </row>
    <row r="127" spans="12:15" x14ac:dyDescent="0.25">
      <c r="L127">
        <v>1086</v>
      </c>
      <c r="M127" t="s">
        <v>208</v>
      </c>
      <c r="O127" t="str">
        <v>Malayalam</v>
      </c>
    </row>
    <row r="128" spans="12:15" x14ac:dyDescent="0.25">
      <c r="L128">
        <v>1100</v>
      </c>
      <c r="M128" t="s">
        <v>209</v>
      </c>
      <c r="O128" t="str">
        <v>Maltese</v>
      </c>
    </row>
    <row r="129" spans="12:15" x14ac:dyDescent="0.25">
      <c r="L129">
        <v>1082</v>
      </c>
      <c r="M129" t="s">
        <v>210</v>
      </c>
      <c r="O129" t="str">
        <v>Maori</v>
      </c>
    </row>
    <row r="130" spans="12:15" x14ac:dyDescent="0.25">
      <c r="L130">
        <v>1153</v>
      </c>
      <c r="M130" t="s">
        <v>211</v>
      </c>
      <c r="O130" t="str">
        <v>Mapudungun</v>
      </c>
    </row>
    <row r="131" spans="12:15" x14ac:dyDescent="0.25">
      <c r="L131">
        <v>1146</v>
      </c>
      <c r="M131" t="s">
        <v>212</v>
      </c>
      <c r="O131" t="str">
        <v>Marathi</v>
      </c>
    </row>
    <row r="132" spans="12:15" x14ac:dyDescent="0.25">
      <c r="L132">
        <v>1102</v>
      </c>
      <c r="M132" t="s">
        <v>213</v>
      </c>
      <c r="O132" t="str">
        <v>Mohawk</v>
      </c>
    </row>
    <row r="133" spans="12:15" x14ac:dyDescent="0.25">
      <c r="L133">
        <v>1148</v>
      </c>
      <c r="M133" t="s">
        <v>214</v>
      </c>
      <c r="O133" t="str">
        <v>Mongolian (Cyrillic)</v>
      </c>
    </row>
    <row r="134" spans="12:15" x14ac:dyDescent="0.25">
      <c r="L134">
        <v>1104</v>
      </c>
      <c r="M134" t="s">
        <v>215</v>
      </c>
      <c r="O134" t="str">
        <v>Mongolian (Traditional)</v>
      </c>
    </row>
    <row r="135" spans="12:15" x14ac:dyDescent="0.25">
      <c r="L135">
        <v>2128</v>
      </c>
      <c r="M135" t="s">
        <v>216</v>
      </c>
      <c r="O135" t="str">
        <v>Nepali</v>
      </c>
    </row>
    <row r="136" spans="12:15" x14ac:dyDescent="0.25">
      <c r="L136">
        <v>1121</v>
      </c>
      <c r="M136" t="s">
        <v>217</v>
      </c>
      <c r="O136" t="str">
        <v>Norwegian (Bokmål)</v>
      </c>
    </row>
    <row r="137" spans="12:15" x14ac:dyDescent="0.25">
      <c r="L137">
        <v>1044</v>
      </c>
      <c r="M137" t="s">
        <v>218</v>
      </c>
      <c r="O137" t="str">
        <v>Norwegian (Nynorsk)</v>
      </c>
    </row>
    <row r="138" spans="12:15" x14ac:dyDescent="0.25">
      <c r="L138">
        <v>2068</v>
      </c>
      <c r="M138" t="s">
        <v>219</v>
      </c>
      <c r="O138" t="str">
        <v>Occitan</v>
      </c>
    </row>
    <row r="139" spans="12:15" x14ac:dyDescent="0.25">
      <c r="L139">
        <v>1154</v>
      </c>
      <c r="M139" t="s">
        <v>220</v>
      </c>
      <c r="O139" t="str">
        <v>Odia</v>
      </c>
    </row>
    <row r="140" spans="12:15" x14ac:dyDescent="0.25">
      <c r="L140">
        <v>1096</v>
      </c>
      <c r="M140" t="s">
        <v>221</v>
      </c>
      <c r="O140" t="str">
        <v>Pashto</v>
      </c>
    </row>
    <row r="141" spans="12:15" x14ac:dyDescent="0.25">
      <c r="L141">
        <v>1123</v>
      </c>
      <c r="M141" t="s">
        <v>222</v>
      </c>
      <c r="O141" t="str">
        <v>Persian</v>
      </c>
    </row>
    <row r="142" spans="12:15" x14ac:dyDescent="0.25">
      <c r="L142">
        <v>1065</v>
      </c>
      <c r="M142" t="s">
        <v>223</v>
      </c>
      <c r="O142" t="str">
        <v>Polish</v>
      </c>
    </row>
    <row r="143" spans="12:15" x14ac:dyDescent="0.25">
      <c r="L143">
        <v>1045</v>
      </c>
      <c r="M143" t="s">
        <v>224</v>
      </c>
      <c r="O143" t="str">
        <v>Portuguese (Brazil)</v>
      </c>
    </row>
    <row r="144" spans="12:15" x14ac:dyDescent="0.25">
      <c r="L144">
        <v>1046</v>
      </c>
      <c r="M144" t="s">
        <v>225</v>
      </c>
      <c r="O144" t="str">
        <v>Portuguese (Portugal)</v>
      </c>
    </row>
    <row r="145" spans="12:15" x14ac:dyDescent="0.25">
      <c r="L145">
        <v>2070</v>
      </c>
      <c r="M145" t="s">
        <v>226</v>
      </c>
      <c r="O145" t="str">
        <v>Punjabi</v>
      </c>
    </row>
    <row r="146" spans="12:15" x14ac:dyDescent="0.25">
      <c r="L146">
        <v>1094</v>
      </c>
      <c r="M146" t="s">
        <v>227</v>
      </c>
      <c r="O146" t="str">
        <v>Quechua (Bolivia)</v>
      </c>
    </row>
    <row r="147" spans="12:15" x14ac:dyDescent="0.25">
      <c r="L147">
        <v>1131</v>
      </c>
      <c r="M147" t="s">
        <v>228</v>
      </c>
      <c r="O147" t="str">
        <v>Quechua (Ecuador)</v>
      </c>
    </row>
    <row r="148" spans="12:15" x14ac:dyDescent="0.25">
      <c r="L148">
        <v>2155</v>
      </c>
      <c r="M148" t="s">
        <v>229</v>
      </c>
      <c r="O148" t="str">
        <v>Quechua (Peru)</v>
      </c>
    </row>
    <row r="149" spans="12:15" x14ac:dyDescent="0.25">
      <c r="L149">
        <v>3179</v>
      </c>
      <c r="M149" t="s">
        <v>230</v>
      </c>
      <c r="O149" t="str">
        <v>Romanian</v>
      </c>
    </row>
    <row r="150" spans="12:15" x14ac:dyDescent="0.25">
      <c r="L150">
        <v>1048</v>
      </c>
      <c r="M150" t="s">
        <v>231</v>
      </c>
      <c r="O150" t="str">
        <v>Romansh</v>
      </c>
    </row>
    <row r="151" spans="12:15" x14ac:dyDescent="0.25">
      <c r="L151">
        <v>1047</v>
      </c>
      <c r="M151" t="s">
        <v>232</v>
      </c>
      <c r="O151" t="str">
        <v>Russian</v>
      </c>
    </row>
    <row r="152" spans="12:15" x14ac:dyDescent="0.25">
      <c r="L152">
        <v>1049</v>
      </c>
      <c r="M152" t="s">
        <v>233</v>
      </c>
      <c r="O152" t="str">
        <v>Sami (Inari)</v>
      </c>
    </row>
    <row r="153" spans="12:15" x14ac:dyDescent="0.25">
      <c r="L153">
        <v>9275</v>
      </c>
      <c r="M153" t="s">
        <v>234</v>
      </c>
      <c r="O153" t="str">
        <v>Sami (Lule, Norway)</v>
      </c>
    </row>
    <row r="154" spans="12:15" x14ac:dyDescent="0.25">
      <c r="L154">
        <v>5179</v>
      </c>
      <c r="M154" t="s">
        <v>235</v>
      </c>
      <c r="O154" t="str">
        <v>Sami (Lule, Sweden)</v>
      </c>
    </row>
    <row r="155" spans="12:15" x14ac:dyDescent="0.25">
      <c r="L155">
        <v>7227</v>
      </c>
      <c r="M155" t="s">
        <v>236</v>
      </c>
      <c r="O155" t="str">
        <v>Sami (Northern, Norway)</v>
      </c>
    </row>
    <row r="156" spans="12:15" x14ac:dyDescent="0.25">
      <c r="L156">
        <v>1083</v>
      </c>
      <c r="M156" t="s">
        <v>237</v>
      </c>
      <c r="O156" t="str">
        <v>Sami (Northern, Sweden)</v>
      </c>
    </row>
    <row r="157" spans="12:15" x14ac:dyDescent="0.25">
      <c r="L157">
        <v>2107</v>
      </c>
      <c r="M157" t="s">
        <v>238</v>
      </c>
      <c r="O157" t="str">
        <v>Sami (Northern, Finland)</v>
      </c>
    </row>
    <row r="158" spans="12:15" x14ac:dyDescent="0.25">
      <c r="L158">
        <v>3131</v>
      </c>
      <c r="M158" t="s">
        <v>239</v>
      </c>
      <c r="O158" t="str">
        <v>Sami (Skolt)</v>
      </c>
    </row>
    <row r="159" spans="12:15" x14ac:dyDescent="0.25">
      <c r="L159">
        <v>8251</v>
      </c>
      <c r="M159" t="s">
        <v>240</v>
      </c>
      <c r="O159" t="str">
        <v>Sami (Southern, Norway)</v>
      </c>
    </row>
    <row r="160" spans="12:15" x14ac:dyDescent="0.25">
      <c r="L160">
        <v>6203</v>
      </c>
      <c r="M160" t="s">
        <v>241</v>
      </c>
      <c r="O160" t="str">
        <v>Sami (Southern, Sweden)</v>
      </c>
    </row>
    <row r="161" spans="12:15" x14ac:dyDescent="0.25">
      <c r="L161">
        <v>7227</v>
      </c>
      <c r="M161" t="s">
        <v>242</v>
      </c>
      <c r="O161" t="str">
        <v>Sanskrit</v>
      </c>
    </row>
    <row r="162" spans="12:15" x14ac:dyDescent="0.25">
      <c r="L162">
        <v>1103</v>
      </c>
      <c r="M162" t="s">
        <v>243</v>
      </c>
      <c r="O162" t="str">
        <v>Serbian (Cyrillic, Bosnia)</v>
      </c>
    </row>
    <row r="163" spans="12:15" x14ac:dyDescent="0.25">
      <c r="L163">
        <v>7194</v>
      </c>
      <c r="M163" t="s">
        <v>244</v>
      </c>
      <c r="O163" t="str">
        <v>Serbian (Cyrillic, Serbia)</v>
      </c>
    </row>
    <row r="164" spans="12:15" x14ac:dyDescent="0.25">
      <c r="L164">
        <v>3098</v>
      </c>
      <c r="M164" t="s">
        <v>245</v>
      </c>
      <c r="O164" t="str">
        <v>Serbian (Latin, Bosnia)</v>
      </c>
    </row>
    <row r="165" spans="12:15" x14ac:dyDescent="0.25">
      <c r="L165">
        <v>6170</v>
      </c>
      <c r="M165" t="s">
        <v>246</v>
      </c>
      <c r="O165" t="str">
        <v>Serbian (Latin, Serbia)</v>
      </c>
    </row>
    <row r="166" spans="12:15" x14ac:dyDescent="0.25">
      <c r="L166">
        <v>2074</v>
      </c>
      <c r="M166" t="s">
        <v>247</v>
      </c>
      <c r="O166" t="str">
        <v>Sesotho sa Leboa</v>
      </c>
    </row>
    <row r="167" spans="12:15" x14ac:dyDescent="0.25">
      <c r="L167">
        <v>1132</v>
      </c>
      <c r="M167" t="s">
        <v>248</v>
      </c>
      <c r="O167" t="str">
        <v>Setswana</v>
      </c>
    </row>
    <row r="168" spans="12:15" x14ac:dyDescent="0.25">
      <c r="L168">
        <v>1074</v>
      </c>
      <c r="M168" t="s">
        <v>249</v>
      </c>
      <c r="O168" t="str">
        <v>Sinhala</v>
      </c>
    </row>
    <row r="169" spans="12:15" x14ac:dyDescent="0.25">
      <c r="L169">
        <v>1115</v>
      </c>
      <c r="M169" t="s">
        <v>250</v>
      </c>
      <c r="O169" t="str">
        <v>Slovak</v>
      </c>
    </row>
    <row r="170" spans="12:15" x14ac:dyDescent="0.25">
      <c r="L170">
        <v>1051</v>
      </c>
      <c r="M170" t="s">
        <v>251</v>
      </c>
      <c r="O170" t="str">
        <v>Slovenian</v>
      </c>
    </row>
    <row r="171" spans="12:15" x14ac:dyDescent="0.25">
      <c r="L171">
        <v>1060</v>
      </c>
      <c r="M171" t="s">
        <v>252</v>
      </c>
      <c r="O171" t="str">
        <v>Spanish (Argentina)</v>
      </c>
    </row>
    <row r="172" spans="12:15" x14ac:dyDescent="0.25">
      <c r="L172">
        <v>11274</v>
      </c>
      <c r="M172" t="s">
        <v>253</v>
      </c>
      <c r="O172" t="str">
        <v>Spanish (Bolivia)</v>
      </c>
    </row>
    <row r="173" spans="12:15" x14ac:dyDescent="0.25">
      <c r="L173">
        <v>16394</v>
      </c>
      <c r="M173" t="s">
        <v>254</v>
      </c>
      <c r="O173" t="str">
        <v>Spanish (Chile)</v>
      </c>
    </row>
    <row r="174" spans="12:15" x14ac:dyDescent="0.25">
      <c r="L174">
        <v>13322</v>
      </c>
      <c r="M174" t="s">
        <v>255</v>
      </c>
      <c r="O174" t="str">
        <v>Spanish (Colombia)</v>
      </c>
    </row>
    <row r="175" spans="12:15" x14ac:dyDescent="0.25">
      <c r="L175">
        <v>9226</v>
      </c>
      <c r="M175" t="s">
        <v>256</v>
      </c>
      <c r="O175" t="str">
        <v>Spanish (Costa Rica)</v>
      </c>
    </row>
    <row r="176" spans="12:15" x14ac:dyDescent="0.25">
      <c r="L176">
        <v>5130</v>
      </c>
      <c r="M176" t="s">
        <v>257</v>
      </c>
      <c r="O176" t="str">
        <v>Spanish (Dominican Republic)</v>
      </c>
    </row>
    <row r="177" spans="12:15" x14ac:dyDescent="0.25">
      <c r="L177">
        <v>7178</v>
      </c>
      <c r="M177" t="s">
        <v>258</v>
      </c>
      <c r="O177" t="str">
        <v>Spanish (Ecuador)</v>
      </c>
    </row>
    <row r="178" spans="12:15" x14ac:dyDescent="0.25">
      <c r="L178">
        <v>12298</v>
      </c>
      <c r="M178" t="s">
        <v>259</v>
      </c>
      <c r="O178" t="str">
        <v>Spanish (El Salvador)</v>
      </c>
    </row>
    <row r="179" spans="12:15" x14ac:dyDescent="0.25">
      <c r="L179">
        <v>17418</v>
      </c>
      <c r="M179" t="s">
        <v>260</v>
      </c>
      <c r="O179" t="str">
        <v>Spanish (Guatemala)</v>
      </c>
    </row>
    <row r="180" spans="12:15" x14ac:dyDescent="0.25">
      <c r="L180">
        <v>4106</v>
      </c>
      <c r="M180" t="s">
        <v>261</v>
      </c>
      <c r="O180" t="str">
        <v>Spanish (Honduras)</v>
      </c>
    </row>
    <row r="181" spans="12:15" x14ac:dyDescent="0.25">
      <c r="L181">
        <v>18442</v>
      </c>
      <c r="M181" t="s">
        <v>262</v>
      </c>
      <c r="O181" t="str">
        <v>Spanish (Mexico)</v>
      </c>
    </row>
    <row r="182" spans="12:15" x14ac:dyDescent="0.25">
      <c r="L182">
        <v>2058</v>
      </c>
      <c r="M182" t="s">
        <v>263</v>
      </c>
      <c r="O182" t="str">
        <v>Spanish (Nicaragua)</v>
      </c>
    </row>
    <row r="183" spans="12:15" x14ac:dyDescent="0.25">
      <c r="L183">
        <v>19466</v>
      </c>
      <c r="M183" t="s">
        <v>264</v>
      </c>
      <c r="O183" t="str">
        <v>Spanish (Panama)</v>
      </c>
    </row>
    <row r="184" spans="12:15" x14ac:dyDescent="0.25">
      <c r="L184">
        <v>6154</v>
      </c>
      <c r="M184" t="s">
        <v>265</v>
      </c>
      <c r="O184" t="str">
        <v>Spanish (Paraguay)</v>
      </c>
    </row>
    <row r="185" spans="12:15" x14ac:dyDescent="0.25">
      <c r="L185">
        <v>15370</v>
      </c>
      <c r="M185" t="s">
        <v>266</v>
      </c>
      <c r="O185" t="str">
        <v>Spanish (Peru)</v>
      </c>
    </row>
    <row r="186" spans="12:15" x14ac:dyDescent="0.25">
      <c r="L186">
        <v>10250</v>
      </c>
      <c r="M186" t="s">
        <v>267</v>
      </c>
      <c r="O186" t="str">
        <v>Spanish (Puerto Rico)</v>
      </c>
    </row>
    <row r="187" spans="12:15" x14ac:dyDescent="0.25">
      <c r="L187">
        <v>20490</v>
      </c>
      <c r="M187" t="s">
        <v>268</v>
      </c>
      <c r="O187" t="str">
        <v>Spanish (Spain, International)</v>
      </c>
    </row>
    <row r="188" spans="12:15" x14ac:dyDescent="0.25">
      <c r="L188">
        <v>3082</v>
      </c>
      <c r="M188" t="s">
        <v>269</v>
      </c>
      <c r="O188" t="str">
        <v>Spanish (Spain, Traditional)</v>
      </c>
    </row>
    <row r="189" spans="12:15" x14ac:dyDescent="0.25">
      <c r="L189">
        <v>1034</v>
      </c>
      <c r="M189" t="s">
        <v>270</v>
      </c>
      <c r="O189" t="str">
        <v>Spanish (US)</v>
      </c>
    </row>
    <row r="190" spans="12:15" x14ac:dyDescent="0.25">
      <c r="L190">
        <v>21514</v>
      </c>
      <c r="M190" t="s">
        <v>271</v>
      </c>
      <c r="O190" t="str">
        <v>Spanish (Uruguay)</v>
      </c>
    </row>
    <row r="191" spans="12:15" x14ac:dyDescent="0.25">
      <c r="L191">
        <v>14346</v>
      </c>
      <c r="M191" t="s">
        <v>272</v>
      </c>
      <c r="O191" t="str">
        <v>Spanish (Venezuela)</v>
      </c>
    </row>
    <row r="192" spans="12:15" x14ac:dyDescent="0.25">
      <c r="L192">
        <v>8202</v>
      </c>
      <c r="M192" t="s">
        <v>273</v>
      </c>
      <c r="O192" t="str">
        <v>Swedish (Finland)</v>
      </c>
    </row>
    <row r="193" spans="12:15" x14ac:dyDescent="0.25">
      <c r="L193">
        <v>2077</v>
      </c>
      <c r="M193" t="s">
        <v>274</v>
      </c>
      <c r="O193" t="str">
        <v>Swedish (Sweden)</v>
      </c>
    </row>
    <row r="194" spans="12:15" x14ac:dyDescent="0.25">
      <c r="L194">
        <v>1053</v>
      </c>
      <c r="M194" t="s">
        <v>275</v>
      </c>
      <c r="O194" t="str">
        <v>Syriac</v>
      </c>
    </row>
    <row r="195" spans="12:15" x14ac:dyDescent="0.25">
      <c r="L195">
        <v>1114</v>
      </c>
      <c r="M195" t="s">
        <v>276</v>
      </c>
      <c r="O195" t="str">
        <v>Tajik</v>
      </c>
    </row>
    <row r="196" spans="12:15" x14ac:dyDescent="0.25">
      <c r="L196">
        <v>1064</v>
      </c>
      <c r="M196" t="s">
        <v>277</v>
      </c>
      <c r="O196" t="str">
        <v>Tamazight (Latin)</v>
      </c>
    </row>
    <row r="197" spans="12:15" x14ac:dyDescent="0.25">
      <c r="L197">
        <v>2143</v>
      </c>
      <c r="M197" t="s">
        <v>278</v>
      </c>
      <c r="O197" t="str">
        <v>Tamil</v>
      </c>
    </row>
    <row r="198" spans="12:15" x14ac:dyDescent="0.25">
      <c r="L198">
        <v>1097</v>
      </c>
      <c r="M198" t="s">
        <v>279</v>
      </c>
      <c r="O198" t="str">
        <v>Tatar</v>
      </c>
    </row>
    <row r="199" spans="12:15" x14ac:dyDescent="0.25">
      <c r="L199">
        <v>1092</v>
      </c>
      <c r="M199" t="s">
        <v>280</v>
      </c>
      <c r="O199" t="str">
        <v>Telugu</v>
      </c>
    </row>
    <row r="200" spans="12:15" x14ac:dyDescent="0.25">
      <c r="L200">
        <v>1098</v>
      </c>
      <c r="M200" t="s">
        <v>281</v>
      </c>
      <c r="O200" t="str">
        <v>Thai</v>
      </c>
    </row>
    <row r="201" spans="12:15" x14ac:dyDescent="0.25">
      <c r="L201">
        <v>1054</v>
      </c>
      <c r="M201" t="s">
        <v>282</v>
      </c>
      <c r="O201" t="str">
        <v>Tibetan</v>
      </c>
    </row>
    <row r="202" spans="12:15" x14ac:dyDescent="0.25">
      <c r="L202">
        <v>1105</v>
      </c>
      <c r="M202" t="s">
        <v>283</v>
      </c>
      <c r="O202" t="str">
        <v>Turkish</v>
      </c>
    </row>
    <row r="203" spans="12:15" x14ac:dyDescent="0.25">
      <c r="L203">
        <v>1055</v>
      </c>
      <c r="M203" t="s">
        <v>284</v>
      </c>
      <c r="O203" t="str">
        <v>Turkmen</v>
      </c>
    </row>
    <row r="204" spans="12:15" x14ac:dyDescent="0.25">
      <c r="L204">
        <v>1090</v>
      </c>
      <c r="M204" t="s">
        <v>285</v>
      </c>
      <c r="O204" t="str">
        <v>Uighur</v>
      </c>
    </row>
    <row r="205" spans="12:15" x14ac:dyDescent="0.25">
      <c r="L205">
        <v>1152</v>
      </c>
      <c r="M205" t="s">
        <v>286</v>
      </c>
      <c r="O205" t="str">
        <v>Ukrainian</v>
      </c>
    </row>
    <row r="206" spans="12:15" x14ac:dyDescent="0.25">
      <c r="L206">
        <v>1058</v>
      </c>
      <c r="M206" t="s">
        <v>287</v>
      </c>
      <c r="O206" t="str">
        <v>Upper Sorbian</v>
      </c>
    </row>
    <row r="207" spans="12:15" x14ac:dyDescent="0.25">
      <c r="L207">
        <v>1070</v>
      </c>
      <c r="M207" t="s">
        <v>288</v>
      </c>
      <c r="O207" t="str">
        <v>Urdu</v>
      </c>
    </row>
    <row r="208" spans="12:15" x14ac:dyDescent="0.25">
      <c r="L208">
        <v>1056</v>
      </c>
      <c r="M208" t="s">
        <v>289</v>
      </c>
      <c r="O208" t="str">
        <v>Uzbek (Cyrillic)</v>
      </c>
    </row>
    <row r="209" spans="12:15" x14ac:dyDescent="0.25">
      <c r="L209">
        <v>2115</v>
      </c>
      <c r="M209" t="s">
        <v>290</v>
      </c>
      <c r="O209" t="str">
        <v>Uzbek (Latin)</v>
      </c>
    </row>
    <row r="210" spans="12:15" x14ac:dyDescent="0.25">
      <c r="L210">
        <v>1091</v>
      </c>
      <c r="M210" t="s">
        <v>291</v>
      </c>
      <c r="O210" t="str">
        <v>Vietnamese</v>
      </c>
    </row>
    <row r="211" spans="12:15" x14ac:dyDescent="0.25">
      <c r="L211">
        <v>1066</v>
      </c>
      <c r="M211" t="s">
        <v>292</v>
      </c>
      <c r="O211" t="str">
        <v>Welsh</v>
      </c>
    </row>
    <row r="212" spans="12:15" x14ac:dyDescent="0.25">
      <c r="L212">
        <v>1106</v>
      </c>
      <c r="M212" t="s">
        <v>293</v>
      </c>
      <c r="O212" t="str">
        <v>Wolof</v>
      </c>
    </row>
    <row r="213" spans="12:15" x14ac:dyDescent="0.25">
      <c r="L213">
        <v>1160</v>
      </c>
      <c r="M213" t="s">
        <v>294</v>
      </c>
      <c r="O213" t="str">
        <v>Yakut</v>
      </c>
    </row>
    <row r="214" spans="12:15" x14ac:dyDescent="0.25">
      <c r="L214">
        <v>1157</v>
      </c>
      <c r="M214" t="s">
        <v>295</v>
      </c>
      <c r="O214" t="str">
        <v>Yi</v>
      </c>
    </row>
    <row r="215" spans="12:15" x14ac:dyDescent="0.25">
      <c r="L215">
        <v>1144</v>
      </c>
      <c r="M215" t="s">
        <v>296</v>
      </c>
      <c r="O215" t="str">
        <v>Yoruba</v>
      </c>
    </row>
    <row r="216" spans="12:15" x14ac:dyDescent="0.25">
      <c r="L216">
        <v>1130</v>
      </c>
      <c r="M216" t="s">
        <v>297</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Text>
</file>

<file path=customXml/item3.xml><?xml version="1.0" encoding="utf-8"?>
<Text><![CDATA[
]]></Text>
</file>

<file path=customXml/item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5.xml><?xml version="1.0" encoding="utf-8"?>
<Text><![CDATA[
IFBLANK = LAMBDA(value,value_if_blank, IF(ISBLANK(value), value_if_blank, value));
]]></Text>
</file>

<file path=customXml/item6.xml><?xml version="1.0" encoding="utf-8"?>
<Text><![CDATA[
]]></Text>
</file>

<file path=customXml/item7.xml><?xml version="1.0" encoding="utf-8"?>
<Text><![CDATA[
FilterArray = LAMBDA(data,column_indexes,filter_values,LET(\\LambdaName, "FilterArray", FILTER(data, BYROW(IsInList(CHOOSECOLS(data, column_indexes), filter_values), LAMBDA(x, AND(x))))));
]]></Text>
</file>

<file path=customXml/item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with the inputs for the current case","Type":"VBAMacroCommand","LaunchCodes":["CIS","IS"],"MacroExpression":"modCaseSetup.CreateCaseInputsSheet([[ActiveCell]])","Tags":["Prep"],"MacroWorkbookConnection":"ThisWorkbook"},{"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Type":"VBAMacroCommand","Note":"Everyone keeps their own lambda library in a workbook of their own. Set Lambda Library (SLL) remembers where it is, once; this copies its lambdas into whatever workbook is active. It opens the library read-only with its macros kept quiet and closes it again (or uses it as-is if you already have it open). By default a lambda ALREADY in the file is SKIPPED, never overwritten, and listed on the status bar, so your copy cannot replace CompBot\u0027s improved version; if Setup Case Settings (SCS) says your library wins, it replaces instead. Refuses to run with CompBot or the library itself active. No dialogs. WHY NOT KEEP YOUR LAMBDAS INSIDE COMPBOT: a GitHub update replaces CompBot.xlsm wholesale, and most people run it hidden and read-only anyway. The library location is a per-user Windows setting, so it survives every update.","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MacroExpression":"modDataTable.LinkAnswerCell()","Tags":["DataTable"]},{"Name":"Link Side Cell","Description":"Adds a SIDE column to the level\u0027s data table, pointed at the active cell, so RDT also records a second value per game for a bonus","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olve once on the example row, then apply it to every question in the level and save the answers","Type":"VBAMacroCommand","UserContextFilter":"ExcelActiveCellIsNotEmpty;ExcelSelectionIsSingleRow","Note":"Select your solve cells ON THE EXAMPLE ROW (one row, as many columns as your working needs), then run this. It copies them to the first real question row, fills down to the end of the level, saves references into the answer cells, and leaves those on the clipboard ready to paste. Modelled on MEWC Robot\u0027s command of the same name, with two deliberate differences: (1) MEWC\u0027s copies exactly two rows down, which assumes one example row and one blank row, whereas this one finds the first row whose ANSWER CELL IS EMPTY, because worked examples always carry their answer and real questions never do, so any number of example rows and a missing or doubled spacer all work the same, and it never reads the word \u0027Example\u0027 in any language; (2) the answer column is found by its \u0027Answer\u0027 header text, falling back to the sheet\u0027s own answer fill color rather than a hardcoded green, so local chapter cases with a different green still work. Auto Fill Down (Formula Robot) works out how far the level runs, so 10 questions or 20 makes no difference. Added 2026-09-2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Default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9.xml><?xml version="1.0" encoding="utf-8"?>
<Text><![CDATA[
]]></Text>
</file>

<file path=customXml/item10.xml><?xml version="1.0" encoding="utf-8"?>
<Text><![CDATA[
FilterArray_byErikOehm = LAMBDA(data,column_indexes,filter_values,LET(\\LambdaName, "FilterArray", FILTER(data, BYROW(IsInList_byErikOehm(CHOOSECOLS(data, column_indexes), filter_values), LAMBDA(x, AND(x))))));
]]></Text>
</file>

<file path=customXml/item11.xml><?xml version="1.0" encoding="utf-8"?>
<Text><![CDATA[
]]></Text>
</file>

<file path=customXml/item12.xml><?xml version="1.0" encoding="utf-8"?>
<Text><![CDATA[
]]></Text>
</file>

<file path=customXml/item13.xml><?xml version="1.0" encoding="utf-8"?>
<Text><![CDATA[
]]></Text>
</file>

<file path=customXml/item14.xml>�� 
</file>

<file path=customXml/item15.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16.xml><?xml version="1.0" encoding="utf-8"?>
<Text><![CDATA[
]]></Text>
</file>

<file path=customXml/item17.xml><?xml version="1.0" encoding="utf-8"?>
<Text><![CDATA[
IFBLANK = LAMBDA(value,value_if_blank, IF(ISBLANK(value), value_if_blank, value));
]]></Text>
</file>

<file path=customXml/item18.xml><?xml version="1.0" encoding="utf-8"?>
<Text><![CDATA[
ADDRESSES_byDiarmuidEarly = LAMBDA(rng, ADDRESS(ROW(rng), COLUMN(rng), 4));
]]></Text>
</file>

<file path=customXml/item19.xml><?xml version="1.0" encoding="utf-8"?>
<Text><![CDATA[
]]></Text>
</file>

<file path=customXml/item20.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21.xml><?xml version="1.0" encoding="utf-8"?>
<Text><![CDATA[
]]></Text>
</file>

<file path=customXml/item22.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3.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4.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25.xml><?xml version="1.0" encoding="utf-8"?>
<Text><![CDATA[
IsInList =     LAMBDA(array,list,LET(
   \\LambdaName, "IsInList",
MAP(array,LAMBDA(x,OR(list=x))))
);
]]></Text>
</file>

<file path=customXml/item26.xml><?xml version="1.0" encoding="utf-8"?>
<Text><![CDATA[
]]></Text>
</file>

<file path=customXml/item27.xml><?xml version="1.0" encoding="utf-8"?>
<Text><![CDATA[
]]></Text>
</file>

<file path=customXml/item28.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2026-10-05T11:45:46.2696769+00:00</LastUpdated>
    <CustomXmlPartGuid>{FB0BEA8E-18E6-40F6-AC13-CB8ECE9ECCD4}</CustomXmlPartGuid>
  </CustomXmlPartIndex>
  <CustomXmlPartIndex>
    <CollectionName>HotkeyCommands</CollectionName>
    <ItemName>ARROWSHIFT.lambda</ItemName>
    <ItemDescription/>
    <ItemType>Text</ItemType>
    <ItemSubtype/>
    <LastUpdated>2026-10-05T11:45:46.2696769+00:00</LastUpdated>
    <CustomXmlPartGuid>{CDB4F832-2AE9-4A91-90ED-554D7ECD8F81}</CustomXmlPartGuid>
  </CustomXmlPartIndex>
  <CustomXmlPartIndex>
    <CollectionName>HotkeyCommands</CollectionName>
    <ItemName>ARROWSHIFT_byEmilieWilliams.lambda</ItemName>
    <ItemDescription/>
    <ItemType>Text</ItemType>
    <ItemSubtype/>
    <LastUpdated>2026-10-05T11:45:46.2706778+00:00</LastUpdated>
    <CustomXmlPartGuid>{6BACD050-7672-484D-8982-552E59459CF0}</CustomXmlPartGuid>
  </CustomXmlPartIndex>
  <CustomXmlPartIndex>
    <CollectionName>HotkeyCommands</CollectionName>
    <ItemName>BiCol_byHadynWiseman.lambda</ItemName>
    <ItemDescription/>
    <ItemType>Text</ItemType>
    <ItemSubtype/>
    <LastUpdated>2026-10-05T11:45:46.2716788+00:00</LastUpdated>
    <CustomXmlPartGuid>{5BB92209-B470-4AC5-A061-7B192E57A262}</CustomXmlPartGuid>
  </CustomXmlPartIndex>
  <CustomXmlPartIndex>
    <CollectionName>HotkeyCommands</CollectionName>
    <ItemName>BiRow_byHadynWiseman.lambda</ItemName>
    <ItemDescription/>
    <ItemType>Text</ItemType>
    <ItemSubtype/>
    <LastUpdated>2026-10-05T11:45:46.2726796+00:00</LastUpdated>
    <CustomXmlPartGuid>{9F4FD773-95D5-4F0A-BC3D-ECE15081D2CD}</CustomXmlPartGuid>
  </CustomXmlPartIndex>
  <CustomXmlPartIndex>
    <CollectionName>HotkeyCommands</CollectionName>
    <ItemName>BoardGameMove_byHadynWiseman.lambda</ItemName>
    <ItemDescription/>
    <ItemType>Text</ItemType>
    <ItemSubtype/>
    <LastUpdated>2026-10-05T11:45:46.2736807+00:00</LastUpdated>
    <CustomXmlPartGuid>{3EA5AB58-64A5-49AA-9326-9F0F553EBBE4}</CustomXmlPartGuid>
  </CustomXmlPartIndex>
  <CustomXmlPartIndex>
    <CollectionName>HotkeyCommands</CollectionName>
    <ItemName>ClosestOnMap_byHadynWiseman.lambda</ItemName>
    <ItemDescription/>
    <ItemType>Text</ItemType>
    <ItemSubtype/>
    <LastUpdated>2026-10-05T11:45:46.2746817+00:00</LastUpdated>
    <CustomXmlPartGuid>{CFA71B8C-CA66-4EEF-A365-0B3FF3C9EAA2}</CustomXmlPartGuid>
  </CustomXmlPartIndex>
  <CustomXmlPartIndex>
    <CollectionName>HotkeyCommands</CollectionName>
    <ItemName>ColNum_byHadynWiseman.lambda</ItemName>
    <ItemDescription/>
    <ItemType>Text</ItemType>
    <ItemSubtype/>
    <LastUpdated>2026-10-05T11:45:46.2761871+00:00</LastUpdated>
    <CustomXmlPartGuid>{EFDE8F4E-415F-40BF-A9A3-4DE37BE7111D}</CustomXmlPartGuid>
  </CustomXmlPartIndex>
  <CustomXmlPartIndex>
    <CollectionName>HotkeyCommands</CollectionName>
    <ItemName>Combinations_byHadynWiseman.lambda</ItemName>
    <ItemDescription/>
    <ItemType>Text</ItemType>
    <ItemSubtype/>
    <LastUpdated>2026-10-05T11:45:46.2771900+00:00</LastUpdated>
    <CustomXmlPartGuid>{A6FBCE6F-6F29-43DE-875A-623A48A231EC}</CustomXmlPartGuid>
  </CustomXmlPartIndex>
  <CustomXmlPartIndex>
    <CollectionName>HotkeyCommands</CollectionName>
    <ItemName>Dice_byHadynWiseman.lambda</ItemName>
    <ItemDescription/>
    <ItemType>Text</ItemType>
    <ItemSubtype/>
    <LastUpdated>2026-10-05T11:45:46.2781910+00:00</LastUpdated>
    <CustomXmlPartGuid>{B6DB93D0-AC9D-4513-ACA9-C7C0DA177CE1}</CustomXmlPartGuid>
  </CustomXmlPartIndex>
  <CustomXmlPartIndex>
    <CollectionName>HotkeyCommands</CollectionName>
    <ItemName>DiffByRow_byJaqKennedy.lambda</ItemName>
    <ItemDescription/>
    <ItemType>Text</ItemType>
    <ItemSubtype/>
    <LastUpdated>2026-10-05T11:45:46.2801928+00:00</LastUpdated>
    <CustomXmlPartGuid>{86909C27-A8E4-4307-888A-9950AFAB3C81}</CustomXmlPartGuid>
  </CustomXmlPartIndex>
  <CustomXmlPartIndex>
    <CollectionName>HotkeyCommands</CollectionName>
    <ItemName>Distance_byHadynWiseman.lambda</ItemName>
    <ItemDescription/>
    <ItemType>Text</ItemType>
    <ItemSubtype/>
    <LastUpdated>2026-10-05T11:45:46.2811937+00:00</LastUpdated>
    <CustomXmlPartGuid>{118BA2FC-A9DF-4C3B-9BE2-4CB396CD8F3C}</CustomXmlPartGuid>
  </CustomXmlPartIndex>
  <CustomXmlPartIndex>
    <CollectionName>HotkeyCommands</CollectionName>
    <ItemName>Exists_byHadynWiseman.lambda</ItemName>
    <ItemDescription/>
    <ItemType>Text</ItemType>
    <ItemSubtype/>
    <LastUpdated>2026-10-05T11:45:46.2831955+00:00</LastUpdated>
    <CustomXmlPartGuid>{30DD93B5-4EFA-4072-8D10-AB479CE87CF1}</CustomXmlPartGuid>
  </CustomXmlPartIndex>
  <CustomXmlPartIndex>
    <CollectionName>HotkeyCommands</CollectionName>
    <ItemName>Extract_byJaqKennedy.lambda</ItemName>
    <ItemDescription/>
    <ItemType>Text</ItemType>
    <ItemSubtype/>
    <LastUpdated>2026-10-05T11:45:46.2841964+00:00</LastUpdated>
    <CustomXmlPartGuid>{A2BFFC6F-216D-4EBE-B7A8-09B6277A0A20}</CustomXmlPartGuid>
  </CustomXmlPartIndex>
  <CustomXmlPartIndex>
    <CollectionName>HotkeyCommands</CollectionName>
    <ItemName>FilterArray_byErikOehm.lambda</ItemName>
    <ItemDescription/>
    <ItemType>Text</ItemType>
    <ItemSubtype/>
    <LastUpdated>2026-10-05T11:45:46.2861980+00:00</LastUpdated>
    <CustomXmlPartGuid>{147BA885-8D19-4489-AD4B-65825E28ADB6}</CustomXmlPartGuid>
  </CustomXmlPartIndex>
  <CustomXmlPartIndex>
    <CollectionName>HotkeyCommands</CollectionName>
    <ItemName>FindInMap_byHadynWiseman.lambda</ItemName>
    <ItemDescription/>
    <ItemType>Text</ItemType>
    <ItemSubtype/>
    <LastUpdated>2026-10-05T11:45:46.2882000+00:00</LastUpdated>
    <CustomXmlPartGuid>{DBA15144-D610-4C5D-92FD-2A1B9E604929}</CustomXmlPartGuid>
  </CustomXmlPartIndex>
  <CustomXmlPartIndex>
    <CollectionName>HotkeyCommands</CollectionName>
    <ItemName>Flip_byHadynWiseman.lambda</ItemName>
    <ItemDescription/>
    <ItemType>Text</ItemType>
    <ItemSubtype/>
    <LastUpdated>2026-10-05T11:45:46.2897053+00:00</LastUpdated>
    <CustomXmlPartGuid>{FFE87061-0059-4705-9F43-CF83560274C7}</CustomXmlPartGuid>
  </CustomXmlPartIndex>
  <CustomXmlPartIndex>
    <CollectionName>HotkeyCommands</CollectionName>
    <ItemName>GetAddress.lambda</ItemName>
    <ItemDescription/>
    <ItemType>Text</ItemType>
    <ItemSubtype/>
    <LastUpdated>2026-10-05T11:45:46.2917126+00:00</LastUpdated>
    <CustomXmlPartGuid>{1341489F-6AD4-4122-A980-B266552B492A}</CustomXmlPartGuid>
  </CustomXmlPartIndex>
  <CustomXmlPartIndex>
    <CollectionName>HotkeyCommands</CollectionName>
    <ItemName>GetAddressesByLookup.lambda</ItemName>
    <ItemDescription/>
    <ItemType>Text</ItemType>
    <ItemSubtype/>
    <LastUpdated>2026-10-05T11:45:46.2937144+00:00</LastUpdated>
    <CustomXmlPartGuid>{7BA99D24-3775-4CC0-85AB-584B759623A2}</CustomXmlPartGuid>
  </CustomXmlPartIndex>
  <CustomXmlPartIndex>
    <CollectionName>HotkeyCommands</CollectionName>
    <ItemName>GRIDTOCOL_byLiannaGerrish.lambda</ItemName>
    <ItemDescription/>
    <ItemType>Text</ItemType>
    <ItemSubtype/>
    <LastUpdated>2026-10-05T11:45:46.2947154+00:00</LastUpdated>
    <CustomXmlPartGuid>{ACC278C1-BC1D-40EA-8894-75FB66DB502B}</CustomXmlPartGuid>
  </CustomXmlPartIndex>
  <CustomXmlPartIndex>
    <CollectionName>HotkeyCommands</CollectionName>
    <ItemName>IFBLANK.lambda</ItemName>
    <ItemDescription/>
    <ItemType>Text</ItemType>
    <ItemSubtype/>
    <LastUpdated>2026-10-05T11:45:46.2977698+00:00</LastUpdated>
    <CustomXmlPartGuid>{6DAE6748-7618-41C9-8BDA-8FA5F48AC125}</CustomXmlPartGuid>
  </CustomXmlPartIndex>
  <CustomXmlPartIndex>
    <CollectionName>HotkeyCommands</CollectionName>
    <ItemName>IsInList_byErikOehm.lambda</ItemName>
    <ItemDescription/>
    <ItemType>Text</ItemType>
    <ItemSubtype/>
    <LastUpdated>2026-10-05T11:45:46.2997715+00:00</LastUpdated>
    <CustomXmlPartGuid>{9C794405-3D7D-452A-9527-B99FBEA4364F}</CustomXmlPartGuid>
  </CustomXmlPartIndex>
  <CustomXmlPartIndex>
    <CollectionName>HotkeyCommands</CollectionName>
    <ItemName>LkpRC.lambda</ItemName>
    <ItemDescription/>
    <ItemType>Text</ItemType>
    <ItemSubtype/>
    <LastUpdated>2026-10-05T11:45:46.3017733+00:00</LastUpdated>
    <CustomXmlPartGuid>{09B748F1-9B15-4964-AE6E-1FCEBDC7E361}</CustomXmlPartGuid>
  </CustomXmlPartIndex>
  <CustomXmlPartIndex>
    <CollectionName>HotkeyCommands</CollectionName>
    <ItemName>LkpRCByRow.lambda</ItemName>
    <ItemDescription/>
    <ItemType>Text</ItemType>
    <ItemSubtype/>
    <LastUpdated>2026-10-05T11:45:46.3032812+00:00</LastUpdated>
    <CustomXmlPartGuid>{561A7D4E-2D03-4F47-B71E-353D3ABB729E}</CustomXmlPartGuid>
  </CustomXmlPartIndex>
  <CustomXmlPartIndex>
    <CollectionName>HotkeyCommands</CollectionName>
    <ItemName>MazeDistance_byHadynWiseman.lambda</ItemName>
    <ItemDescription/>
    <ItemType>Text</ItemType>
    <ItemSubtype/>
    <LastUpdated>2026-10-05T11:45:46.3052828+00:00</LastUpdated>
    <CustomXmlPartGuid>{4FF30C85-ED5A-40C2-804F-0B4B60C0A38D}</CustomXmlPartGuid>
  </CustomXmlPartIndex>
  <CustomXmlPartIndex>
    <CollectionName>HotkeyCommands</CollectionName>
    <ItemName>MM_byHaDang.lambda</ItemName>
    <ItemDescription/>
    <ItemType>Text</ItemType>
    <ItemSubtype/>
    <LastUpdated>2026-10-05T11:45:46.3082854+00:00</LastUpdated>
    <CustomXmlPartGuid>{C8D6F2E2-2736-4C2D-AB7B-44CB3FB84FCF}</CustomXmlPartGuid>
  </CustomXmlPartIndex>
  <CustomXmlPartIndex>
    <CollectionName>HotkeyCommands</CollectionName>
    <ItemName>PerCom_byBoRydobon.lambda</ItemName>
    <ItemDescription/>
    <ItemType>Text</ItemType>
    <ItemSubtype/>
    <LastUpdated>2026-10-05T11:45:46.3102873+00:00</LastUpdated>
    <CustomXmlPartGuid>{16AFEFFF-E072-45F9-8785-0386FFD7572F}</CustomXmlPartGuid>
  </CustomXmlPartIndex>
  <CustomXmlPartIndex>
    <CollectionName>HotkeyCommands</CollectionName>
    <ItemName>Regions_byHadynWiseman.lambda</ItemName>
    <ItemDescription/>
    <ItemType>Text</ItemType>
    <ItemSubtype/>
    <LastUpdated>2026-10-05T11:45:46.3132897+00:00</LastUpdated>
    <CustomXmlPartGuid>{32CF1DD0-9149-4AA6-A0D2-99DEB8B12905}</CustomXmlPartGuid>
  </CustomXmlPartIndex>
  <CustomXmlPartIndex>
    <CollectionName>HotkeyCommands</CollectionName>
    <ItemName>RightAlignedArray_byJaqKennedy.lambda</ItemName>
    <ItemDescription/>
    <ItemType>Text</ItemType>
    <ItemSubtype/>
    <LastUpdated>2026-10-05T11:45:46.3152910+00:00</LastUpdated>
    <CustomXmlPartGuid>{FFEF12C0-311D-472C-B47B-D08C09D58FA4}</CustomXmlPartGuid>
  </CustomXmlPartIndex>
  <CustomXmlPartIndex>
    <CollectionName>HotkeyCommands</CollectionName>
    <ItemName>Rotate_byHadynWiseman.lambda</ItemName>
    <ItemDescription/>
    <ItemType>Text</ItemType>
    <ItemSubtype/>
    <LastUpdated>2026-10-05T11:45:46.3172941+00:00</LastUpdated>
    <CustomXmlPartGuid>{3A46DAC9-55DC-4FB3-8C1A-A97297C988D4}</CustomXmlPartGuid>
  </CustomXmlPartIndex>
  <CustomXmlPartIndex>
    <CollectionName>HotkeyCommands</CollectionName>
    <ItemName>RowNum_byHadynWiseman.lambda</ItemName>
    <ItemDescription/>
    <ItemType>Text</ItemType>
    <ItemSubtype/>
    <LastUpdated>2026-10-05T11:45:46.3202969+00:00</LastUpdated>
    <CustomXmlPartGuid>{7BC15E4D-4689-47F0-8A11-2EACA9673085}</CustomXmlPartGuid>
  </CustomXmlPartIndex>
  <CustomXmlPartIndex>
    <CollectionName>HotkeyCommands</CollectionName>
    <ItemName>RunningTotal_byJaqKennedy.lambda</ItemName>
    <ItemDescription/>
    <ItemType>Text</ItemType>
    <ItemSubtype/>
    <LastUpdated>2026-10-05T11:45:46.3222985+00:00</LastUpdated>
    <CustomXmlPartGuid>{64B7815F-FBDB-4EDA-A940-631EA80597F8}</CustomXmlPartGuid>
  </CustomXmlPartIndex>
  <CustomXmlPartIndex>
    <CollectionName>HotkeyCommands</CollectionName>
    <ItemName>SplitText_byHadynWiseman.lambda</ItemName>
    <ItemDescription/>
    <ItemType>Text</ItemType>
    <ItemSubtype/>
    <LastUpdated>2026-10-05T11:45:46.3253013+00:00</LastUpdated>
    <CustomXmlPartGuid>{2CB9447E-5632-4940-AAED-E4466A2995BE}</CustomXmlPartGuid>
  </CustomXmlPartIndex>
  <CustomXmlPartIndex>
    <CollectionName>HotkeyCommands</CollectionName>
    <ItemName>HotkeyCommands</ItemName>
    <ItemDescription/>
    <ItemType>JSON</ItemType>
    <LastUpdated>2026-10-05T13:26:12.4696010+00:00</LastUpdated>
    <CustomXmlPartGuid>{7A2966FB-428C-4C62-AFBA-AF120721094C}</CustomXmlPartGuid>
  </CustomXmlPartIndex>
</writeIndexDataTable>
</file>

<file path=customXml/item29.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0.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1.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2.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3.xml><?xml version="1.0" encoding="utf-8"?>
<Text><![CDATA[
]]></Text>
</file>

<file path=customXml/item34.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35.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36.xml><?xml version="1.0" encoding="utf-8"?>
<Text><![CDATA[
]]></Text>
</file>

<file path=customXml/item37.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38.xml><?xml version="1.0" encoding="utf-8"?>
<Text><![CDATA[
IsInList_byErikOehm = LAMBDA(array,list,LET(\\LambdaName, "IsInList", MAP(array, LAMBDA(x, OR(list = x)))));
]]></Text>
</file>

<file path=customXml/item39.xml><?xml version="1.0" encoding="utf-8"?>
<Text><![CDATA[
]]></Text>
</file>

<file path=customXml/item40.xml><?xml version="1.0" encoding="utf-8"?>
<Text><![CDATA[
]]></Text>
</file>

<file path=customXml/item41.xml><?xml version="1.0" encoding="utf-8"?>
<Text><![CDATA[
]]></Text>
</file>

<file path=customXml/item42.xml><?xml version="1.0" encoding="utf-8"?>
<Text><![CDATA[
]]></Text>
</file>

<file path=customXml/item4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4.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5.xml><?xml version="1.0" encoding="utf-8"?>
<Text><![CDATA[
]]></Text>
</file>

<file path=customXml/item46.xml><?xml version="1.0" encoding="utf-8"?>
<Text><![CDATA[
]]></Text>
</file>

<file path=customXml/item47.xml><?xml version="1.0" encoding="utf-8"?>
<Text><![CDATA[
]]></Text>
</file>

<file path=customXml/item48.xml><?xml version="1.0" encoding="utf-8"?>
<Text><![CDATA[
/*Returns the cell address of a range*/
ADDRESSES_byDiarmuidEarly = LAMBDA(rng, ADDRESS(ROW(rng), COLUMN(rng), 4));
]]></Text>
</file>

<file path=customXml/item49.xml><?xml version="1.0" encoding="utf-8"?>
<Text><![CDATA[
]]></Text>
</file>

<file path=customXml/itemProps1.xml><?xml version="1.0" encoding="utf-8"?>
<ds:datastoreItem xmlns:ds="http://schemas.openxmlformats.org/officeDocument/2006/customXml" ds:itemID="{5BB92209-B470-4AC5-A061-7B192E57A262}">
  <ds:schemaRefs/>
</ds:datastoreItem>
</file>

<file path=customXml/itemProps2.xml><?xml version="1.0" encoding="utf-8"?>
<ds:datastoreItem xmlns:ds="http://schemas.openxmlformats.org/officeDocument/2006/customXml" ds:itemID="{A6FBCE6F-6F29-43DE-875A-623A48A231EC}">
  <ds:schemaRefs/>
</ds:datastoreItem>
</file>

<file path=customXml/itemProps3.xml><?xml version="1.0" encoding="utf-8"?>
<ds:datastoreItem xmlns:ds="http://schemas.openxmlformats.org/officeDocument/2006/customXml" ds:itemID="{7BA99D24-3775-4CC0-85AB-584B759623A2}">
  <ds:schemaRefs/>
</ds:datastoreItem>
</file>

<file path=customXml/itemProps4.xml><?xml version="1.0" encoding="utf-8"?>
<ds:datastoreItem xmlns:ds="http://schemas.openxmlformats.org/officeDocument/2006/customXml" ds:itemID="{148CA7B6-1095-4B59-A609-F0DD3983C05B}">
  <ds:schemaRefs/>
</ds:datastoreItem>
</file>

<file path=customXml/itemProps5.xml><?xml version="1.0" encoding="utf-8"?>
<ds:datastoreItem xmlns:ds="http://schemas.openxmlformats.org/officeDocument/2006/customXml" ds:itemID="{B3FD0068-9C97-44E4-93C5-75B53553265A}">
  <ds:schemaRefs/>
</ds:datastoreItem>
</file>

<file path=customXml/itemProps6.xml><?xml version="1.0" encoding="utf-8"?>
<ds:datastoreItem xmlns:ds="http://schemas.openxmlformats.org/officeDocument/2006/customXml" ds:itemID="{CFA71B8C-CA66-4EEF-A365-0B3FF3C9EAA2}">
  <ds:schemaRefs/>
</ds:datastoreItem>
</file>

<file path=customXml/itemProps7.xml><?xml version="1.0" encoding="utf-8"?>
<ds:datastoreItem xmlns:ds="http://schemas.openxmlformats.org/officeDocument/2006/customXml" ds:itemID="{A83826B5-B686-40BC-844F-041648993120}">
  <ds:schemaRefs/>
</ds:datastoreItem>
</file>

<file path=customXml/itemProps8.xml><?xml version="1.0" encoding="utf-8"?>
<ds:datastoreItem xmlns:ds="http://schemas.openxmlformats.org/officeDocument/2006/customXml" ds:itemID="{7A2966FB-428C-4C62-AFBA-AF120721094C}">
  <ds:schemaRefs/>
</ds:datastoreItem>
</file>

<file path=customXml/itemProps9.xml><?xml version="1.0" encoding="utf-8"?>
<ds:datastoreItem xmlns:ds="http://schemas.openxmlformats.org/officeDocument/2006/customXml" ds:itemID="{32CF1DD0-9149-4AA6-A0D2-99DEB8B12905}">
  <ds:schemaRefs/>
</ds:datastoreItem>
</file>

<file path=customXml/itemProps10.xml><?xml version="1.0" encoding="utf-8"?>
<ds:datastoreItem xmlns:ds="http://schemas.openxmlformats.org/officeDocument/2006/customXml" ds:itemID="{147BA885-8D19-4489-AD4B-65825E28ADB6}">
  <ds:schemaRefs/>
</ds:datastoreItem>
</file>

<file path=customXml/itemProps11.xml><?xml version="1.0" encoding="utf-8"?>
<ds:datastoreItem xmlns:ds="http://schemas.openxmlformats.org/officeDocument/2006/customXml" ds:itemID="{DBA15144-D610-4C5D-92FD-2A1B9E604929}">
  <ds:schemaRefs/>
</ds:datastoreItem>
</file>

<file path=customXml/itemProps12.xml><?xml version="1.0" encoding="utf-8"?>
<ds:datastoreItem xmlns:ds="http://schemas.openxmlformats.org/officeDocument/2006/customXml" ds:itemID="{3EA5AB58-64A5-49AA-9326-9F0F553EBBE4}">
  <ds:schemaRefs/>
</ds:datastoreItem>
</file>

<file path=customXml/itemProps13.xml><?xml version="1.0" encoding="utf-8"?>
<ds:datastoreItem xmlns:ds="http://schemas.openxmlformats.org/officeDocument/2006/customXml" ds:itemID="{16AFEFFF-E072-45F9-8785-0386FFD7572F}">
  <ds:schemaRefs/>
</ds:datastoreItem>
</file>

<file path=customXml/itemProps14.xml><?xml version="1.0" encoding="utf-8"?>
<ds:datastoreItem xmlns:ds="http://schemas.openxmlformats.org/officeDocument/2006/customXml" ds:itemID="{05553D37-558F-48A1-9DC4-4CE07CDFF43D}">
  <ds:schemaRefs>
    <ds:schemaRef ds:uri="http://schemas.microsoft.com/DataMashup"/>
  </ds:schemaRefs>
</ds:datastoreItem>
</file>

<file path=customXml/itemProps15.xml><?xml version="1.0" encoding="utf-8"?>
<ds:datastoreItem xmlns:ds="http://schemas.openxmlformats.org/officeDocument/2006/customXml" ds:itemID="{C8D6F2E2-2736-4C2D-AB7B-44CB3FB84FCF}">
  <ds:schemaRefs/>
</ds:datastoreItem>
</file>

<file path=customXml/itemProps16.xml><?xml version="1.0" encoding="utf-8"?>
<ds:datastoreItem xmlns:ds="http://schemas.openxmlformats.org/officeDocument/2006/customXml" ds:itemID="{1A9F9B0F-1F08-4F37-9A0C-B6CBC0761010}">
  <ds:schemaRefs/>
</ds:datastoreItem>
</file>

<file path=customXml/itemProps17.xml><?xml version="1.0" encoding="utf-8"?>
<ds:datastoreItem xmlns:ds="http://schemas.openxmlformats.org/officeDocument/2006/customXml" ds:itemID="{6DAE6748-7618-41C9-8BDA-8FA5F48AC125}">
  <ds:schemaRefs/>
</ds:datastoreItem>
</file>

<file path=customXml/itemProps18.xml><?xml version="1.0" encoding="utf-8"?>
<ds:datastoreItem xmlns:ds="http://schemas.openxmlformats.org/officeDocument/2006/customXml" ds:itemID="{9C3962FE-B426-46FD-8FB0-7535580B8A92}">
  <ds:schemaRefs/>
</ds:datastoreItem>
</file>

<file path=customXml/itemProps19.xml><?xml version="1.0" encoding="utf-8"?>
<ds:datastoreItem xmlns:ds="http://schemas.openxmlformats.org/officeDocument/2006/customXml" ds:itemID="{2CB9447E-5632-4940-AAED-E4466A2995BE}">
  <ds:schemaRefs/>
</ds:datastoreItem>
</file>

<file path=customXml/itemProps20.xml><?xml version="1.0" encoding="utf-8"?>
<ds:datastoreItem xmlns:ds="http://schemas.openxmlformats.org/officeDocument/2006/customXml" ds:itemID="{77900331-8BCF-4A61-83B4-0F22D244E56E}">
  <ds:schemaRefs/>
</ds:datastoreItem>
</file>

<file path=customXml/itemProps21.xml><?xml version="1.0" encoding="utf-8"?>
<ds:datastoreItem xmlns:ds="http://schemas.openxmlformats.org/officeDocument/2006/customXml" ds:itemID="{1341489F-6AD4-4122-A980-B266552B492A}">
  <ds:schemaRefs/>
</ds:datastoreItem>
</file>

<file path=customXml/itemProps22.xml><?xml version="1.0" encoding="utf-8"?>
<ds:datastoreItem xmlns:ds="http://schemas.openxmlformats.org/officeDocument/2006/customXml" ds:itemID="{86909C27-A8E4-4307-888A-9950AFAB3C81}">
  <ds:schemaRefs/>
</ds:datastoreItem>
</file>

<file path=customXml/itemProps23.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24.xml><?xml version="1.0" encoding="utf-8"?>
<ds:datastoreItem xmlns:ds="http://schemas.openxmlformats.org/officeDocument/2006/customXml" ds:itemID="{CDB4F832-2AE9-4A91-90ED-554D7ECD8F81}">
  <ds:schemaRefs/>
</ds:datastoreItem>
</file>

<file path=customXml/itemProps25.xml><?xml version="1.0" encoding="utf-8"?>
<ds:datastoreItem xmlns:ds="http://schemas.openxmlformats.org/officeDocument/2006/customXml" ds:itemID="{2EC15307-E297-4155-8C64-BD7C819FC834}">
  <ds:schemaRefs/>
</ds:datastoreItem>
</file>

<file path=customXml/itemProps26.xml><?xml version="1.0" encoding="utf-8"?>
<ds:datastoreItem xmlns:ds="http://schemas.openxmlformats.org/officeDocument/2006/customXml" ds:itemID="{EFDE8F4E-415F-40BF-A9A3-4DE37BE7111D}">
  <ds:schemaRefs/>
</ds:datastoreItem>
</file>

<file path=customXml/itemProps27.xml><?xml version="1.0" encoding="utf-8"?>
<ds:datastoreItem xmlns:ds="http://schemas.openxmlformats.org/officeDocument/2006/customXml" ds:itemID="{30DD93B5-4EFA-4072-8D10-AB479CE87CF1}">
  <ds:schemaRefs/>
</ds:datastoreItem>
</file>

<file path=customXml/itemProps28.xml><?xml version="1.0" encoding="utf-8"?>
<ds:datastoreItem xmlns:ds="http://schemas.openxmlformats.org/officeDocument/2006/customXml" ds:itemID="{FC5AAA54-5636-4140-9530-48C4B8271707}">
  <ds:schemaRefs>
    <ds:schemaRef ds:uri=""/>
    <ds:schemaRef ds:uri="http://www.w3.org/2001/XMLSchema"/>
    <ds:schemaRef ds:uri="urn:schemas-microsoft-com:xml-msdata"/>
  </ds:schemaRefs>
</ds:datastoreItem>
</file>

<file path=customXml/itemProps29.xml><?xml version="1.0" encoding="utf-8"?>
<ds:datastoreItem xmlns:ds="http://schemas.openxmlformats.org/officeDocument/2006/customXml" ds:itemID="{60136850-0A80-46DA-A7BC-83E4B88FD331}">
  <ds:schemaRefs/>
</ds:datastoreItem>
</file>

<file path=customXml/itemProps30.xml><?xml version="1.0" encoding="utf-8"?>
<ds:datastoreItem xmlns:ds="http://schemas.openxmlformats.org/officeDocument/2006/customXml" ds:itemID="{561A7D4E-2D03-4F47-B71E-353D3ABB729E}">
  <ds:schemaRefs/>
</ds:datastoreItem>
</file>

<file path=customXml/itemProps31.xml><?xml version="1.0" encoding="utf-8"?>
<ds:datastoreItem xmlns:ds="http://schemas.openxmlformats.org/officeDocument/2006/customXml" ds:itemID="{ACC278C1-BC1D-40EA-8894-75FB66DB502B}">
  <ds:schemaRefs/>
</ds:datastoreItem>
</file>

<file path=customXml/itemProps32.xml><?xml version="1.0" encoding="utf-8"?>
<ds:datastoreItem xmlns:ds="http://schemas.openxmlformats.org/officeDocument/2006/customXml" ds:itemID="{4E9FD6E5-37CB-441F-9645-F6D489E32598}">
  <ds:schemaRefs/>
</ds:datastoreItem>
</file>

<file path=customXml/itemProps33.xml><?xml version="1.0" encoding="utf-8"?>
<ds:datastoreItem xmlns:ds="http://schemas.openxmlformats.org/officeDocument/2006/customXml" ds:itemID="{9F4FD773-95D5-4F0A-BC3D-ECE15081D2CD}">
  <ds:schemaRefs/>
</ds:datastoreItem>
</file>

<file path=customXml/itemProps34.xml><?xml version="1.0" encoding="utf-8"?>
<ds:datastoreItem xmlns:ds="http://schemas.openxmlformats.org/officeDocument/2006/customXml" ds:itemID="{D2670061-FB7D-41F0-AB90-118C32DC6B5A}">
  <ds:schemaRefs/>
</ds:datastoreItem>
</file>

<file path=customXml/itemProps35.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36.xml><?xml version="1.0" encoding="utf-8"?>
<ds:datastoreItem xmlns:ds="http://schemas.openxmlformats.org/officeDocument/2006/customXml" ds:itemID="{B6DB93D0-AC9D-4513-ACA9-C7C0DA177CE1}">
  <ds:schemaRefs/>
</ds:datastoreItem>
</file>

<file path=customXml/itemProps37.xml><?xml version="1.0" encoding="utf-8"?>
<ds:datastoreItem xmlns:ds="http://schemas.openxmlformats.org/officeDocument/2006/customXml" ds:itemID="{CC8676E6-6DD4-4D3A-B5C3-FEDBE93B926B}">
  <ds:schemaRefs/>
</ds:datastoreItem>
</file>

<file path=customXml/itemProps38.xml><?xml version="1.0" encoding="utf-8"?>
<ds:datastoreItem xmlns:ds="http://schemas.openxmlformats.org/officeDocument/2006/customXml" ds:itemID="{9C794405-3D7D-452A-9527-B99FBEA4364F}">
  <ds:schemaRefs/>
</ds:datastoreItem>
</file>

<file path=customXml/itemProps39.xml><?xml version="1.0" encoding="utf-8"?>
<ds:datastoreItem xmlns:ds="http://schemas.openxmlformats.org/officeDocument/2006/customXml" ds:itemID="{6BACD050-7672-484D-8982-552E59459CF0}">
  <ds:schemaRefs/>
</ds:datastoreItem>
</file>

<file path=customXml/itemProps40.xml><?xml version="1.0" encoding="utf-8"?>
<ds:datastoreItem xmlns:ds="http://schemas.openxmlformats.org/officeDocument/2006/customXml" ds:itemID="{A2BFFC6F-216D-4EBE-B7A8-09B6277A0A20}">
  <ds:schemaRefs/>
</ds:datastoreItem>
</file>

<file path=customXml/itemProps41.xml><?xml version="1.0" encoding="utf-8"?>
<ds:datastoreItem xmlns:ds="http://schemas.openxmlformats.org/officeDocument/2006/customXml" ds:itemID="{3A46DAC9-55DC-4FB3-8C1A-A97297C988D4}">
  <ds:schemaRefs/>
</ds:datastoreItem>
</file>

<file path=customXml/itemProps42.xml><?xml version="1.0" encoding="utf-8"?>
<ds:datastoreItem xmlns:ds="http://schemas.openxmlformats.org/officeDocument/2006/customXml" ds:itemID="{4FF30C85-ED5A-40C2-804F-0B4B60C0A38D}">
  <ds:schemaRefs/>
</ds:datastoreItem>
</file>

<file path=customXml/itemProps43.xml><?xml version="1.0" encoding="utf-8"?>
<ds:datastoreItem xmlns:ds="http://schemas.openxmlformats.org/officeDocument/2006/customXml" ds:itemID="{09B748F1-9B15-4964-AE6E-1FCEBDC7E361}">
  <ds:schemaRefs/>
</ds:datastoreItem>
</file>

<file path=customXml/itemProps44.xml><?xml version="1.0" encoding="utf-8"?>
<ds:datastoreItem xmlns:ds="http://schemas.openxmlformats.org/officeDocument/2006/customXml" ds:itemID="{FFEF12C0-311D-472C-B47B-D08C09D58FA4}">
  <ds:schemaRefs/>
</ds:datastoreItem>
</file>

<file path=customXml/itemProps45.xml><?xml version="1.0" encoding="utf-8"?>
<ds:datastoreItem xmlns:ds="http://schemas.openxmlformats.org/officeDocument/2006/customXml" ds:itemID="{118BA2FC-A9DF-4C3B-9BE2-4CB396CD8F3C}">
  <ds:schemaRefs/>
</ds:datastoreItem>
</file>

<file path=customXml/itemProps46.xml><?xml version="1.0" encoding="utf-8"?>
<ds:datastoreItem xmlns:ds="http://schemas.openxmlformats.org/officeDocument/2006/customXml" ds:itemID="{FFE87061-0059-4705-9F43-CF83560274C7}">
  <ds:schemaRefs/>
</ds:datastoreItem>
</file>

<file path=customXml/itemProps47.xml><?xml version="1.0" encoding="utf-8"?>
<ds:datastoreItem xmlns:ds="http://schemas.openxmlformats.org/officeDocument/2006/customXml" ds:itemID="{64B7815F-FBDB-4EDA-A940-631EA80597F8}">
  <ds:schemaRefs/>
</ds:datastoreItem>
</file>

<file path=customXml/itemProps48.xml><?xml version="1.0" encoding="utf-8"?>
<ds:datastoreItem xmlns:ds="http://schemas.openxmlformats.org/officeDocument/2006/customXml" ds:itemID="{FB0BEA8E-18E6-40F6-AC13-CB8ECE9ECCD4}">
  <ds:schemaRefs/>
</ds:datastoreItem>
</file>

<file path=customXml/itemProps49.xml><?xml version="1.0" encoding="utf-8"?>
<ds:datastoreItem xmlns:ds="http://schemas.openxmlformats.org/officeDocument/2006/customXml" ds:itemID="{7BC15E4D-4689-47F0-8A11-2EACA967308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Info_Robot Commands</vt:lpstr>
      <vt:lpstr>Setup Settings</vt:lpstr>
      <vt:lpstr>Info_Lambdas</vt:lpstr>
      <vt:lpstr>Lambdas List</vt:lpstr>
      <vt:lpstr>Load Lambdas</vt:lpstr>
      <vt:lpstr>Default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2026-10-05T14:03:15Z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{FC5AAA54-5636-4140-9530-48C4B8271707}</vt:lpwstr>
  </property>
  <property fmtid="{D5CDD505-2E9C-101B-9397-08002B2CF9AE}" pid="4" name="OA Tools Last Modified">
    <vt:lpwstr>2026-10-05 13:26:12 UTC</vt:lpwstr>
  </property>
  <property fmtid="{D5CDD505-2E9C-101B-9397-08002B2CF9AE}" pid="5" name="OA Tools Last Modified Precise">
    <vt:lpwstr>2026-10-05T13:26:12.6729902+00:00</vt:lpwstr>
  </property>
</Properties>
</file>