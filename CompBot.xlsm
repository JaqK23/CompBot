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209" documentId="13_ncr:1_{00AFFE32-489B-4CC2-9D57-0F0C894BA206}" xr6:coauthVersionLast="47" xr6:coauthVersionMax="47" xr10:uidLastSave="{A12CD10C-1916-4C5F-93E2-FE6A5096FD7C}"/>
  <bookViews>
    <workbookView xWindow="-51720" yWindow="-5340" windowWidth="51840" windowHeight="21120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r:id="rId6"/>
  </sheets>
  <functionGroups builtInGroupCount="19"/>
  <definedNames>
    <definedName name="_distFrom">_xlfn.LAMBDA(_xlpm.mp,_xlpm.trg,_xlpm.func,_xlfn.LET(_xlpm.vals,_xlfn.TOCOL(_xlpm.mp),_xlpm.rws,_xlfn.TOCOL(_xlfn.SEQUENCE(ROWS(_xlpm.mp))+0*_xlfn.SEQUENCE(,COLUMNS(_xlpm.mp))),_xlpm.cls,_xlfn.TOCOL(_xlfn.SEQUENCE(ROWS(_xlpm.mp))*0+_xlfn.SEQUENCE(,COLUMNS(_xlpm.mp))),_xlpm.Mrws,_xlfn.TOROW(_xlfn._xlws.FILTER(_xlpm.rws,_xlpm.vals=_xlpm.trg)),_xlpm.Mcls,_xlfn.TOROW(_xlfn._xlws.FILTER(_xlpm.cls,_xlpm.vals=_xlpm.trg)),_xlpm.rdist,ABS(_xlpm.rws-_xlpm.Mrws),_xlpm.cdist,ABS(_xlpm.cls-_xlpm.Mcls),_xlpm.dist,_xlfn.BYROW(_xlfn.MAP(_xlpm.rdist,_xlpm.cdist,_xlpm.func),_xleta.MIN),_xlfn.WRAPROWS(_xlpm.dist,COLUMNS(_xlpm.mp))))</definedName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MIN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CleanData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latten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n" hidden="1" xlm="1">#NAME?</definedName>
    <definedName name="_xlop.include_grand_total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ut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Upp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GetMax" hidden="1" xlm="1">#NAME?</definedName>
    <definedName name="_xlpm._GetMin" hidden="1" xlm="1">#NAME?</definedName>
    <definedName name="_xlpm._include" hidden="1" xlm="1">#NAME?</definedName>
    <definedName name="_xlpm._Included" hidden="1" xlm="1">#NAME?</definedName>
    <definedName name="_xlpm._IsArray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MinMax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Transpose" hidden="1" xlm="1">#NAME?</definedName>
    <definedName name="_xlpm._unique" hidden="1" xlm="1">#NAME?</definedName>
    <definedName name="_xlpm._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eanData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ilter_values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ol" hidden="1" xlm="1">#NAME?</definedName>
    <definedName name="_xlpm.firstrow" hidden="1" xlm="1">#NAME?</definedName>
    <definedName name="_xlpm.Flatten" hidden="1" xlm="1">#NAME?</definedName>
    <definedName name="_xlpm.fnSingle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kpin" hidden="1" xlm="1">#NAME?</definedName>
    <definedName name="_xlpm.lkpout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atchMode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Data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hird" hidden="1" xlm="1">#NAME?</definedName>
    <definedName name="_xlpm.ToFind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List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2C">_xlfn.LAMBDA(_xlpm.add, COLUMN(INDIRECT(_xlpm.add)))</definedName>
    <definedName name="A2R">_xlfn.LAMBDA(_xlpm.add, ROW(INDIRECT(_xlpm.add)))</definedName>
    <definedName name="ADDRESSES_byDiarmuidEarly" comment="Returns the cell address of a range">_xlfn.LAMBDA(_xlpm.rng, ADDRESS(ROW(_xlpm.rng), COLUMN(_xlpm.rng), 4))</definedName>
    <definedName name="AMATCH">_xlfn.LAMBDA(_xlpm.rng,_xlpm.trg,_xlop.Actual, _xlfn.LET(_xlpm.vals, _xlfn.TOCOL(_xlpm.rng), _xlpm.strw, IF(_xlpm.Actual = 1, ROW(_xlfn.TAKE(_xlpm.rng, 1, 1)) - 1, 0), _xlpm.stcl, IF(_xlpm.Actual = 1, COLUMN(_xlfn.TAKE(_xlpm.rng, 1, 1)) - 1, 0), _xlpm.rws, _xlfn.TOCOL(_xlfn.SEQUENCE(ROWS(_xlpm.rng)) + 0 * _xlfn.SEQUENCE(, COLUMNS(_xlpm.rng))), _xlpm.cls, _xlfn.TOCOL(_xlfn.SEQUENCE(ROWS(_xlpm.rng)) * 0 + _xlfn.SEQUENCE(, COLUMNS(_xlpm.rng))), _xlpm.Mrws, _xlfn.TOROW(_xlfn._xlws.FILTER(_xlpm.rws, (_xlpm.vals = _xlpm.trg) * (_xlpm.vals &lt;&gt; ""))), _xlpm.Mcls, _xlfn.TOROW(_xlfn._xlws.FILTER(_xlpm.cls, (_xlpm.vals = _xlpm.trg) * (_xlpm.vals &lt;&gt; ""))), TRANSPOSE(_xlfn.VSTACK(_xlpm.strw + _xlpm.Mrws, _xlpm.stcl + _xlpm.Mcls))))</definedName>
    <definedName name="AMATCHADD">_xlfn.LAMBDA(_xlpm.rng,_xlpm.trg,_xlop.Actual, _xlfn.LET(_xlpm.vals, _xlfn.TOCOL(_xlpm.rng), _xlpm.strw, IF(_xlpm.Actual = 1, ROW(_xlfn.TAKE(_xlpm.rng, 1, 1)) - 1, 0), _xlpm.stcl, IF(_xlpm.Actual = 1, COLUMN(_xlfn.TAKE(_xlpm.rng, 1, 1)) - 1, 0), _xlpm.rws, _xlfn.TOCOL(_xlfn.SEQUENCE(ROWS(_xlpm.rng)) + 0 * _xlfn.SEQUENCE(, COLUMNS(_xlpm.rng))), _xlpm.cls, _xlfn.TOCOL(_xlfn.SEQUENCE(ROWS(_xlpm.rng)) * 0 + _xlfn.SEQUENCE(, COLUMNS(_xlpm.rng))), _xlpm.Mrws, _xlfn.TOROW(_xlfn._xlws.FILTER(_xlpm.rws, (_xlpm.vals = _xlpm.trg) * (_xlpm.vals &lt;&gt; ""))), _xlpm.Mcls, _xlfn.TOROW(_xlfn._xlws.FILTER(_xlpm.cls, (_xlpm.vals = _xlpm.trg) * (_xlpm.vals &lt;&gt; ""))), TRANSPOSE(ADDRESS(_xlpm.strw + _xlpm.Mrws, _xlpm.stcl + _xlpm.Mcls, 4))))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RROWSHIFT">_xlfn.LAMBDA(_xlpm.starting_cell,_xlpm.arrow, _xlfn.LET(_xlpm.Arrows, _xlfn.VSTACK("↗", "↓", "↖", "←", "→", "↙", "↘", "↑"), _xlpm.Arrowsx, _xlfn.VSTACK(1, 0, -1, -1, 1, -1, 1, 0), _xlpm.Arrowsy, _xlfn.VSTACK(-1, 1, -1, 0, 0, 1, 1, -1), _xlpm.d, RIGHT(_xlpm.arrow, 1), _xlpm.m, IF(LEN(_xlpm.arrow) = 1, 1, 1 * LEFT(_xlpm.arrow, LEN(_xlpm.arrow) - 1)), _xlpm.xmoveunit, _xlfn.XLOOKUP(_xlpm.d, _xlpm.Arrows, _xlpm.Arrowsx), _xlpm.ymoveunit, _xlfn.XLOOKUP(_xlpm.d, _xlpm.Arrows, _xlpm.Arrowsy), _xlpm.xmove, _xlpm.xmoveunit * _xlpm.m, _xlpm.ymove, _xlpm.ymoveunit * _xlpm.m, _xlpm.collet, _xlfn.TAKE(_xlfn.TEXTSPLIT(_xlpm.starting_cell, _xlfn.SEQUENCE(, 10, 0)), , 1), _xlpm.startcol, COLUMN(INDIRECT(_xlpm.collet &amp; 1)), _xlpm.startrow, 1 * RIGHT(_xlpm.starting_cell, LEN(_xlpm.starting_cell) - LEN(_xlpm.collet)), _xlpm.newcell, ADDRESS(_xlpm.startrow + _xlpm.ymove, _xlpm.startcol + _xlpm.xmove, 4), _xlpm.newcell))</definedName>
    <definedName name="ARROWTABLE">_xlfn.LAMBDA(_xlfn.LET(_xlpm.Arrows, _xlfn.VSTACK("↗", "↓", "↖", "←", "→", "↙", "↘", "↑"), _xlpm.Arrowsx, _xlfn.VSTACK(1, 0, -1, -1, 1, -1, 1, 0), _xlpm.Arrowsy, _xlfn.VSTACK(-1, 1, -1, 0, 0, 1, 1, -1), _xlpm.headers, _xlfn.HSTACK("Arrows", "Arrowsx", "Arrowsy"), _xlpm.table_arrows, _xlfn.HSTACK(_xlpm.Arrows, _xlpm.Arrowsx, _xlpm.Arrowsy), _xlfn.VSTACK(_xlpm.headers, _xlpm.table_arrows)))</definedName>
    <definedName name="BiRow_byPeterBartholomew" comment="BiRow function as defined by Peter 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BLOCK">_xlfn.LAMBDA(_xlpm.rng,_xlpm.sheetname,_xlpm.x,_xlpm.y, OFFSET(INDIRECT(YOUAREHERE(_xlpm.rng, _xlpm.sheetname)), -_xlpm.y, -_xlpm.x, 2 * _xlpm.y + 1, 2 * _xlpm.x + 1))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CR2A">_xlfn.LAMBDA(_xlpm.cnum,_xlpm.rnum, ADDRESS(_xlpm.rnum, _xlpm.cnum, 4))</definedName>
    <definedName name="DATEHEADERS">_xlfn.LAMBDA(_xlpm.start_date,_xlpm.periods,_xlpm.type, _xlfn.LET(_xlpm.month_num, _xlfn.IFS(_xlpm.type = "Y", 12, _xlpm.type = "Q", 3, _xlpm.type = "M", 1), _xlfn.HSTACK(_xlfn.VSTACK("Start Date", "End Date", "Period #", "Year", "Month", "Jan Flag"), _xlfn.VSTACK(EDATE(_xlpm.start_date, _xlfn.SEQUENCE(, _xlpm.periods, 0, _xlpm.month_num)), EOMONTH(EDATE(_xlpm.start_date, _xlfn.SEQUENCE(, _xlpm.periods, 0, _xlpm.month_num)), _xlpm.month_num - 1), _xlfn.SEQUENCE(, _xlpm.periods), YEAR(EDATE(_xlpm.start_date, _xlfn.SEQUENCE(, _xlpm.periods, 0, _xlpm.month_num))), MONTH(EDATE(_xlpm.start_date, _xlfn.SEQUENCE(, _xlpm.periods, 0, _xlpm.month_num))), --MONTH(EDATE(_xlpm.start_date, _xlfn.SEQUENCE(, _xlpm.periods, 0, _xlpm.month_num))) = 1))))</definedName>
    <definedName name="DAYSINPERIOD">_xlfn.LAMBDA(_xlpm.start_date,_xlpm.end_date,_xlpm.period_start_date,_xlpm.days_in_period, MAX(0, MAX(0, MIN(_xlpm.days_in_period, MIN(_xlpm.end_date - _xlpm.period_start_date))) - MAX(0, (_xlpm.start_date - _xlpm.period_start_date))))</definedName>
    <definedName name="Decimal_Separator">'Default Settings'!$C$9</definedName>
    <definedName name="DICE">_xlfn.LAMBDA(_xlpm.dice, 1 * _xlfn.XMATCH(_xlpm.dice, {"⚀";"⚁";"⚂";"⚃";"⚄";"⚅"}, 0))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IJKSTRA">_xlfn.LAMBDA(_xlpm.current_cell,_xlpm.map_cell,_xlpm.blocked_cells,_xlpm.diag, IF(_xlpm.diag = 1, IF(MAX(IF(COUNTIF(_xlpm.map_cell, _xlpm.blocked_cells), 1, 0)) = 0, MIN(INDIRECT(Loc.SHIFT_OOB(CELL("address", _xlpm.current_cell), -1, -1) &amp; ":" &amp; Loc.SHIFT_OOB(CELL("address", _xlpm.current_cell), 1, 1))) + _xlpm.map_cell, 999), IF(MAX(IF(COUNTIF(_xlpm.map_cell, _xlpm.blocked_cells), 1, 0)) = 0, MIN(INDIRECT(Loc.SHIFT_OOB(CELL("address", _xlpm.current_cell), 1, 0)), INDIRECT(Loc.SHIFT_OOB(CELL("address", _xlpm.current_cell), -1, 0)), INDIRECT(Loc.SHIFT_OOB(CELL("address", _xlpm.current_cell), 0, -1)), INDIRECT(Loc.SHIFT_OOB(CELL("address", _xlpm.current_cell), 0, 1))) + _xlpm.map_cell, 999)))</definedName>
    <definedName name="DistFromCellArr">_xlfn.LAMBDA(_xlpm.startcell,_xlpm.sum_distance_traveled, _xlfn.LET(
   _xlpm.\\LambdaName, "DistFromCellArr",
   _xlpm.\\CommandName, "Distance From Cell By Numbered Arrow",
   _xlpm._Step1, IFERROR(EXTRACTNUMBERS(_xlpm.sum_distance_traveled), 1),
   _xlpm._Step2, COLROW(_xlpm.startcell),
   _xlpm._Step3, IFERROR(SUBSTITUTE(_xlpm.sum_distance_traveled, _xlpm._Step1, ""), ""),
   _xlpm._Step4, ARROWTABLE(),
   _xlpm._X, IFERROR(
      _xlpm._Step1 * _xlfn.XLOOKUP(_xlpm._Step3, _xlfn.TAKE(_xlpm._Step4, -8, 1), _xlfn.TAKE(_xlfn.DROP(_xlpm._Step4, , 1), -8, 1), 0, 0),
      0
   ),
   _xlpm._Y, IFERROR(_xlpm._Step1 * _xlfn.XLOOKUP(_xlpm._Step3, _xlfn.TAKE(_xlpm._Step4, -8, 1), _xlfn.TAKE(_xlpm._Step4, -8, -1), 0, 0), 0),
   _xlpm._Step7, SUM(_xlpm._X),
   _xlpm._Step8, SUM(_xlpm._Y),
   _xlpm._Step9, _xlfn.TAKE(_xlpm._Step2, , 1) + _xlpm._Step7,
   _xlpm._Step10, _xlfn.TAKE(_xlpm._Step2, , -1) + _xlpm._Step8,
   _xlpm._Result, ADDRESS(_xlpm._Step10, _xlpm._Step9, 4),
   _xlpm._Result
))</definedName>
    <definedName name="DROPCOL">_xlfn.LAMBDA(_xlpm.array,_xlpm.column, _xlfn.LET(
   _xlpm.\\LambdaName, "DROPCOL",
   _xlpm.\\CommandName, _xlpm.\\LambdaName,
   _xlpm.\\Description, "Drops a column from an array",
   _xlpm.\\Source, "Lianna",
   _xlfn.MAKEARRAY(
      ROWS(_xlpm.array),
      COLUMNS(_xlpm.array) - 1,
      _xlfn.LAMBDA(_xlpm.i,_xlpm.j, INDEX(_xlpm.array, _xlpm.i, IF(_xlpm.j &lt; _xlpm.column, _xlpm.j, _xlpm.j + 1)))
   )
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XTRACTCHAR_byHarryGross">_xlfn.LAMBDA(_xlpm.text, MID(_xlpm.text, _xlfn.SEQUENCE(, LEN(_xlpm.text), 1, 1), 1))</definedName>
    <definedName name="EXTRACTLETTERS_byHarryGros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_byHarryGross">_xlfn.LAMBDA(_xlpm.cell,_xlfn.TEXTSPLIT(_xlpm.cell,_xlfn.TEXTSPLIT(_xlpm.cell,_xlfn.SEQUENCE(10,,0),,1),,1))</definedName>
    <definedName name="EZINDIRECT_byLiannaGerrish" comment="Indirect function with cell and optional sheet name">_xlfn.LAMBDA(_xlpm.cell,_xlop.sheetname,IF(_xlfn.ISOMITTED(_xlpm.sheetname), INDIRECT(_xlpm.cell), INDIRECT(_xlpm.sheetname &amp; "!" &amp; _xlpm.cell)))</definedName>
    <definedName name="FilterArray_byErikOehm">_xlfn.LAMBDA(_xlpm.data,_xlpm.column_indexes,_xlpm.filter_values,_xlfn.LET(_xlpm.\\LambdaName, "FilterArray", _xlfn._xlws.FILTER(_xlpm.data, _xlfn.BYROW(IsInList_byErikOehm(_xlfn.CHOOSECOLS(_xlpm.data, _xlpm.column_indexes), _xlpm.filter_values), _xlfn.LAMBDA(_xlpm.x, AND(_xlpm.x))))))</definedName>
    <definedName name="GETDIST">_xlfn.LAMBDA(_xlpm.cell_from,_xlpm.cell_to,_xlpm.diag_flag, _xlfn.IFS(_xlpm.diag_flag = 1, MAX(ABS(COLUMN(INDIRECT(_xlpm.cell_from)) - COLUMN(INDIRECT(_xlpm.cell_to))), ABS(ROW(INDIRECT(_xlpm.cell_from)) - ROW(INDIRECT(_xlpm.cell_to)))), _xlpm.diag_flag = 0, ABS(COLUMN(INDIRECT(_xlpm.cell_from)) - COLUMN(INDIRECT(_xlpm.cell_to))) + ABS(ROW(INDIRECT(_xlpm.cell_from)) - ROW(INDIRECT(_xlpm.cell_to)))))</definedName>
    <definedName name="GETDIST_weighted">_xlfn.LAMBDA(_xlpm.cell1,_xlpm.cell2,_xlpm.diag_flag,_xlpm.h_mod,_xlpm.v_mod,_xlpm.d_mod, _xlfn.LET(_xlpm.a, Loc.COLROW(_xlpm.cell1), _xlpm.b, Loc.COLROW(_xlpm.cell2), _xlpm.c, ABS(_xlpm.a - _xlpm.b), _xlpm.d, IF(_xlpm.diag_flag = 0, 0, MIN(_xlpm.c)), _xlpm.ca, _xlfn.TAKE(_xlpm.c, , 1), _xlpm.cb, _xlfn.TAKE(_xlpm.c, , -1), _xlpm.h, IF(_xlpm.diag_flag = 0, _xlpm.ca, IF(_xlpm.ca &gt; _xlpm.cb, ABS(_xlpm.ca - _xlpm.cb), 0)), _xlpm.v, IF(_xlpm.diag_flag = 0, _xlpm.cb, IF(_xlpm.ca &lt; _xlpm.cb, ABS(_xlpm.ca - _xlpm.cb), 0)), SUMPRODUCT(_xlfn.TAKE(_xlfn.HSTACK(_xlpm.h, _xlpm.v, _xlpm.d), -1), _xlfn.HSTACK(_xlpm.h_mod, _xlpm.v_mod, _xlpm.d_mod))))</definedName>
    <definedName name="GRIDTOCOL_ALL">_xlfn.LAMBDA(_xlpm.arr, _xlfn.LET(_xlpm.items_arr, _xlfn.TOCOL(_xlpm.arr), _xlpm.rows, _xlfn.TOCOL(_xlfn.SEQUENCE(, COLUMNS(_xlpm.arr)) * 0 &amp; _xlfn.SEQUENCE(ROWS(_xlpm.arr))) * 1, _xlpm.cols, _xlfn.TOCOL(_xlfn.SEQUENCE(ROWS(_xlpm.arr)) * 0 &amp; _xlfn.SEQUENCE(, COLUMNS(_xlpm.arr))) * 1, _xlpm.addr, _xlfn.TOCOL(ADDRESS(_xlpm.rows, _xlpm.cols, 4, 1)), _xlpm.headers, _xlfn.HSTACK("Items", "Row #", "Column #", "Address"), _xlpm.data_arr, _xlfn.HSTACK(_xlpm.items_arr, _xlpm.rows, _xlpm.cols, _xlpm.addr), _xlfn.VSTACK(_xlpm.headers, _xlpm.data_arr)))</definedName>
    <definedName name="GRIDTOCOL_byLiannaGerrish">_xlfn.LAMBDA(_xlpm.grid,_xlop.ShowAll_0, _xlfn.LET(
   _xlpm.\\LambdaName, "GRIDTOCOL",
   _xlpm.items_grid, _xlfn.TOCOL(_xlpm.grid),
   _xlpm.addr_col, _xlfn.TOCOL(ADDRESSES_byDiarmuidEarly(_xlpm.grid)),
   _xlpm.rows, ROW(INDIRECT(_xlpm.addr_col)) * 1,
   _xlpm.cols, COLUMN(INDIRECT(_xlpm.addr_col)) * 1,
   _xlpm.rcnum, _xlfn.TOCOL(1000000 * _xlpm.rows + 1000 + _xlpm.cols),
   _xlpm.headers, _xlfn.HSTACK("Items", "Row #", "Column #", "Address", "RCRef"),
   _xlpm.data_grid, _xlfn.HSTACK(_xlpm.items_grid, _xlpm.rows, _xlpm.cols, _xlpm.addr_col, _xlpm.rcnum),
   IF(
      OR(_xlfn.ISOMITTED(_xlpm.ShowAll_0), _xlpm.ShowAll_0 &lt;&gt; 0),
      _xlfn.VSTACK(_xlpm.headers, _xlfn._xlws.FILTER(_xlpm.data_grid, _xlfn.CHOOSECOLS(_xlpm.data_grid, 1) &lt;&gt; 0)),
      _xlfn.VSTACK(_xlpm.headers, _xlpm.data_grid)
   )
))</definedName>
    <definedName name="I2M">_xlfn.LAMBDA(_xlpm.arr,_xlpm.row,_xlpm.col, INDEX(_xlpm.arr, MATCH(_xlpm.row, _xlfn.CHOOSECOLS(_xlpm.arr, 1), 0), MATCH(_xlpm.col, _xlfn.CHOOSEROWS(_xlpm.arr, 1), 0)))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dMatch">_xlfn.LAMBDA(_xlpm.Input1,_xlpm.Input2, _xlfn.LET(
   _xlpm.\\LambdaName, "IndMatch",
   _xlpm.\\CommandName, "Indirect Match Lookup",
   _xlpm._Step1, SUBSTITUTE(_xlpm.Input1, " ", "_"),
   _xlpm._Step2, SUBSTITUTE(_xlpm.Input2, " ", "_"),
   _xlpm._Result, INDIRECT(_xlpm._Step1)  INDIRECT(_xlpm._Step2),
   _xlpm._Result
))</definedName>
    <definedName name="INTSECT">_xlfn.LAMBDA(_xlpm.string1,_xlpm.string2,_xlop.In,_xlop.Out, INDIRECT(IF(_xlfn.ISOMITTED(_xlpm.In) + _xlfn.ISOMITTED(_xlpm.Out), SUBSTITUTE(_xlpm.string1, " ", "_"), MEGAREPLACE(_xlpm.string1, _xlpm.In, _xlpm.Out))) INDIRECT(IF(_xlfn.ISOMITTED(_xlpm.In) + _xlfn.ISOMITTED(_xlpm.Out), SUBSTITUTE(_xlpm.string2, " ", "_"), MEGAREPLACE(_xlpm.string2, _xlpm.In, _xlpm.Out))))
                                                                                                                                                                                                                                                                LISTOFFSET = _xlfn.LAMBDA(_xlpm.arr,_xlpm.curr,_xlpm.offset,_xlpm.booLoop, _xlfn.LET(_xlpm.tarr, IF(ROWS(_xlpm.arr) &gt; 1, _xlpm.arr, TRANSPOSE(_xlpm.arr)),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IsInList_byErikOehm">_xlfn.LAMBDA(_xlpm.array,_xlpm.list,_xlfn.LET(_xlpm.\\LambdaName, "IsInList", _xlfn.MAP(_xlpm.array, _xlfn.LAMBDA(_xlpm.x, OR(_xlpm.list = _xlpm.x)))))</definedName>
    <definedName name="ISINRANGE">_xlfn.LAMBDA(_xlpm.cell,_xlpm.bear,_xlpm.x,_xlpm.y,_xlop.lookup_output,_xlop.default,_xlop.id, _xlfn.LET(_xlpm.default, IF(_xlfn.ISOMITTED(_xlpm.default), 0, _xlpm.default), _xlpm.lookup_output, IF(_xlfn.ISOMITTED(_xlpm.lookup_output), 1, _xlpm.lookup_output), _xlpm.a, MAX(IF(COUNTIF(INDIRECT(Loc.SHIFT_OOB(CELL("address", _xlpm.cell), -_xlpm.x, -_xlpm.y) &amp; ":" &amp; Loc.SHIFT_OOB(CELL("address", _xlpm.cell), _xlpm.x, _xlpm.y)), _xlpm.bear), IF(_xlfn.ISOMITTED(_xlpm.id), 1, _xlpm.id), _xlpm.default)), IF(_xlfn.ISOMITTED(_xlpm.id), IF(_xlpm.a &lt;&gt; 0, _xlpm.a, _xlpm.default), _xlfn.XLOOKUP(_xlpm.a, _xlpm.id, _xlpm.lookup_output, _xlpm.default))))</definedName>
    <definedName name="ISNONZERO">_xlfn.LAMBDA(_xlpm.x, IF(_xlpm.x = 0, FALSE(), TRUE()))</definedName>
    <definedName name="Language">'Default Settings'!$C$13</definedName>
    <definedName name="Letters">_xlfn.LAMBDA(_xlop.Upp, _xlfn.LET(
   _xlpm.\\LambdaName, "Letters",
   _xlpm.\\CommandName, "Creates a list of letters",
   _xlpm.ABC, CHAR(_xlfn.SEQUENCE(26) + 64),
   IF((_xlpm.Upp = 1) + _xlfn.ISOMITTED((_xlpm.Upp)), _xlpm.ABC, LOWER(_xlpm.ABC))
))</definedName>
    <definedName name="LetterShift_byBendeLeon">_xlfn.LAMBDA(_xlpm.Input,_xlpm.Shft, _xlfn.LET(
   _xlpm.\\LambdaName, "LetterShift_byBendeLeon",
   _xlpm.\\CommandName, "Shifts letters",
   _xlpm.\\Source, "Ben de Leon",
   _xlpm.arr, _xlfn.UNICODE(EXTRACTCHAR_byHarryGross(_xlpm.Input)),
   _xlpm.NewChars, _xlfn.IFS(
      (_xlpm.arr &gt;= 65) * (_xlpm.arr &lt;= 90) = 1,
      MOD(_xlpm.arr - 65 + _xlpm.Shft, 26) + 65,
      (_xlpm.arr &gt;= 97) * (_xlpm.arr &lt;= 122) = 1,
      MOD(_xlpm.arr - 97 + _xlpm.Shft, 26) + 97,
      TRUE,
      _xlpm.arr
   ),
   _xlpm.Result, _xlfn.CONCAT(_xlfn.UNICHAR(_xlpm.NewChars)),
   _xlpm.Result
))</definedName>
    <definedName name="List_Separator">'Default Settings'!$C$11</definedName>
    <definedName name="LISTOFFSET">_xlfn.LAMBDA(_xlpm.array,_xlpm.curr,_xlpm.offset,_xlpm.booLoop, _xlfn.LET(_xlpm.tarr, IF(ROWS(_xlpm.array) &gt; 1, _xlpm.array, TRANSPOSE(_xlpm.array)),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LkpAdd">_xlfn.LAMBDA(_xlpm.ToFind,_xlpm.Range,_xlfn.LET(_xlpm.\\LambdaName, "LkpAdd", _xlpm.\\CommandName, "Lookup Address", _xlpm.\\Description, "Looks up address of cell(s) matching input", _xlpm.\\Source, "Jaq Kennedy", _xlfn.CHOOSECOLS(FilterArray_byErikOehm(GRIDTOCOL_byLiannaGerrish(_xlpm.Range), {1}, _xlpm.ToFind), {4})))</definedName>
    <definedName name="LkpRC">_xlfn.LAMBDA(_xlpm.ToFind,_xlpm.Range,_xlfn.LET(_xlpm.\\LambdaName, "LkpRC", _xlpm.\\CommandName, "Lookup RC coordinates ", _xlpm.\\Description, "Looks up RC coordinates of matching cell(s) in range", _xlfn.CHOOSECOLS(FilterArray_byErikOehm(GRIDTOCOL_byLiannaGerrish(_xlpm.Range), {1}, _xlpm.ToFind), {2,3})))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IFERROR(_xlfn.CHOOSEROWS(LkpRC(_xlpm.a, _xlpm.Range), 1), {"",""})))))</definedName>
    <definedName name="LkpSum">_xlfn.LAMBDA(_xlpm.values,_xlpm.lkpin,_xlpm.lkpout, _xlfn.LET(
   _xlpm.\\LambdaName, "LkpSum",
   _xlpm.\\CommandName, "Sum Lookup by Row",
   _xlfn.BYROW(_xlfn.XLOOKUP(_xlpm.values, _xlpm.lkpin, _xlpm.lkpout), _xleta.SUM)
))</definedName>
    <definedName name="MAXLOOKUP">_xlfn.LAMBDA(_xlpm.lookup_array,_xlpm.return_array,_xlop.return_type, IF(OR(_xlpm.return_type = 1, _xlfn.ISOMITTED(_xlpm.return_type)), _xlfn.XLOOKUP(MAX(_xlpm.lookup_array), _xlpm.lookup_array, _xlpm.return_array), _xlfn.XLOOKUP(MIN(_xlpm.lookup_array), _xlpm.lookup_array, _xlpm.return_array)))</definedName>
    <definedName name="MEGAREPLACE">_xlfn.LAMBDA(_xlpm.text,_xlpm.search,_xlpm.replace, IF(_xlpm.search = "", _xlpm.text, MEGAREPLACE(SUBSTITUTE(_xlpm.text, _xlpm.search, _xlpm.replace), OFFSET(_xlpm.search, 1, 0), OFFSET(_xlpm.replace, 1, 0))))</definedName>
    <definedName name="MinMax_byJaqKennedy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MODESUPER">_xlfn.LAMBDA(_xlpm.rng, _xlfn.LET(_xlpm.u, _xlfn.TOCOL(_xlfn.UNIQUE(_xlpm.rng), 3), _xlfn.TAKE(_xlfn._xlws.SORT(_xlfn.HSTACK(_xlpm.u, COUNTIF(_xlpm.rng, _xlpm.u)), 2, -1), 1)))</definedName>
    <definedName name="MODTEXT">_xlfn.LAMBDA(_xlpm.letter,_xlpm.shift, _xlfn.UNICHAR(MOD(_xlfn.UNICODE(UPPER(_xlpm.letter)) + UPPER(_xlpm.shift) - 65, 26) + 65))</definedName>
    <definedName name="NTHINSTANCE">_xlfn.LAMBDA(_xlpm.text,_xlpm.find,_xlpm.number, FIND(CHAR(160), SUBSTITUTE(_xlpm.text, _xlpm.find, CHAR(160), _xlpm.number)))</definedName>
    <definedName name="ONSAMEDIAGONAL">_xlfn.LAMBDA(_xlpm.cell1,_xlpm.cell2, ABS(ROW(_xlpm.cell1) - ROW(_xlpm.cell2)) = ABS(COL(_xlpm.cell2) - COL(_xlpm.cell1)))</definedName>
    <definedName name="Permutations">_xlfn.LAMBDA(_xlpm.array, _xlfn.LET(_xlpm.k, COUNTA(_xlpm.array), _xlpm.k))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SQRT((_xlpm.a * _xlpm.a) + (_xlpm.b * _xlpm.b)))</definedName>
    <definedName name="PYTHAGDIST">_xlfn.LAMBDA(_xlpm.a,_xlpm.b, _xlfn.LET(_xlpm.ac, _xlfn.TAKE(COLROW(_xlpm.a), , 1), _xlpm.ar, _xlfn.TAKE(COLROW(_xlpm.a), , -1), _xlpm.bc, _xlfn.TAKE(COLROW(_xlpm.b), , 1), _xlpm.br, _xlfn.TAKE(COLROW(_xlpm.b), , -1), _xlpm.cr, ABS(_xlpm.br - _xlpm.ar), _xlpm.cc, ABS(_xlpm.bc - _xlpm.ac), PYTHAG(_xlpm.cr, _xlpm.cc)))</definedName>
    <definedName name="RATEANNUALTOMONTHLY">_xlfn.LAMBDA(_xlpm.rate,_xlpm.periods, (1 + _xlpm.rate) ^ (1 / _xlpm.periods) - 1)</definedName>
    <definedName name="RATEMONTHLYTOANNUAL">_xlfn.LAMBDA(_xlpm.rate,_xlpm.periods, (1 + _xlpm.rate) ^ _xlpm.periods - 1)</definedName>
    <definedName name="REVERSE_H">_xlfn.LAMBDA(_xlpm.array, _xlfn.LET(_xlpm.l, COUNTA(_xlfn.TAKE(_xlpm.array, 1)), _xlpm.s, _xlfn.SEQUENCE(, _xlpm.l), _xlfn.SORTBY(_xlpm.array, _xlpm.s, -1)))</definedName>
    <definedName name="REVERSE_V">_xlfn.LAMBDA(_xlpm.array, _xlfn.LET(_xlpm.l, COUNTA(_xlfn.TAKE(_xlpm.array, , 1)), _xlpm.s, _xlfn.SEQUENCE(_xlpm.l), _xlfn.SORTBY(_xlpm.array, _xlpm.s, -1)))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LL">_xlfn.LAMBDA(_xlpm.arr,_xlop.horizontal,_xlop.vertical, _xlfn.LET(_xlpm.horizontal, IF(_xlfn.ISOMITTED(_xlpm.horizontal), 0, _xlpm.horizontal), _xlpm.vertical, IF(_xlfn.ISOMITTED(_xlpm.vertical), 0, _xlpm.vertical), _xlpm.width, COUNT(_xlfn.TAKE(_xlpm.arr, 1)), _xlpm.height, COUNT(_xlfn.TAKE(_xlpm.arr, , 1)), _xlpm.horizontal_mod, IF(ABS(_xlpm.horizontal) &gt; _xlpm.width, MOD(_xlpm.horizontal, _xlpm.width), _xlpm.horizontal), _xlpm.vertical_mod, IF(ABS(_xlpm.vertical) &gt; _xlpm.height, MOD(_xlpm.vertical, _xlpm.height), _xlpm.vertical), _xlpm.h_fixed, IF(_xlpm.horizontal_mod &lt; 0, _xlpm.width + _xlpm.horizontal_mod, _xlpm.horizontal_mod), _xlpm.v_fixed, IF(_xlpm.vertical_mod &lt; 0, _xlpm.height + _xlpm.vertical_mod, _xlpm.vertical_mod), _xlpm.r, IF(_xlpm.horizontal_mod &lt; 0, _xlpm.width - (_xlpm.h_fixed), _xlpm.width - _xlpm.h_fixed), _xlpm.u, IF(_xlpm.vertical_mod &lt; 0, _xlpm.height - (_xlpm.v_fixed), _xlpm.height - _xlpm.v_fixed), _xlpm.lr_roll, IF(OR(_xlpm.h_fixed = 0, _xlpm.h_fixed = _xlpm.width), _xlpm.arr, _xlfn.HSTACK(_xlfn.TAKE(_xlpm.arr, , -_xlpm.h_fixed), _xlfn.TAKE(_xlpm.arr, , _xlpm.r))), _xlpm.final_roll, IF(OR(_xlpm.v_fixed = 0, _xlpm.v_fixed = _xlpm.height), _xlpm.lr_roll, _xlfn.VSTACK(_xlfn.TAKE(_xlpm.lr_roll, -_xlpm.v_fixed), _xlfn.TAKE(_xlpm.lr_roll, _xlpm.u))), _xlpm.final_roll))</definedName>
    <definedName name="ROLL_SINGLE">_xlfn.LAMBDA(_xlpm.arrr,_xlpm.r, _xlfn.LET(_xlpm.arr, _xlfn.TOCOL(_xlpm.arrr), _xlpm.size, COUNT(_xlpm.arr), _xlpm.rr, MOD(_xlpm.r, _xlpm.size), _xlpm.leng, COUNTA(_xlfn.TAKE(_xlpm.arrr, 1)), IF(_xlpm.r = 0, _xlpm.arrr, _xlfn.WRAPROWS(_xlfn.VSTACK(_xlfn.TAKE(_xlpm.arr, -_xlpm.rr), _xlfn.TAKE(_xlpm.arr, _xlpm.size - _xlpm.rr)), _xlpm.leng))))</definedName>
    <definedName name="ROWCOL">_xlfn.LAMBDA(_xlpm.cell_coordinates,_xlfn.TEXTSPLIT(ROW(INDIRECT(_xlpm.cell_coordinates)) &amp; ";" &amp; COLUMN(INDIRECT(_xlpm.cell_coordinates)), ";"))</definedName>
    <definedName name="SET">_xlfn.LAMBDA(_xlpm.array,_xlpm.val,_xlop.posx,_xlop.posy, _xlfn.LET(_xlpm.posxx, IF(_xlfn.ISOMITTED(_xlpm.posx), 1, _xlpm.posx), _xlpm.posyy, IF(_xlfn.ISOMITTED(_xlpm.posy), 1, _xlpm.posy), _xlpm.arrr, _xlfn.TOCOL(_xlpm.array), _xlpm.ax, COUNTA(_xlfn.TAKE(_xlpm.array, , 1)), _xlpm.ay, COUNTA(_xlfn.TAKE(_xlpm.array, 1)), _xlpm.pos, (_xlpm.ay * _xlpm.posxx) - _xlpm.ay + _xlpm.posyy, _xlpm.a, _xlfn.TAKE(_xlpm.arrr, _xlpm.pos - 1), _xlpm.b, _xlfn.TAKE(_xlpm.arrr, -COUNTA(_xlpm.arrr) + _xlpm.pos), _xlpm.c, IF(AND(_xlpm.posxx = 1, _xlpm.posyy = 1), _xlfn.VSTACK(_xlpm.val, _xlpm.b), IF(AND(_xlpm.posx = _xlpm.ax, _xlpm.posy = _xlpm.ay), _xlfn.VSTACK(_xlpm.a, _xlpm.val), IF(OR(_xlpm.posx &gt; _xlpm.ax, _xlpm.posy &gt; _xlpm.ay), NA(), _xlfn.VSTACK(_xlpm.a, _xlpm.val, _xlpm.b)))), _xlfn.WRAPROWS(_xlpm.c, _xlpm.ay)))</definedName>
    <definedName name="SHIFT">_xlfn.LAMBDA(_xlpm.cell_coordinates,_xlpm.horizontal_moves,_xlpm.vertical_moves, ADDRESS(ROW(INDIRECT(_xlpm.cell_coordinates)) + _xlpm.vertical_moves, COLUMN(INDIRECT(_xlpm.cell_coordinates)) + _xlpm.horizontal_moves, 4, 1))</definedName>
    <definedName name="SHIFT_OOB">_xlfn.LAMBDA(_xlpm.cell_coordinates,_xlpm.horizontal_moves,_xlpm.vertical_moves, ADDRESS(IF(ROW(INDIRECT(_xlpm.cell_coordinates)) + _xlpm.horizontal_moves &lt; 1, 1, ROW(INDIRECT(_xlpm.cell_coordinates)) + _xlpm.horizontal_moves), IF(COLUMN(INDIRECT(_xlpm.cell_coordinates)) + _xlpm.vertical_moves &lt; 1, 1, COLUMN(INDIRECT(_xlpm.cell_coordinates)) + _xlpm.vertical_moves), 4, 1))</definedName>
    <definedName name="SumDist">_xlfn.LAMBDA(_xlpm.sum_distance_traveled, _xlfn.LET(
   _xlpm.\\LambdaName, "SumDist",
   _xlpm.\\CommandName, "Sum Distance of Arrows",
   _xlpm.\\Description, "diagonals count as 2 moves, others count as 1",
   _xlpm._Step1, IFERROR(EXTRACTNUMBERS(_xlpm.sum_distance_traveled), 1),
   _xlpm._Step2, ARROWTABLE(),
   _xlpm._Step3, IFERROR(SUBSTITUTE(_xlpm.sum_distance_traveled, _xlpm._Step1, ""), 0),
   _xlpm._Step4, SUM(ABS(_xlfn.TAKE(_xlfn.DROP(_xlpm._Step2, 1), 1, -2))),
   _xlpm._Step5, SUM(ABS(_xlfn.TAKE(_xlfn.DROP(_xlpm._Step2, 2), 1, -2))),
   _xlpm._Step6, SUM(ABS(_xlfn.TAKE(_xlfn.DROP(_xlpm._Step2, 3), 1, -2))),
   _xlpm._Step7, SUM(ABS(_xlfn.TAKE(_xlfn.DROP(_xlpm._Step2, 4), 1, -2))),
   _xlpm._Step8, SUM(ABS(_xlfn.TAKE(_xlfn.DROP(_xlpm._Step2, 5), 1, -2))),
   _xlpm._Step9, SUM(ABS(_xlfn.TAKE(_xlfn.DROP(_xlpm._Step2, 6), 1, -2))),
   _xlpm._Step10, SUM(ABS(_xlfn.TAKE(_xlfn.DROP(_xlpm._Step2, 7), 1, -2))),
   _xlpm._Step11, SUM(ABS(_xlfn.TAKE(_xlpm._Step2, -1, -2))),
   _xlpm._Result, SUM(
      _xlpm._Step1
         * _xlfn.XLOOKUP(
            _xlpm._Step3,
            _xlfn.TAKE(_xlpm._Step2, -8, 1),
            _xlfn.VSTACK(_xlpm._Step4, _xlpm._Step5, _xlpm._Step6, _xlpm._Step7, _xlpm._Step8, _xlpm._Step9, _xlpm._Step10, _xlpm._Step11),
            0,
            0
         )
   ),
   _xlpm._Result
))</definedName>
    <definedName name="SumDistFromStart">_xlfn.LAMBDA(_xlpm.sum_distance_traveled, _xlfn.LET(
   _xlpm.\\LambdaName, "SumDistFromStart",
   _xlpm.\\CommandName, "Sum Distance From Start",
   _xlpm.\\Description, "Not total distance walked, distance at end from distance at start",
   _xlpm._Step1, IFERROR(EXTRACTNUMBERS(_xlpm.sum_distance_traveled), 1),
   _xlpm._Step2, IFERROR(SUBSTITUTE(_xlpm.sum_distance_traveled, _xlpm._Step1, ""), ""),
   _xlpm._Step3, ARROWTABLE(),
   _xlpm._Step4, IFERROR(
      _xlpm._Step1 * _xlfn.XLOOKUP(_xlpm._Step2, _xlfn.TAKE(_xlpm._Step3, -8, 1), _xlfn.TAKE(_xlfn.DROP(_xlpm._Step3, , 1), -8, 1), 0, 0),
      0
   ),
   _xlpm._Step5, IFERROR(_xlpm._Step1 * _xlfn.XLOOKUP(_xlpm._Step2, _xlfn.TAKE(_xlpm._Step3, -8, 1), _xlfn.TAKE(_xlpm._Step3, -8, -1), 0, 0), 0),
   _xlpm._Step6, SUM(_xlpm._Step4),
   _xlpm._Step7, SUM(_xlpm._Step5),
   _xlpm._Result, ABS(_xlpm._Step6) + ABS(_xlpm._Step7),
   _xlpm._Result
))</definedName>
    <definedName name="SWAP">_xlfn.LAMBDA(_xlpm.array,_xlpm.pos_one_x,_xlpm.pos_one_y,_xlpm.pos_two_x,_xlpm.pos_two_y, _xlfn.LET(_xlpm.a, INDEX(_xlpm.array, _xlpm.pos_one_x, _xlpm.pos_one_y), _xlpm.b, INDEX(_xlpm.array, _xlpm.pos_two_x, _xlpm.pos_two_y), _xlpm.arrr, SET(_xlpm.array, _xlpm.b, _xlpm.pos_one_x, _xlpm.pos_one_y), SET(_xlpm.arrr, _xlpm.a, _xlpm.pos_two_x, _xlpm.pos_two_y)))</definedName>
    <definedName name="TDay_byJaqKennedy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TEXTBETWEEN">_xlfn.LAMBDA(_xlpm.text,_xlpm.start,_xlpm.end, _xlfn.TEXTAFTER(_xlfn.TEXTBEFORE(_xlpm.text, _xlpm.end), _xlpm.start))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Settings'!$C$10</definedName>
    <definedName name="Thunk">_xlfn.LAMBDA(_xlpm.x, _xlfn.LAMBDA(_xlpm.x))</definedName>
    <definedName name="Use_System_Separators">'Default Settings'!$C$12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YOUAREHERE">_xlfn.LAMBDA(_xlpm.cell,_xlop.sheetname, IF(_xlfn.ISOMITTED(_xlpm.sheetname), ADDRESS(ROW(_xlpm.cell), COLUMN(_xlpm.cell), 4, TRUE), ADDRESS(ROW(_xlpm.cell), COLUMN(_xlpm.cell), 4, TRUE, _xlpm.sheetname)))</definedName>
    <definedName name="ZigZag_byBendeLeon">_xlfn.LAMBDA(_xlpm.data,_xlop.CleanData,_xlop.Wrap,_xlfn.LET(_xlpm.\\LambdaName, "ZigZag", _xlpm.\\Description, "Zigs and zags", _xlpm.\\Source, "Ben deLeon", _xlpm.ClnData, BiRow_byPeterBartholomew(_xlpm.data, _xlfn.LAMBDA(_xlpm.arr, _xlfn.TOROW(_xlpm.arr, IF(OR(_xlfn.ISOMITTED(_xlpm.CleanData), _xlpm.CleanData = TRUE), 3, 0)))), _xlpm.RowCnt, ROWS(_xlpm.ClnData), _xlpm.ColCnt, COLUMNS(_xlpm.ClnData), _xlpm.Base10, 10 ^ ROUNDUP(LOG(_xlpm.ColCnt), 0), _xlpm.Srt, _xlfn.MAP(QUOTIENT(_xlfn.SEQUENCE(_xlpm.RowCnt, _xlpm.ColCnt, 0), _xlpm.ColCnt) * _xlpm.Base10, MOD(_xlfn.SEQUENCE(_xlpm.RowCnt, _xlpm.ColCnt, 0), _xlpm.ColCnt), MOD(_xlfn.SEQUENCE(_xlpm.RowCnt, _xlpm.ColCnt, _xlpm.ColCnt - 1, -1), _xlpm.ColCnt), _xlfn.LAMBDA(_xlpm.C,_xlpm.RF,_xlpm.RB, _xlpm.C + IF(ISODD(ROUNDDOWN(_xlpm.C / _xlpm.Base10, 0)), _xlpm.RB, _xlpm.RF))), _xlpm.SortedData, _xlfn.SORTBY(_xlfn.TOROW(_xlpm.ClnData), _xlfn.TOROW(_xlpm.Srt), 1), IF(_xlpm.Wrap = TRUE, _xlfn.WRAPROWS(_xlpm.SortedData, _xlpm.ColCnt), _xlpm.SortedData)))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O18" i="14" a="1"/>
  <c r="O18" i="14" s="1"/>
  <c r="E20" i="14" s="1"/>
  <c r="I20" i="14" s="1" a="1"/>
  <c r="I20" i="14" s="1"/>
  <c r="J20" i="14" s="1"/>
  <c r="H11" i="14" a="1"/>
  <c r="H11" i="14" s="1"/>
  <c r="D8" i="14" a="1"/>
  <c r="B7" i="20"/>
  <c r="H12" i="14" a="1"/>
  <c r="H10" i="14" a="1"/>
  <c r="H10" i="14" s="1"/>
  <c r="H8" i="14" a="1"/>
  <c r="H8" i="14" s="1"/>
  <c r="I11" i="18"/>
  <c r="H11" i="18"/>
  <c r="I25" i="14" l="1" a="1"/>
  <c r="I25" i="14" s="1"/>
  <c r="I19" i="14" a="1"/>
  <c r="I19" i="14" s="1"/>
  <c r="X8" i="14" a="1"/>
  <c r="H12" i="14"/>
  <c r="D8" i="14"/>
  <c r="X8" i="14" l="1"/>
  <c r="B6" i="14"/>
  <c r="I16" i="14" a="1"/>
  <c r="I16" i="14" s="1"/>
  <c r="J25" i="14" a="1"/>
  <c r="J25" i="14" s="1"/>
  <c r="E15" i="14" a="1"/>
  <c r="E15" i="14" s="1"/>
  <c r="D6" i="14"/>
  <c r="E22" i="14" a="1"/>
  <c r="E22" i="14" s="1"/>
  <c r="H16" i="14" a="1"/>
  <c r="E14" i="14" a="1"/>
  <c r="E14" i="14" s="1"/>
  <c r="E28" i="14" l="1" a="1"/>
  <c r="E28" i="14" s="1"/>
  <c r="E27" i="14" a="1"/>
  <c r="E27" i="14" s="1"/>
  <c r="H1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<sst xmlns="http://schemas.openxmlformats.org/spreadsheetml/2006/main" count="696" uniqueCount="321">
  <si>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</si>
  <si>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</si>
  <si>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</si>
  <si>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</si>
  <si>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</si>
  <si>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</si>
  <si>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</si>
  <si>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</si>
  <si>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</si>
  <si>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</si>
  <si>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</si>
  <si>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</si>
  <si>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</si>
  <si>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</si>
  <si>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</si>
  <si>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</si>
  <si>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</si>
  <si>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</si>
  <si>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</si>
  <si>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</si>
  <si>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</si>
  <si>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</si>
  <si>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</si>
  <si>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</si>
  <si>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</si>
  <si>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</si>
  <si>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</si>
  <si>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</si>
  <si>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</si>
  <si>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</si>
  <si>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</si>
  <si>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</si>
  <si>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</si>
  <si>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</si>
  <si>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</si>
  <si>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</si>
  <si>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</si>
  <si>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</si>
  <si>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</si>
  <si>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</si>
  <si>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</si>
  <si>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</si>
  <si>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</si>
  <si>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</si>
  <si>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</si>
  <si>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</si>
  <si>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</si>
  <si>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</si>
  <si>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</si>
  <si>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</si>
  <si>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</si>
  <si>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</si>
  <si>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</si>
  <si>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</si>
  <si>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</si>
  <si>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</si>
  <si>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</si>
  <si>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</si>
  <si>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</si>
  <si>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</si>
  <si>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</si>
  <si>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</si>
  <si>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</si>
  <si>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</si>
  <si>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</si>
  <si>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</si>
  <si>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</si>
  <si>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</si>
  <si>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</si>
  <si>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</si>
  <si>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</si>
  <si>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</si>
  <si>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</si>
  <si>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</si>
  <si>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</si>
  <si>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</si>
  <si>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</si>
  <si>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</si>
  <si>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</si>
  <si>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</si>
  <si>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</si>
  <si>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</si>
  <si>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</si>
  <si>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</si>
  <si>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</si>
  <si>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</si>
  <si>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</si>
  <si>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</si>
  <si>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</si>
  <si>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</si>
  <si>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</si>
  <si>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</si>
  <si>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</si>
  <si>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</si>
  <si>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</si>
  <si>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</si>
  <si>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</si>
  <si>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</si>
  <si>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</si>
  <si>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</si>
  <si>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</si>
  <si>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</si>
  <si>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</si>
  <si>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</si>
  <si>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</si>
  <si>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</si>
  <si>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</si>
  <si>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</si>
  <si>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</si>
  <si>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</si>
  <si>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</si>
  <si>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</si>
  <si>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</si>
  <si>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</si>
  <si>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LkpAdd</t>
  </si>
  <si>
    <t>LkpRC</t>
  </si>
  <si>
    <t>Outputs cell address of cell(s) where [ToFind] is found in [Range]</t>
  </si>
  <si>
    <t>Outputs row and column of cell(s) where [ToFind] is found in [Range]</t>
  </si>
  <si>
    <t>[ToFind] - value to search for
[Range] - range to search in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</si>
  <si>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</si>
  <si>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</si>
  <si>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</si>
  <si>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</si>
  <si>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Letters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</si>
  <si>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</si>
  <si>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</si>
  <si>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</si>
  <si>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</si>
  <si>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</si>
  <si>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</si>
  <si>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</si>
  <si>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</si>
  <si>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</si>
  <si>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</si>
  <si>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</si>
  <si>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</si>
  <si>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</si>
  <si>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</si>
  <si>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</si>
  <si>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</si>
  <si>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</si>
  <si>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LetterShift_byBendeLeon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</si>
  <si>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</si>
  <si>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</si>
  <si>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</si>
  <si>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</si>
  <si>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</si>
  <si>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</si>
  <si>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</si>
  <si>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</si>
  <si>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</si>
  <si>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</si>
  <si>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</si>
  <si>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</si>
  <si>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</si>
  <si>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</si>
  <si>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</si>
  <si>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</si>
  <si>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</si>
  <si>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</si>
  <si>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</si>
  <si>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</si>
  <si>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</si>
  <si>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</si>
  <si>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</si>
  <si>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</si>
  <si>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</si>
  <si>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</si>
  <si>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</si>
  <si>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</si>
  <si>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</si>
  <si>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</si>
  <si>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</si>
  <si>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</si>
  <si>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</si>
  <si>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</si>
  <si>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</si>
  <si>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</si>
  <si>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</si>
  <si>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</si>
  <si>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</si>
  <si>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</si>
  <si>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</si>
  <si>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</si>
  <si>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</si>
  <si>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</si>
  <si>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</si>
  <si>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</si>
  <si>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</si>
  <si>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</si>
  <si>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</si>
  <si>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</si>
  <si>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</si>
  <si>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</si>
  <si>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</si>
  <si>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</si>
  <si>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</si>
  <si>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</si>
  <si>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</si>
  <si>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</si>
  <si>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</si>
  <si>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</si>
  <si>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</si>
  <si>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</si>
  <si>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</si>
  <si>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</si>
  <si>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</si>
  <si>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</si>
  <si>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</si>
  <si>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</si>
  <si>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</si>
  <si>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</si>
  <si>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EXTRACTLETTERS_byHarryGross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</si>
  <si>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</si>
  <si>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</si>
  <si>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</si>
  <si>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</si>
  <si>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</si>
  <si>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</si>
  <si>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ZigZag_byBendeLeon</t>
  </si>
  <si>
    <t>Zigs and Zags</t>
  </si>
  <si>
    <t>Peter Bartholomew</t>
  </si>
  <si>
    <t>IsInList_byErikOehm</t>
  </si>
  <si>
    <t>BiRow_byPeterBartholomew</t>
  </si>
  <si>
    <t>for Thunking I Think</t>
  </si>
  <si>
    <t>FilterArray_byErikOehm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</si>
  <si>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</si>
  <si>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</si>
  <si>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</si>
  <si>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</si>
  <si>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</si>
  <si>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</si>
  <si>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</si>
  <si>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</si>
  <si>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</si>
  <si>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</si>
  <si>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</si>
  <si>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</si>
  <si>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TDay_byJaqKennedy</t>
  </si>
  <si>
    <t>Indirect function with cell and optional sheet name</t>
  </si>
  <si>
    <t>EZINDIRECT_byLiannaGerrish</t>
  </si>
  <si>
    <t>[cell] - cell address to fetch
[sheetname] (optional) - name of sheet to fetch</t>
  </si>
  <si>
    <t>Returns array with min and max of a range</t>
  </si>
  <si>
    <t>MinMax_byJaqKennedy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</si>
  <si>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</si>
  <si>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</si>
  <si>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</si>
  <si>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</si>
  <si>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</si>
  <si>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</si>
  <si>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</si>
  <si>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</si>
  <si>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</si>
  <si>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</si>
  <si>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</si>
  <si>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</si>
  <si>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</si>
  <si>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</si>
  <si>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</si>
  <si>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</si>
  <si>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</si>
  <si>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</si>
  <si>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</si>
  <si>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</si>
  <si>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</si>
  <si>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</si>
  <si>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</si>
  <si>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</si>
  <si>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</si>
  <si>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</si>
  <si>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</si>
  <si>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</si>
  <si>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</si>
  <si>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</si>
  <si>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</si>
  <si>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</si>
  <si>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</si>
  <si>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 in unichar.</t>
  </si>
  <si>
    <t>Wrap in unicode.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</si>
  <si>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</si>
  <si>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</si>
  <si>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</si>
  <si>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</si>
  <si>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</si>
  <si>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</si>
  <si>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</si>
  <si>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</si>
  <si>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</si>
  <si>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</si>
  <si>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</si>
  <si>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</si>
  <si>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</si>
  <si>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</si>
  <si>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</si>
  <si>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</si>
  <si>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</si>
  <si>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</si>
  <si>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</si>
  <si>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</si>
  <si>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</si>
  <si>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</si>
  <si>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</si>
  <si>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</si>
  <si>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</si>
  <si>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</si>
  <si>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</si>
  <si>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</si>
  <si>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</si>
  <si>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</si>
  <si>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</si>
  <si>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</si>
  <si>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</si>
  <si>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</si>
  <si>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</si>
  <si>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</si>
  <si>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</si>
  <si>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</si>
  <si>
    <t>Unlisted Lambdas</t>
  </si>
  <si>
    <t>INTSECT</t>
  </si>
  <si>
    <t>Intersect of 2 named ranges</t>
  </si>
  <si>
    <t>[name1], [name2] as strings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</si>
</sst>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12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  <font>
      <sz val="14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0" borderId="0"/>
    <xf numFmtId="0" fontId="3" fillId="0" borderId="0"/>
    <xf numFmtId="0" fontId="11" fillId="5" borderId="0" applyNumberFormat="0" applyBorder="0" applyAlignment="0" applyProtection="0"/>
  </cellStyleXfs>
  <cellXfs count="27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164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  <xf numFmtId="0" fontId="11" fillId="5" borderId="0" xfId="7"/>
  </cellXfs>
  <cellStyles count="8">
    <cellStyle name="Accent5" xfId="7" builtinId="45"/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sheetMetadata" Target="metadata.xml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45" totalsRowShown="0" headerRowDxfId="16" dataDxfId="15">
  <autoFilter ref="B8:F45" xr:uid="{0094C780-BB06-4D44-A3B5-11A203AC5962}"/>
  <sortState xmlns:xlrd2="http://schemas.microsoft.com/office/spreadsheetml/2017/richdata2" ref="B9:F45">
    <sortCondition ref="B8:B45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39" totalsRowShown="0" headerRowDxfId="9" dataDxfId="8">
  <autoFilter ref="B8:F39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5" row="11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45"/>
  <sheetViews>
    <sheetView showGridLines="0" tabSelected="1" zoomScale="70" zoomScaleNormal="70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D15" sqref="D15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68</v>
      </c>
      <c r="C6" s="10"/>
      <c r="D6" s="10"/>
      <c r="E6" s="10"/>
      <c r="F6" s="10"/>
      <c r="G6" s="2"/>
      <c r="H6" s="2"/>
      <c r="I6" s="2"/>
      <c r="J6" s="2"/>
    </row>
    <row r="7" spans="2:10" x14ac:dyDescent="0.25">
      <c r="B7" s="12">
        <f>ROWS(CompBotCommands[])</f>
        <v>37</v>
      </c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25">
      <c r="B9" s="13" t="s">
        <v>185</v>
      </c>
      <c r="C9" s="12" t="s">
        <v>15</v>
      </c>
      <c r="D9" s="13" t="s">
        <v>253</v>
      </c>
      <c r="E9" s="13" t="s">
        <v>281</v>
      </c>
      <c r="F9" s="12" t="s">
        <v>280</v>
      </c>
    </row>
    <row r="10" spans="2:10" ht="39" x14ac:dyDescent="0.25">
      <c r="B10" s="19" t="s">
        <v>35</v>
      </c>
      <c r="C10" s="20" t="s">
        <v>15</v>
      </c>
      <c r="D10" s="19" t="s">
        <v>290</v>
      </c>
      <c r="E10" s="19" t="s">
        <v>22</v>
      </c>
      <c r="F10" s="20" t="s">
        <v>97</v>
      </c>
    </row>
    <row r="11" spans="2:10" x14ac:dyDescent="0.25">
      <c r="B11" s="13" t="s">
        <v>110</v>
      </c>
      <c r="C11" s="12" t="s">
        <v>15</v>
      </c>
      <c r="D11" s="13" t="s">
        <v>111</v>
      </c>
      <c r="E11" s="13" t="s">
        <v>22</v>
      </c>
      <c r="F11" s="13" t="s">
        <v>112</v>
      </c>
    </row>
    <row r="12" spans="2:10" ht="39" x14ac:dyDescent="0.25">
      <c r="B12" s="13" t="s">
        <v>14</v>
      </c>
      <c r="C12" s="12" t="s">
        <v>15</v>
      </c>
      <c r="D12" s="13" t="s">
        <v>16</v>
      </c>
      <c r="E12" s="13" t="s">
        <v>23</v>
      </c>
      <c r="F12" s="12" t="s">
        <v>26</v>
      </c>
    </row>
    <row r="13" spans="2:10" ht="39" x14ac:dyDescent="0.25">
      <c r="B13" s="19" t="s">
        <v>95</v>
      </c>
      <c r="C13" s="20" t="s">
        <v>15</v>
      </c>
      <c r="D13" s="19" t="s">
        <v>291</v>
      </c>
      <c r="E13" s="19" t="s">
        <v>22</v>
      </c>
      <c r="F13" s="19" t="s">
        <v>96</v>
      </c>
    </row>
    <row r="14" spans="2:10" ht="136.5" x14ac:dyDescent="0.25">
      <c r="B14" s="19" t="s">
        <v>254</v>
      </c>
      <c r="C14" s="20" t="s">
        <v>15</v>
      </c>
      <c r="D14" s="19" t="s">
        <v>293</v>
      </c>
      <c r="E14" s="19" t="s">
        <v>22</v>
      </c>
      <c r="F14" s="19" t="s">
        <v>282</v>
      </c>
    </row>
    <row r="15" spans="2:10" ht="58.5" x14ac:dyDescent="0.25">
      <c r="B15" s="13" t="s">
        <v>69</v>
      </c>
      <c r="C15" s="12" t="s">
        <v>15</v>
      </c>
      <c r="D15" s="13" t="s">
        <v>94</v>
      </c>
      <c r="E15" s="13" t="s">
        <v>70</v>
      </c>
      <c r="F15" s="13" t="s">
        <v>71</v>
      </c>
    </row>
    <row r="16" spans="2:10" ht="97.5" x14ac:dyDescent="0.25">
      <c r="B16" s="19" t="s">
        <v>36</v>
      </c>
      <c r="C16" s="20" t="s">
        <v>15</v>
      </c>
      <c r="D16" s="19" t="s">
        <v>292</v>
      </c>
      <c r="E16" s="19" t="s">
        <v>22</v>
      </c>
      <c r="F16" s="19" t="s">
        <v>47</v>
      </c>
    </row>
    <row r="17" spans="2:6" ht="58.5" x14ac:dyDescent="0.25">
      <c r="B17" s="13" t="s">
        <v>48</v>
      </c>
      <c r="C17" s="12" t="s">
        <v>15</v>
      </c>
      <c r="D17" s="13" t="s">
        <v>49</v>
      </c>
      <c r="E17" s="13" t="s">
        <v>50</v>
      </c>
      <c r="F17" s="12" t="s">
        <v>51</v>
      </c>
    </row>
    <row r="18" spans="2:6" ht="52.5" customHeight="1" x14ac:dyDescent="0.25">
      <c r="B18" s="12" t="s">
        <v>187</v>
      </c>
      <c r="C18" s="12" t="s">
        <v>15</v>
      </c>
      <c r="D18" s="13" t="s">
        <v>230</v>
      </c>
      <c r="E18" s="13" t="s">
        <v>283</v>
      </c>
      <c r="F18" s="13" t="s">
        <v>284</v>
      </c>
    </row>
    <row r="19" spans="2:6" ht="52.5" customHeight="1" x14ac:dyDescent="0.25">
      <c r="B19" s="12" t="s">
        <v>154</v>
      </c>
      <c r="C19" s="12" t="s">
        <v>15</v>
      </c>
      <c r="D19" s="13" t="s">
        <v>285</v>
      </c>
      <c r="E19" s="13" t="s">
        <v>286</v>
      </c>
      <c r="F19" s="12" t="s">
        <v>153</v>
      </c>
    </row>
    <row r="20" spans="2:6" ht="117" x14ac:dyDescent="0.25">
      <c r="B20" s="13" t="s">
        <v>175</v>
      </c>
      <c r="C20" s="12" t="s">
        <v>15</v>
      </c>
      <c r="D20" s="13" t="s">
        <v>113</v>
      </c>
      <c r="E20" s="13" t="s">
        <v>22</v>
      </c>
      <c r="F20" s="12" t="s">
        <v>287</v>
      </c>
    </row>
    <row r="21" spans="2:6" x14ac:dyDescent="0.25">
      <c r="B21" s="13" t="s">
        <v>255</v>
      </c>
      <c r="C21" s="12" t="s">
        <v>83</v>
      </c>
      <c r="D21" s="13" t="s">
        <v>84</v>
      </c>
      <c r="E21" s="13" t="s">
        <v>22</v>
      </c>
      <c r="F21" s="12" t="s">
        <v>85</v>
      </c>
    </row>
    <row r="22" spans="2:6" ht="39" x14ac:dyDescent="0.25">
      <c r="B22" s="13" t="s">
        <v>252</v>
      </c>
      <c r="C22" s="12" t="s">
        <v>15</v>
      </c>
      <c r="D22" s="13" t="s">
        <v>34</v>
      </c>
      <c r="E22" s="13" t="s">
        <v>22</v>
      </c>
      <c r="F22" s="12" t="s">
        <v>33</v>
      </c>
    </row>
    <row r="23" spans="2:6" ht="58.5" x14ac:dyDescent="0.25">
      <c r="B23" s="13" t="s">
        <v>20</v>
      </c>
      <c r="C23" s="12" t="s">
        <v>15</v>
      </c>
      <c r="D23" s="13" t="s">
        <v>27</v>
      </c>
      <c r="E23" s="13" t="s">
        <v>22</v>
      </c>
      <c r="F23" s="12" t="s">
        <v>25</v>
      </c>
    </row>
    <row r="24" spans="2:6" ht="58.5" x14ac:dyDescent="0.25">
      <c r="B24" s="13" t="s">
        <v>309</v>
      </c>
      <c r="C24" s="12" t="s">
        <v>15</v>
      </c>
      <c r="D24" s="13" t="s">
        <v>311</v>
      </c>
      <c r="E24" s="13" t="s">
        <v>312</v>
      </c>
      <c r="F24" s="12" t="s">
        <v>310</v>
      </c>
    </row>
    <row r="25" spans="2:6" ht="58.5" x14ac:dyDescent="0.25">
      <c r="B25" s="12" t="s">
        <v>256</v>
      </c>
      <c r="C25" s="12" t="s">
        <v>15</v>
      </c>
      <c r="D25" s="13" t="s">
        <v>257</v>
      </c>
      <c r="E25" s="13" t="s">
        <v>288</v>
      </c>
      <c r="F25" s="12" t="s">
        <v>296</v>
      </c>
    </row>
    <row r="26" spans="2:6" ht="39" x14ac:dyDescent="0.25">
      <c r="B26" s="13" t="s">
        <v>80</v>
      </c>
      <c r="C26" s="12" t="s">
        <v>15</v>
      </c>
      <c r="D26" s="13" t="s">
        <v>82</v>
      </c>
      <c r="E26" s="13" t="s">
        <v>22</v>
      </c>
      <c r="F26" s="12" t="s">
        <v>78</v>
      </c>
    </row>
    <row r="27" spans="2:6" ht="58.5" x14ac:dyDescent="0.25">
      <c r="B27" s="13" t="s">
        <v>258</v>
      </c>
      <c r="C27" s="12" t="s">
        <v>15</v>
      </c>
      <c r="D27" s="13" t="s">
        <v>79</v>
      </c>
      <c r="E27" s="13" t="s">
        <v>101</v>
      </c>
      <c r="F27" s="12" t="s">
        <v>81</v>
      </c>
    </row>
    <row r="28" spans="2:6" ht="39" x14ac:dyDescent="0.25">
      <c r="B28" s="12" t="s">
        <v>189</v>
      </c>
      <c r="C28" s="12" t="s">
        <v>15</v>
      </c>
      <c r="D28" s="13" t="s">
        <v>259</v>
      </c>
      <c r="E28" s="13" t="s">
        <v>295</v>
      </c>
      <c r="F28" s="12" t="s">
        <v>190</v>
      </c>
    </row>
    <row r="29" spans="2:6" ht="39" x14ac:dyDescent="0.25">
      <c r="B29" s="20" t="s">
        <v>260</v>
      </c>
      <c r="C29" s="20" t="s">
        <v>15</v>
      </c>
      <c r="D29" s="19" t="s">
        <v>294</v>
      </c>
      <c r="E29" s="19" t="s">
        <v>22</v>
      </c>
      <c r="F29" s="19" t="s">
        <v>289</v>
      </c>
    </row>
    <row r="30" spans="2:6" ht="78" x14ac:dyDescent="0.25">
      <c r="B30" s="13" t="s">
        <v>86</v>
      </c>
      <c r="C30" s="12" t="s">
        <v>83</v>
      </c>
      <c r="D30" s="13" t="s">
        <v>89</v>
      </c>
      <c r="E30" s="13" t="s">
        <v>88</v>
      </c>
      <c r="F30" s="12" t="s">
        <v>87</v>
      </c>
    </row>
    <row r="31" spans="2:6" ht="39" x14ac:dyDescent="0.25">
      <c r="B31" s="13" t="s">
        <v>98</v>
      </c>
      <c r="C31" s="12" t="s">
        <v>15</v>
      </c>
      <c r="D31" s="13" t="s">
        <v>102</v>
      </c>
      <c r="E31" s="13" t="s">
        <v>99</v>
      </c>
      <c r="F31" s="12" t="s">
        <v>100</v>
      </c>
    </row>
    <row r="32" spans="2:6" ht="58.5" x14ac:dyDescent="0.25">
      <c r="B32" s="13" t="s">
        <v>149</v>
      </c>
      <c r="C32" s="12" t="s">
        <v>15</v>
      </c>
      <c r="D32" s="13" t="s">
        <v>261</v>
      </c>
      <c r="E32" s="13" t="s">
        <v>297</v>
      </c>
      <c r="F32" s="12" t="s">
        <v>148</v>
      </c>
    </row>
    <row r="33" spans="2:6" ht="39" x14ac:dyDescent="0.25">
      <c r="B33" s="13" t="s">
        <v>313</v>
      </c>
      <c r="C33" s="12" t="s">
        <v>15</v>
      </c>
      <c r="D33" s="13" t="s">
        <v>314</v>
      </c>
      <c r="E33" s="13" t="s">
        <v>315</v>
      </c>
      <c r="F33" s="12" t="s">
        <v>316</v>
      </c>
    </row>
    <row r="34" spans="2:6" ht="39" x14ac:dyDescent="0.25">
      <c r="B34" s="13" t="s">
        <v>163</v>
      </c>
      <c r="C34" s="12" t="s">
        <v>15</v>
      </c>
      <c r="D34" s="13" t="s">
        <v>262</v>
      </c>
      <c r="E34" s="13" t="s">
        <v>298</v>
      </c>
      <c r="F34" s="12" t="s">
        <v>162</v>
      </c>
    </row>
    <row r="35" spans="2:6" ht="39" x14ac:dyDescent="0.25">
      <c r="B35" s="13" t="s">
        <v>161</v>
      </c>
      <c r="C35" s="12" t="s">
        <v>15</v>
      </c>
      <c r="D35" s="13" t="s">
        <v>263</v>
      </c>
      <c r="E35" s="13" t="s">
        <v>299</v>
      </c>
      <c r="F35" s="12" t="s">
        <v>160</v>
      </c>
    </row>
    <row r="36" spans="2:6" ht="39" x14ac:dyDescent="0.25">
      <c r="B36" s="13" t="s">
        <v>264</v>
      </c>
      <c r="C36" s="12" t="s">
        <v>15</v>
      </c>
      <c r="D36" s="13" t="s">
        <v>92</v>
      </c>
      <c r="E36" s="13"/>
      <c r="F36" s="12" t="s">
        <v>90</v>
      </c>
    </row>
    <row r="37" spans="2:6" ht="58.5" x14ac:dyDescent="0.25">
      <c r="B37" s="13" t="s">
        <v>265</v>
      </c>
      <c r="C37" s="12" t="s">
        <v>15</v>
      </c>
      <c r="D37" s="13" t="s">
        <v>93</v>
      </c>
      <c r="E37" s="13"/>
      <c r="F37" s="12" t="s">
        <v>91</v>
      </c>
    </row>
    <row r="38" spans="2:6" x14ac:dyDescent="0.25">
      <c r="B38" s="13" t="s">
        <v>266</v>
      </c>
      <c r="C38" s="12" t="s">
        <v>15</v>
      </c>
      <c r="D38" s="13" t="s">
        <v>267</v>
      </c>
      <c r="E38" s="13" t="s">
        <v>300</v>
      </c>
      <c r="F38" s="12" t="s">
        <v>268</v>
      </c>
    </row>
    <row r="39" spans="2:6" x14ac:dyDescent="0.25">
      <c r="B39" s="13" t="s">
        <v>169</v>
      </c>
      <c r="C39" s="12" t="s">
        <v>15</v>
      </c>
      <c r="D39" s="13" t="s">
        <v>269</v>
      </c>
      <c r="E39" s="13" t="s">
        <v>301</v>
      </c>
      <c r="F39" s="12" t="s">
        <v>168</v>
      </c>
    </row>
    <row r="40" spans="2:6" ht="39" x14ac:dyDescent="0.25">
      <c r="B40" s="13" t="s">
        <v>167</v>
      </c>
      <c r="C40" s="12" t="s">
        <v>15</v>
      </c>
      <c r="D40" s="13" t="s">
        <v>270</v>
      </c>
      <c r="E40" s="13" t="s">
        <v>303</v>
      </c>
      <c r="F40" s="12" t="s">
        <v>166</v>
      </c>
    </row>
    <row r="41" spans="2:6" ht="39" x14ac:dyDescent="0.25">
      <c r="B41" s="13" t="s">
        <v>271</v>
      </c>
      <c r="C41" s="12" t="s">
        <v>15</v>
      </c>
      <c r="D41" s="13" t="s">
        <v>272</v>
      </c>
      <c r="E41" s="13" t="s">
        <v>304</v>
      </c>
      <c r="F41" s="12" t="s">
        <v>195</v>
      </c>
    </row>
    <row r="42" spans="2:6" ht="58.5" x14ac:dyDescent="0.25">
      <c r="B42" s="13" t="s">
        <v>273</v>
      </c>
      <c r="C42" s="12" t="s">
        <v>15</v>
      </c>
      <c r="D42" s="13" t="s">
        <v>274</v>
      </c>
      <c r="E42" s="13" t="s">
        <v>305</v>
      </c>
      <c r="F42" s="12" t="s">
        <v>275</v>
      </c>
    </row>
    <row r="43" spans="2:6" x14ac:dyDescent="0.25">
      <c r="B43" s="13" t="s">
        <v>276</v>
      </c>
      <c r="C43" s="12" t="s">
        <v>15</v>
      </c>
      <c r="D43" s="13" t="s">
        <v>277</v>
      </c>
      <c r="E43" s="13" t="s">
        <v>306</v>
      </c>
      <c r="F43" s="12" t="s">
        <v>302</v>
      </c>
    </row>
    <row r="44" spans="2:6" x14ac:dyDescent="0.25">
      <c r="B44" s="13" t="s">
        <v>181</v>
      </c>
      <c r="C44" s="12" t="s">
        <v>15</v>
      </c>
      <c r="D44" s="13" t="s">
        <v>278</v>
      </c>
      <c r="E44" s="13" t="s">
        <v>307</v>
      </c>
      <c r="F44" s="12" t="s">
        <v>182</v>
      </c>
    </row>
    <row r="45" spans="2:6" ht="78" x14ac:dyDescent="0.25">
      <c r="B45" s="13" t="s">
        <v>173</v>
      </c>
      <c r="C45" s="12" t="s">
        <v>15</v>
      </c>
      <c r="D45" s="13" t="s">
        <v>279</v>
      </c>
      <c r="E45" s="13" t="s">
        <v>308</v>
      </c>
      <c r="F45" s="12" t="s">
        <v>172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9" sqref="C9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52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59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66</v>
      </c>
      <c r="F8" t="s">
        <v>63</v>
      </c>
      <c r="H8" t="s">
        <v>64</v>
      </c>
    </row>
    <row r="9" spans="2:13" x14ac:dyDescent="0.25">
      <c r="B9" s="14" t="s">
        <v>53</v>
      </c>
      <c r="C9" s="16" t="s">
        <v>57</v>
      </c>
      <c r="E9" s="15" t="s">
        <v>57</v>
      </c>
      <c r="F9" s="15" t="s">
        <v>58</v>
      </c>
      <c r="H9" s="17">
        <v>1000.23</v>
      </c>
    </row>
    <row r="10" spans="2:13" x14ac:dyDescent="0.25">
      <c r="B10" s="14" t="s">
        <v>54</v>
      </c>
      <c r="C10" s="16" t="s">
        <v>58</v>
      </c>
      <c r="E10" s="15" t="s">
        <v>58</v>
      </c>
      <c r="F10" s="15" t="s">
        <v>31</v>
      </c>
      <c r="H10" s="17">
        <v>1000.23</v>
      </c>
    </row>
    <row r="11" spans="2:13" x14ac:dyDescent="0.25">
      <c r="B11" s="14" t="s">
        <v>56</v>
      </c>
      <c r="C11" s="16" t="s">
        <v>58</v>
      </c>
      <c r="E11" s="15" t="s">
        <v>58</v>
      </c>
      <c r="F11" s="15" t="s">
        <v>60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55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61</v>
      </c>
      <c r="C13" s="16" t="s">
        <v>62</v>
      </c>
      <c r="E13" s="15" t="s">
        <v>62</v>
      </c>
      <c r="F13" s="15" t="s">
        <v>63</v>
      </c>
      <c r="H13" s="18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9"/>
  <sheetViews>
    <sheetView showGridLines="0" zoomScale="55" zoomScaleNormal="55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F39" sqref="F39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5.23046875" style="12" bestFit="1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67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105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212</v>
      </c>
      <c r="C10" s="12" t="s">
        <v>7</v>
      </c>
      <c r="D10" s="12" t="s">
        <v>213</v>
      </c>
      <c r="E10" s="12" t="s">
        <v>12</v>
      </c>
      <c r="F10" s="12" t="s">
        <v>11</v>
      </c>
    </row>
    <row r="11" spans="2:10" x14ac:dyDescent="0.25">
      <c r="B11" s="12" t="s">
        <v>108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25">
      <c r="B12" s="12" t="s">
        <v>106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" x14ac:dyDescent="0.25">
      <c r="B13" s="12" t="s">
        <v>109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" x14ac:dyDescent="0.25">
      <c r="B14" s="12" t="s">
        <v>107</v>
      </c>
      <c r="C14" s="13" t="s">
        <v>73</v>
      </c>
      <c r="D14" s="13" t="s">
        <v>72</v>
      </c>
      <c r="E14" s="12" t="s">
        <v>22</v>
      </c>
      <c r="F14" s="12" t="s">
        <v>45</v>
      </c>
    </row>
    <row r="15" spans="2:10" ht="39" x14ac:dyDescent="0.25">
      <c r="B15" s="12" t="s">
        <v>114</v>
      </c>
      <c r="C15" s="13" t="s">
        <v>15</v>
      </c>
      <c r="D15" s="13" t="s">
        <v>116</v>
      </c>
      <c r="E15" s="13" t="s">
        <v>118</v>
      </c>
      <c r="F15" s="12" t="s">
        <v>45</v>
      </c>
    </row>
    <row r="16" spans="2:10" ht="39" x14ac:dyDescent="0.25">
      <c r="B16" s="12" t="s">
        <v>115</v>
      </c>
      <c r="C16" s="13" t="s">
        <v>15</v>
      </c>
      <c r="D16" s="13" t="s">
        <v>117</v>
      </c>
      <c r="E16" s="13" t="s">
        <v>118</v>
      </c>
      <c r="F16" s="12" t="s">
        <v>45</v>
      </c>
    </row>
    <row r="17" spans="2:6" ht="39" x14ac:dyDescent="0.25">
      <c r="B17" s="12" t="s">
        <v>222</v>
      </c>
      <c r="C17" s="13" t="s">
        <v>83</v>
      </c>
      <c r="D17" s="13" t="s">
        <v>119</v>
      </c>
      <c r="E17" s="13" t="s">
        <v>120</v>
      </c>
      <c r="F17" s="12" t="s">
        <v>45</v>
      </c>
    </row>
    <row r="18" spans="2:6" ht="58.5" x14ac:dyDescent="0.25">
      <c r="B18" s="12" t="s">
        <v>225</v>
      </c>
      <c r="C18" s="13" t="s">
        <v>83</v>
      </c>
      <c r="D18" s="13" t="s">
        <v>121</v>
      </c>
      <c r="E18" s="13" t="s">
        <v>122</v>
      </c>
      <c r="F18" s="12" t="s">
        <v>45</v>
      </c>
    </row>
    <row r="19" spans="2:6" ht="39" x14ac:dyDescent="0.25">
      <c r="B19" s="12" t="s">
        <v>123</v>
      </c>
      <c r="C19" s="12" t="s">
        <v>15</v>
      </c>
      <c r="D19" s="12" t="s">
        <v>129</v>
      </c>
      <c r="E19" s="13" t="s">
        <v>130</v>
      </c>
      <c r="F19" s="12" t="s">
        <v>11</v>
      </c>
    </row>
    <row r="20" spans="2:6" x14ac:dyDescent="0.25">
      <c r="B20" s="12" t="s">
        <v>125</v>
      </c>
      <c r="C20" s="12" t="s">
        <v>42</v>
      </c>
    </row>
    <row r="21" spans="2:6" ht="58.5" x14ac:dyDescent="0.25">
      <c r="B21" s="12" t="s">
        <v>236</v>
      </c>
      <c r="C21" s="12" t="s">
        <v>15</v>
      </c>
      <c r="D21" s="13" t="s">
        <v>126</v>
      </c>
      <c r="E21" s="13" t="s">
        <v>237</v>
      </c>
    </row>
    <row r="22" spans="2:6" x14ac:dyDescent="0.25">
      <c r="B22" s="12" t="s">
        <v>251</v>
      </c>
      <c r="C22" s="12" t="s">
        <v>15</v>
      </c>
      <c r="D22" s="12" t="s">
        <v>127</v>
      </c>
      <c r="E22" s="12" t="s">
        <v>128</v>
      </c>
      <c r="F22" s="12" t="s">
        <v>45</v>
      </c>
    </row>
    <row r="23" spans="2:6" ht="39" x14ac:dyDescent="0.25">
      <c r="B23" t="s">
        <v>131</v>
      </c>
      <c r="C23" s="12" t="s">
        <v>15</v>
      </c>
      <c r="D23" s="12" t="s">
        <v>132</v>
      </c>
      <c r="E23" s="13" t="s">
        <v>133</v>
      </c>
      <c r="F23" s="12" t="s">
        <v>45</v>
      </c>
    </row>
    <row r="24" spans="2:6" x14ac:dyDescent="0.25">
      <c r="B24" s="12" t="s">
        <v>134</v>
      </c>
      <c r="C24" s="12" t="s">
        <v>83</v>
      </c>
      <c r="D24" s="12" t="s">
        <v>135</v>
      </c>
      <c r="F24" s="12" t="s">
        <v>45</v>
      </c>
    </row>
    <row r="25" spans="2:6" ht="39" x14ac:dyDescent="0.25">
      <c r="B25" s="12" t="s">
        <v>238</v>
      </c>
      <c r="C25" s="12" t="s">
        <v>15</v>
      </c>
      <c r="D25" s="12" t="s">
        <v>136</v>
      </c>
      <c r="E25" s="13" t="s">
        <v>137</v>
      </c>
      <c r="F25" s="12" t="s">
        <v>45</v>
      </c>
    </row>
    <row r="26" spans="2:6" x14ac:dyDescent="0.25">
      <c r="B26" s="12" t="s">
        <v>138</v>
      </c>
      <c r="C26" s="12" t="s">
        <v>139</v>
      </c>
      <c r="D26" s="12" t="s">
        <v>140</v>
      </c>
    </row>
    <row r="27" spans="2:6" x14ac:dyDescent="0.25">
      <c r="B27" s="12" t="s">
        <v>141</v>
      </c>
      <c r="C27" s="12" t="s">
        <v>139</v>
      </c>
      <c r="D27" s="12" t="s">
        <v>142</v>
      </c>
    </row>
    <row r="28" spans="2:6" x14ac:dyDescent="0.25">
      <c r="B28" s="12" t="s">
        <v>214</v>
      </c>
      <c r="C28" s="12" t="s">
        <v>42</v>
      </c>
      <c r="D28" s="12" t="s">
        <v>217</v>
      </c>
      <c r="F28" s="12" t="s">
        <v>11</v>
      </c>
    </row>
    <row r="29" spans="2:6" x14ac:dyDescent="0.25">
      <c r="B29" s="12" t="s">
        <v>215</v>
      </c>
      <c r="C29" s="12" t="s">
        <v>216</v>
      </c>
      <c r="D29" s="12" t="s">
        <v>218</v>
      </c>
      <c r="F29" s="12" t="s">
        <v>11</v>
      </c>
    </row>
    <row r="30" spans="2:6" x14ac:dyDescent="0.25">
      <c r="B30" s="12" t="s">
        <v>219</v>
      </c>
      <c r="C30" s="12" t="s">
        <v>139</v>
      </c>
      <c r="D30" s="12" t="s">
        <v>220</v>
      </c>
      <c r="F30" s="12" t="s">
        <v>45</v>
      </c>
    </row>
    <row r="31" spans="2:6" x14ac:dyDescent="0.25">
      <c r="B31" s="12" t="s">
        <v>223</v>
      </c>
      <c r="C31" s="12" t="s">
        <v>221</v>
      </c>
      <c r="D31" s="12" t="s">
        <v>224</v>
      </c>
      <c r="F31" s="12" t="s">
        <v>45</v>
      </c>
    </row>
    <row r="32" spans="2:6" ht="39" x14ac:dyDescent="0.25">
      <c r="B32" s="12" t="s">
        <v>226</v>
      </c>
      <c r="C32" s="12" t="s">
        <v>42</v>
      </c>
      <c r="D32" s="12" t="s">
        <v>228</v>
      </c>
      <c r="E32" s="13" t="s">
        <v>227</v>
      </c>
      <c r="F32" s="12" t="s">
        <v>11</v>
      </c>
    </row>
    <row r="33" spans="2:6" x14ac:dyDescent="0.25">
      <c r="B33" s="12" t="s">
        <v>229</v>
      </c>
      <c r="C33" s="12" t="s">
        <v>15</v>
      </c>
      <c r="D33" s="12" t="s">
        <v>230</v>
      </c>
      <c r="E33" s="12" t="s">
        <v>231</v>
      </c>
      <c r="F33" s="12" t="s">
        <v>45</v>
      </c>
    </row>
    <row r="34" spans="2:6" x14ac:dyDescent="0.25">
      <c r="B34" s="12" t="s">
        <v>232</v>
      </c>
      <c r="C34" s="12" t="s">
        <v>233</v>
      </c>
      <c r="D34" s="12" t="s">
        <v>234</v>
      </c>
      <c r="E34" s="12" t="s">
        <v>235</v>
      </c>
      <c r="F34" s="12" t="s">
        <v>11</v>
      </c>
    </row>
    <row r="35" spans="2:6" ht="58.5" x14ac:dyDescent="0.25">
      <c r="B35" s="12" t="s">
        <v>240</v>
      </c>
      <c r="C35" s="12" t="s">
        <v>42</v>
      </c>
      <c r="D35" s="12" t="s">
        <v>239</v>
      </c>
      <c r="E35" s="13" t="s">
        <v>241</v>
      </c>
    </row>
    <row r="36" spans="2:6" x14ac:dyDescent="0.25">
      <c r="B36" s="12" t="s">
        <v>243</v>
      </c>
      <c r="C36" s="12" t="s">
        <v>15</v>
      </c>
      <c r="D36" s="12" t="s">
        <v>242</v>
      </c>
      <c r="E36" s="12" t="s">
        <v>244</v>
      </c>
      <c r="F36" s="12" t="s">
        <v>11</v>
      </c>
    </row>
    <row r="37" spans="2:6" ht="78" x14ac:dyDescent="0.25">
      <c r="B37" s="12" t="s">
        <v>246</v>
      </c>
      <c r="C37" s="12" t="s">
        <v>139</v>
      </c>
      <c r="D37" s="12" t="s">
        <v>245</v>
      </c>
      <c r="E37" s="13" t="s">
        <v>247</v>
      </c>
      <c r="F37" s="12" t="s">
        <v>11</v>
      </c>
    </row>
    <row r="38" spans="2:6" x14ac:dyDescent="0.25">
      <c r="B38" s="12" t="s">
        <v>248</v>
      </c>
      <c r="C38" s="12" t="s">
        <v>15</v>
      </c>
      <c r="D38" s="12" t="s">
        <v>249</v>
      </c>
      <c r="E38" s="12" t="s">
        <v>250</v>
      </c>
    </row>
    <row r="39" spans="2:6" x14ac:dyDescent="0.25">
      <c r="B39" s="12" t="s">
        <v>318</v>
      </c>
      <c r="C39" s="12" t="s">
        <v>15</v>
      </c>
      <c r="D39" s="12" t="s">
        <v>319</v>
      </c>
      <c r="E39" s="12" t="s">
        <v>320</v>
      </c>
      <c r="F39" s="12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X98"/>
  <sheetViews>
    <sheetView showGridLines="0"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34.1523437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15" width="1.765625" bestFit="1" customWidth="1"/>
    <col min="16" max="16" width="3.15234375" bestFit="1" customWidth="1"/>
    <col min="17" max="17" width="5.15234375" bestFit="1" customWidth="1"/>
    <col min="18" max="18" width="4.3046875" bestFit="1" customWidth="1"/>
    <col min="19" max="19" width="4.15234375" bestFit="1" customWidth="1"/>
    <col min="20" max="20" width="1.765625" bestFit="1" customWidth="1"/>
    <col min="21" max="21" width="1.765625" customWidth="1"/>
    <col min="22" max="22" width="1.765625" bestFit="1" customWidth="1"/>
    <col min="24" max="24" width="26.3828125" bestFit="1" customWidth="1"/>
    <col min="26" max="26" width="23.15234375" bestFit="1" customWidth="1"/>
  </cols>
  <sheetData>
    <row r="4" spans="2:24" x14ac:dyDescent="0.25">
      <c r="B4" s="18" t="s">
        <v>103</v>
      </c>
      <c r="D4" s="18" t="s">
        <v>104</v>
      </c>
    </row>
    <row r="5" spans="2:24" ht="21" thickBot="1" x14ac:dyDescent="0.35">
      <c r="B5" s="1" t="s">
        <v>74</v>
      </c>
      <c r="C5" s="1"/>
      <c r="D5" s="1" t="s">
        <v>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4" ht="20.25" thickTop="1" x14ac:dyDescent="0.25">
      <c r="B6">
        <f>COUNTA(_xlfn.ANCHORARRAY(B8))</f>
        <v>83</v>
      </c>
      <c r="C6" s="7"/>
      <c r="D6">
        <f>COUNTA(_xlfn.ANCHORARRAY(D8))</f>
        <v>31</v>
      </c>
    </row>
    <row r="7" spans="2:24" ht="20.25" thickBot="1" x14ac:dyDescent="0.3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77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  <c r="X7" s="6" t="s">
        <v>317</v>
      </c>
    </row>
    <row r="8" spans="2:24" ht="20.25" thickTop="1" x14ac:dyDescent="0.25">
      <c r="B8" t="str" cm="1">
        <f t="array" ref="B8:B90">TRANSPOSE(ListLambdas())</f>
        <v>_distFrom</v>
      </c>
      <c r="D8" t="str" cm="1">
        <f t="array" ref="D8:D38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  <c r="X8" t="str" cm="1">
        <f t="array" ref="X8:X59">_xlfn._xlws.FILTER(_xlfn.ANCHORARRAY(B8),NOT(IsInList_byErikOehm(_xlfn.ANCHORARRAY(B8),_xlfn.ANCHORARRAY(D8))))</f>
        <v>_distFrom</v>
      </c>
    </row>
    <row r="9" spans="2:24" x14ac:dyDescent="0.25">
      <c r="B9" t="str">
        <v>A2C</v>
      </c>
      <c r="D9" t="str">
        <v>EXTRACTLETTERS_byHarryGross</v>
      </c>
      <c r="E9" t="s">
        <v>19</v>
      </c>
      <c r="X9" t="str">
        <v>A2C</v>
      </c>
    </row>
    <row r="10" spans="2:24" ht="20.25" x14ac:dyDescent="0.3">
      <c r="B10" t="str">
        <v>A2R</v>
      </c>
      <c r="D10" s="26" t="str">
        <v>EXTRACTNUMBERS_byHarryGross</v>
      </c>
      <c r="H10" t="str" cm="1">
        <f t="array" ref="H10:I10">EXTRACTNUMBERS_byHarryGross(E9)</f>
        <v>45</v>
      </c>
      <c r="I10" t="str">
        <v>2</v>
      </c>
      <c r="X10" t="str">
        <v>A2R</v>
      </c>
    </row>
    <row r="11" spans="2:24" x14ac:dyDescent="0.25">
      <c r="B11" t="str">
        <v>ADDRESSES_byDiarmuidEarly</v>
      </c>
      <c r="D11" t="str">
        <v>ADDRESSES_byDiarmuidEarly</v>
      </c>
      <c r="E11" t="s">
        <v>39</v>
      </c>
      <c r="F11" t="s">
        <v>40</v>
      </c>
      <c r="H11" t="str" cm="1">
        <f t="array" ref="H11:I11">ADDRESSES_byDiarmuidEarly(E11:F11)</f>
        <v>E11</v>
      </c>
      <c r="I11" t="str">
        <v>F11</v>
      </c>
      <c r="X11" t="str">
        <v>AMATCH</v>
      </c>
    </row>
    <row r="12" spans="2:24" ht="20.25" x14ac:dyDescent="0.3">
      <c r="B12" t="str">
        <v>AMATCH</v>
      </c>
      <c r="D12" s="26" t="str">
        <v>GRIDTOCOL_byLiannaGerrish</v>
      </c>
      <c r="E12" t="s">
        <v>37</v>
      </c>
      <c r="F12" t="s">
        <v>38</v>
      </c>
      <c r="H12" t="str" cm="1">
        <f t="array" aca="1" ref="H12:L14" ca="1">GRIDTOCOL_byLiannaGerrish(E12:F12,1)</f>
        <v>Items</v>
      </c>
      <c r="I12" t="str">
        <f ca="1"/>
        <v>Row #</v>
      </c>
      <c r="J12" t="str">
        <f ca="1"/>
        <v>Column #</v>
      </c>
      <c r="K12" t="str">
        <f ca="1"/>
        <v>Address</v>
      </c>
      <c r="L12" t="str">
        <f ca="1"/>
        <v>RCRef</v>
      </c>
      <c r="X12" t="str">
        <v>AMATCHADD</v>
      </c>
    </row>
    <row r="13" spans="2:24" x14ac:dyDescent="0.25">
      <c r="B13" t="str">
        <v>AMATCHADD</v>
      </c>
      <c r="D13" t="str">
        <v>CaseInputs</v>
      </c>
      <c r="G13" s="18" t="s">
        <v>76</v>
      </c>
      <c r="H13" t="str">
        <f ca="1"/>
        <v>A</v>
      </c>
      <c r="I13">
        <f ca="1"/>
        <v>12</v>
      </c>
      <c r="J13">
        <f ca="1"/>
        <v>5</v>
      </c>
      <c r="K13" t="str">
        <f ca="1"/>
        <v>E12</v>
      </c>
      <c r="L13">
        <f ca="1"/>
        <v>12001005</v>
      </c>
      <c r="X13" t="str">
        <v>APPENDCOLS</v>
      </c>
    </row>
    <row r="14" spans="2:24" x14ac:dyDescent="0.25">
      <c r="B14" t="str">
        <v>APPENDCOLS</v>
      </c>
      <c r="D14" t="str">
        <v>LkpAdd</v>
      </c>
      <c r="E14" t="str" cm="1">
        <f t="array" aca="1" ref="E14" ca="1">LkpAdd(F12,H8:V14)</f>
        <v>H14</v>
      </c>
      <c r="H14" t="str">
        <f ca="1"/>
        <v>B</v>
      </c>
      <c r="I14">
        <f ca="1"/>
        <v>12</v>
      </c>
      <c r="J14">
        <f ca="1"/>
        <v>6</v>
      </c>
      <c r="K14" t="str">
        <f ca="1"/>
        <v>F12</v>
      </c>
      <c r="L14">
        <f ca="1"/>
        <v>12001006</v>
      </c>
      <c r="X14" t="str">
        <v>APPENDROWS</v>
      </c>
    </row>
    <row r="15" spans="2:24" ht="20.25" x14ac:dyDescent="0.3">
      <c r="B15" t="str">
        <v>APPENDROWS</v>
      </c>
      <c r="D15" s="26" t="str">
        <v>LkpRC</v>
      </c>
      <c r="E15" cm="1">
        <f t="array" aca="1" ref="E15:F16" ca="1">LkpRC(12,H8:V14)</f>
        <v>13</v>
      </c>
      <c r="F15">
        <f ca="1"/>
        <v>9</v>
      </c>
      <c r="X15" t="str">
        <v>ARROWSHIFT</v>
      </c>
    </row>
    <row r="16" spans="2:24" x14ac:dyDescent="0.25">
      <c r="B16" t="str">
        <v>ARROWSHIFT</v>
      </c>
      <c r="D16" t="str">
        <v>IsInList_byErikOehm</v>
      </c>
      <c r="E16">
        <f ca="1"/>
        <v>14</v>
      </c>
      <c r="F16">
        <f ca="1"/>
        <v>9</v>
      </c>
      <c r="H16" t="b" cm="1">
        <f t="array" ref="H16:H98">IsInList_byErikOehm(_xlfn.ANCHORARRAY(B8),_xlfn.ANCHORARRAY(D8))</f>
        <v>0</v>
      </c>
      <c r="I16" t="str" cm="1">
        <f t="array" aca="1" ref="I16" ca="1">IFERROR(FilterArray(_xlfn.ANCHORARRAY(B8), 1,_xlfn.ANCHORARRAY( D8)),"None found")</f>
        <v>None found</v>
      </c>
      <c r="X16" t="str">
        <v>ARROWTABLE</v>
      </c>
    </row>
    <row r="17" spans="2:24" x14ac:dyDescent="0.25">
      <c r="B17" t="str">
        <v>ARROWTABLE</v>
      </c>
      <c r="D17" t="str">
        <v>FilterArray_byErikOehm</v>
      </c>
      <c r="H17" t="b">
        <v>0</v>
      </c>
      <c r="X17" t="str">
        <v>BLOCK</v>
      </c>
    </row>
    <row r="18" spans="2:24" x14ac:dyDescent="0.25">
      <c r="B18" t="str">
        <v>BiRow_byPeterBartholomew</v>
      </c>
      <c r="D18" t="str">
        <v>Letters</v>
      </c>
      <c r="E18">
        <v>1</v>
      </c>
      <c r="G18" s="18" t="s">
        <v>124</v>
      </c>
      <c r="H18" t="b">
        <v>0</v>
      </c>
      <c r="O18" t="str" cm="1">
        <f t="array" ref="O18:O43">Letters(E18)</f>
        <v>A</v>
      </c>
      <c r="X18" t="str">
        <v>CR2A</v>
      </c>
    </row>
    <row r="19" spans="2:24" x14ac:dyDescent="0.25">
      <c r="B19" t="str">
        <v>BLOCK</v>
      </c>
      <c r="D19" t="str">
        <v>CountChar_byLiannaGerrish</v>
      </c>
      <c r="H19" t="b">
        <v>1</v>
      </c>
      <c r="I19" cm="1">
        <f t="array" ref="I19">CountChar_byLiannaGerrish(D10,"S")</f>
        <v>1</v>
      </c>
      <c r="O19" t="str">
        <v>B</v>
      </c>
      <c r="X19" t="str">
        <v>DATEHEADERS</v>
      </c>
    </row>
    <row r="20" spans="2:24" x14ac:dyDescent="0.25">
      <c r="B20" t="str">
        <v>CaseInputs</v>
      </c>
      <c r="D20" t="str">
        <v>XMOD_byJaqKennedy</v>
      </c>
      <c r="E20">
        <f>CODE(O19)-(CODE(O18)-1)+47</f>
        <v>49</v>
      </c>
      <c r="F20">
        <v>26</v>
      </c>
      <c r="H20" t="b">
        <v>0</v>
      </c>
      <c r="I20" cm="1">
        <f t="array" ref="I20">XMOD_byJaqKennedy(E20,F20)</f>
        <v>23</v>
      </c>
      <c r="J20" t="str">
        <f>CHAR(I20+CODE(O18)-1)</f>
        <v>W</v>
      </c>
      <c r="O20" t="str">
        <v>C</v>
      </c>
      <c r="X20" t="str">
        <v>DAYSINPERIOD</v>
      </c>
    </row>
    <row r="21" spans="2:24" x14ac:dyDescent="0.25">
      <c r="B21" t="str">
        <v>CellsAround_byBendeLeon</v>
      </c>
      <c r="D21" t="str">
        <v>RightAlignedArray_byJaqKennedy</v>
      </c>
      <c r="H21" t="b">
        <v>0</v>
      </c>
      <c r="O21" t="str">
        <v>D</v>
      </c>
      <c r="X21" t="str">
        <v>DICE</v>
      </c>
    </row>
    <row r="22" spans="2:24" x14ac:dyDescent="0.25">
      <c r="B22" t="str">
        <v>COL</v>
      </c>
      <c r="D22" t="str">
        <v>LkpRCByRow</v>
      </c>
      <c r="E22" cm="1">
        <f t="array" aca="1" ref="E22:F22" ca="1">LkpRCByRow(O18:O18, $H$8:$V$14)</f>
        <v>8</v>
      </c>
      <c r="F22">
        <f ca="1"/>
        <v>9</v>
      </c>
      <c r="H22" t="b">
        <v>0</v>
      </c>
      <c r="O22" t="str">
        <v>E</v>
      </c>
      <c r="X22" t="str">
        <v>DIJKSTRA</v>
      </c>
    </row>
    <row r="23" spans="2:24" x14ac:dyDescent="0.25">
      <c r="B23" t="str">
        <v>COLROW</v>
      </c>
      <c r="D23" t="str">
        <v>IFBLANK</v>
      </c>
      <c r="H23" t="b">
        <v>0</v>
      </c>
      <c r="O23" t="str">
        <v>F</v>
      </c>
      <c r="X23" t="str">
        <v>DistFromCellArr</v>
      </c>
    </row>
    <row r="24" spans="2:24" x14ac:dyDescent="0.25">
      <c r="B24" t="str">
        <v>CountChar_byLiannaGerrish</v>
      </c>
      <c r="D24" t="str">
        <v>TDay_byJaqKennedy</v>
      </c>
      <c r="H24" t="b">
        <v>0</v>
      </c>
      <c r="O24" t="str">
        <v>G</v>
      </c>
      <c r="X24" t="str">
        <v>DROPCOL</v>
      </c>
    </row>
    <row r="25" spans="2:24" ht="20.25" x14ac:dyDescent="0.3">
      <c r="B25" t="str">
        <v>CR2A</v>
      </c>
      <c r="D25" s="26" t="str">
        <v>XLOOKUP2D_byBendeLeon</v>
      </c>
      <c r="H25" t="b">
        <v>0</v>
      </c>
      <c r="I25" t="str" cm="1">
        <f t="array" ref="I25">XLOOKUP2D_byBendeLeon(H8:V14,"E11","a")</f>
        <v>F11</v>
      </c>
      <c r="J25" t="str" cm="1">
        <f t="array" aca="1" ref="J25" ca="1">XLOOKUP2D_byBendeLeon(H8:V14,"Items","y")</f>
        <v>RCRef</v>
      </c>
      <c r="O25" t="str">
        <v>H</v>
      </c>
      <c r="X25" t="str">
        <v>GETDIST</v>
      </c>
    </row>
    <row r="26" spans="2:24" x14ac:dyDescent="0.25">
      <c r="B26" t="str">
        <v>DATEHEADERS</v>
      </c>
      <c r="D26" t="str">
        <v>LetterShift_byBendeLeon</v>
      </c>
      <c r="H26" t="b">
        <v>1</v>
      </c>
      <c r="O26" t="str">
        <v>I</v>
      </c>
      <c r="X26" t="str">
        <v>GETDIST_weighted</v>
      </c>
    </row>
    <row r="27" spans="2:24" x14ac:dyDescent="0.25">
      <c r="B27" t="str">
        <v>DAYSINPERIOD</v>
      </c>
      <c r="D27" t="str">
        <v>COLROW</v>
      </c>
      <c r="E27" t="str" cm="1">
        <f t="array" aca="1" ref="E27:F27" ca="1">COLROW(E14)</f>
        <v>8</v>
      </c>
      <c r="F27" t="str">
        <f ca="1"/>
        <v>14</v>
      </c>
      <c r="H27" t="b">
        <v>0</v>
      </c>
      <c r="O27" t="str">
        <v>J</v>
      </c>
      <c r="X27" t="str">
        <v>GRIDTOCOL_ALL</v>
      </c>
    </row>
    <row r="28" spans="2:24" ht="20.25" x14ac:dyDescent="0.3">
      <c r="B28" t="str">
        <v>DICE</v>
      </c>
      <c r="D28" s="26" t="str">
        <v>ROWCOL</v>
      </c>
      <c r="E28" t="str" cm="1">
        <f t="array" aca="1" ref="E28:F28" ca="1">ROWCOL(E14)</f>
        <v>14</v>
      </c>
      <c r="F28" t="str">
        <f ca="1"/>
        <v>8</v>
      </c>
      <c r="H28" t="b">
        <v>1</v>
      </c>
      <c r="O28" t="str">
        <v>K</v>
      </c>
      <c r="X28" t="str">
        <v>I2M</v>
      </c>
    </row>
    <row r="29" spans="2:24" x14ac:dyDescent="0.25">
      <c r="B29" t="str">
        <v>DiffByRow_byJaqKennedy</v>
      </c>
      <c r="D29" t="str">
        <v>ZigZag_byBendeLeon</v>
      </c>
      <c r="H29" t="b">
        <v>1</v>
      </c>
      <c r="O29" t="str">
        <v>L</v>
      </c>
      <c r="X29" t="str">
        <v>IFOMITTED</v>
      </c>
    </row>
    <row r="30" spans="2:24" x14ac:dyDescent="0.25">
      <c r="B30" t="str">
        <v>DIJKSTRA</v>
      </c>
      <c r="D30" t="str">
        <v>BiRow_byPeterBartholomew</v>
      </c>
      <c r="H30" t="b">
        <v>1</v>
      </c>
      <c r="O30" t="str">
        <v>M</v>
      </c>
      <c r="X30" t="str">
        <v>IndMatch</v>
      </c>
    </row>
    <row r="31" spans="2:24" x14ac:dyDescent="0.25">
      <c r="B31" t="str">
        <v>DistFromCellArr</v>
      </c>
      <c r="D31" t="str">
        <v>DROPCOL_byLiannaGerrish</v>
      </c>
      <c r="H31" t="b">
        <v>1</v>
      </c>
      <c r="O31" t="str">
        <v>N</v>
      </c>
      <c r="X31" t="str">
        <v>ISINRANGE</v>
      </c>
    </row>
    <row r="32" spans="2:24" x14ac:dyDescent="0.25">
      <c r="B32" t="str">
        <v>DROPCOL</v>
      </c>
      <c r="D32" t="str">
        <v>DiffByRow_byJaqKennedy</v>
      </c>
      <c r="H32" t="b">
        <v>1</v>
      </c>
      <c r="O32" t="str">
        <v>O</v>
      </c>
      <c r="X32" t="str">
        <v>ISNONZERO</v>
      </c>
    </row>
    <row r="33" spans="2:24" x14ac:dyDescent="0.25">
      <c r="B33" t="str">
        <v>DROPCOL_byLiannaGerrish</v>
      </c>
      <c r="D33" t="str">
        <v>TEXTREVERSE</v>
      </c>
      <c r="H33" t="b">
        <v>0</v>
      </c>
      <c r="O33" t="str">
        <v>P</v>
      </c>
      <c r="X33" t="str">
        <v>LISTOFFSET</v>
      </c>
    </row>
    <row r="34" spans="2:24" x14ac:dyDescent="0.25">
      <c r="B34" t="str">
        <v>EXTRACTCHAR_byHarryGross</v>
      </c>
      <c r="D34" t="str">
        <v>EZINDIRECT_byLiannaGerrish</v>
      </c>
      <c r="H34" t="b">
        <v>0</v>
      </c>
      <c r="O34" t="str">
        <v>Q</v>
      </c>
      <c r="X34" t="str">
        <v>LkpSum</v>
      </c>
    </row>
    <row r="35" spans="2:24" x14ac:dyDescent="0.25">
      <c r="B35" t="str">
        <v>EXTRACTLETTERS_byHarryGross</v>
      </c>
      <c r="D35" t="str">
        <v>MinMax_byJaqKennedy</v>
      </c>
      <c r="H35" t="b">
        <v>0</v>
      </c>
      <c r="O35" t="str">
        <v>R</v>
      </c>
      <c r="X35" t="str">
        <v>MAXLOOKUP</v>
      </c>
    </row>
    <row r="36" spans="2:24" x14ac:dyDescent="0.25">
      <c r="B36" t="str">
        <v>EXTRACTNUMBERS_byHarryGross</v>
      </c>
      <c r="D36" t="str">
        <v>CellsAround_byBendeLeon</v>
      </c>
      <c r="H36" t="b">
        <v>0</v>
      </c>
      <c r="O36" t="str">
        <v>S</v>
      </c>
      <c r="X36" t="str">
        <v>MEGAREPLACE</v>
      </c>
    </row>
    <row r="37" spans="2:24" x14ac:dyDescent="0.25">
      <c r="B37" t="str">
        <v>EZINDIRECT_byLiannaGerrish</v>
      </c>
      <c r="D37" t="str">
        <v>COL</v>
      </c>
      <c r="H37" t="b">
        <v>1</v>
      </c>
      <c r="O37" t="str">
        <v>T</v>
      </c>
      <c r="X37" t="str">
        <v>MODESUPER</v>
      </c>
    </row>
    <row r="38" spans="2:24" x14ac:dyDescent="0.25">
      <c r="B38" t="str">
        <v>FilterArray_byErikOehm</v>
      </c>
      <c r="D38" t="str">
        <v>INTSECT</v>
      </c>
      <c r="H38" t="b">
        <v>0</v>
      </c>
      <c r="O38" t="str">
        <v>U</v>
      </c>
      <c r="X38" t="str">
        <v>MODTEXT</v>
      </c>
    </row>
    <row r="39" spans="2:24" x14ac:dyDescent="0.25">
      <c r="B39" t="str">
        <v>GETDIST</v>
      </c>
      <c r="H39" t="b">
        <v>0</v>
      </c>
      <c r="O39" t="str">
        <v>V</v>
      </c>
      <c r="X39" t="str">
        <v>NTHINSTANCE</v>
      </c>
    </row>
    <row r="40" spans="2:24" x14ac:dyDescent="0.25">
      <c r="B40" t="str">
        <v>GETDIST_weighted</v>
      </c>
      <c r="H40" t="b">
        <v>0</v>
      </c>
      <c r="O40" t="str">
        <v>W</v>
      </c>
      <c r="X40" t="str">
        <v>ONSAMEDIAGONAL</v>
      </c>
    </row>
    <row r="41" spans="2:24" x14ac:dyDescent="0.25">
      <c r="B41" t="str">
        <v>GRIDTOCOL_ALL</v>
      </c>
      <c r="H41" t="b">
        <v>1</v>
      </c>
      <c r="O41" t="str">
        <v>X</v>
      </c>
      <c r="X41" t="str">
        <v>Permutations</v>
      </c>
    </row>
    <row r="42" spans="2:24" x14ac:dyDescent="0.25">
      <c r="B42" t="str">
        <v>GRIDTOCOL_byLiannaGerrish</v>
      </c>
      <c r="H42" t="b">
        <v>1</v>
      </c>
      <c r="O42" t="str">
        <v>Y</v>
      </c>
      <c r="X42" t="str">
        <v>PRODUCTIF</v>
      </c>
    </row>
    <row r="43" spans="2:24" x14ac:dyDescent="0.25">
      <c r="B43" t="str">
        <v>I2M</v>
      </c>
      <c r="H43" t="b">
        <v>1</v>
      </c>
      <c r="O43" t="str">
        <v>Z</v>
      </c>
      <c r="X43" t="str">
        <v>PYTHAG</v>
      </c>
    </row>
    <row r="44" spans="2:24" x14ac:dyDescent="0.25">
      <c r="B44" t="str">
        <v>IFBLANK</v>
      </c>
      <c r="H44" t="b">
        <v>1</v>
      </c>
      <c r="X44" t="str">
        <v>PYTHAGDIST</v>
      </c>
    </row>
    <row r="45" spans="2:24" x14ac:dyDescent="0.25">
      <c r="B45" t="str">
        <v>IFOMITTED</v>
      </c>
      <c r="H45" t="b">
        <v>1</v>
      </c>
      <c r="X45" t="str">
        <v>RATEANNUALTOMONTHLY</v>
      </c>
    </row>
    <row r="46" spans="2:24" x14ac:dyDescent="0.25">
      <c r="B46" t="str">
        <v>IndMatch</v>
      </c>
      <c r="H46" t="b">
        <v>1</v>
      </c>
      <c r="X46" t="str">
        <v>RATEMONTHLYTOANNUAL</v>
      </c>
    </row>
    <row r="47" spans="2:24" x14ac:dyDescent="0.25">
      <c r="B47" t="str">
        <v>INTSECT</v>
      </c>
      <c r="H47" t="b">
        <v>0</v>
      </c>
      <c r="X47" t="str">
        <v>REVERSE_H</v>
      </c>
    </row>
    <row r="48" spans="2:24" x14ac:dyDescent="0.25">
      <c r="B48" t="str">
        <v>IsInList_byErikOehm</v>
      </c>
      <c r="H48" t="b">
        <v>0</v>
      </c>
      <c r="X48" t="str">
        <v>REVERSE_V</v>
      </c>
    </row>
    <row r="49" spans="2:24" x14ac:dyDescent="0.25">
      <c r="B49" t="str">
        <v>ISINRANGE</v>
      </c>
      <c r="H49" t="b">
        <v>0</v>
      </c>
      <c r="X49" t="str">
        <v>ROLL</v>
      </c>
    </row>
    <row r="50" spans="2:24" x14ac:dyDescent="0.25">
      <c r="B50" t="str">
        <v>ISNONZERO</v>
      </c>
      <c r="H50" t="b">
        <v>1</v>
      </c>
      <c r="X50" t="str">
        <v>ROLL_SINGLE</v>
      </c>
    </row>
    <row r="51" spans="2:24" x14ac:dyDescent="0.25">
      <c r="B51" t="str">
        <v>Letters</v>
      </c>
      <c r="H51" t="b">
        <v>0</v>
      </c>
      <c r="X51" t="str">
        <v>SET</v>
      </c>
    </row>
    <row r="52" spans="2:24" x14ac:dyDescent="0.25">
      <c r="B52" t="str">
        <v>LetterShift_byBendeLeon</v>
      </c>
      <c r="H52" t="b">
        <v>1</v>
      </c>
      <c r="X52" t="str">
        <v>SHIFT</v>
      </c>
    </row>
    <row r="53" spans="2:24" x14ac:dyDescent="0.25">
      <c r="B53" t="str">
        <v>LISTOFFSET</v>
      </c>
      <c r="H53" t="b">
        <v>0</v>
      </c>
      <c r="X53" t="str">
        <v>SHIFT_OOB</v>
      </c>
    </row>
    <row r="54" spans="2:24" x14ac:dyDescent="0.25">
      <c r="B54" t="str">
        <v>LkpAdd</v>
      </c>
      <c r="H54" t="b">
        <v>0</v>
      </c>
      <c r="X54" t="str">
        <v>SumDist</v>
      </c>
    </row>
    <row r="55" spans="2:24" x14ac:dyDescent="0.25">
      <c r="B55" t="str">
        <v>LkpRC</v>
      </c>
      <c r="H55" t="b">
        <v>1</v>
      </c>
      <c r="X55" t="str">
        <v>SumDistFromStart</v>
      </c>
    </row>
    <row r="56" spans="2:24" x14ac:dyDescent="0.25">
      <c r="B56" t="str">
        <v>LkpRCByRow</v>
      </c>
      <c r="H56" t="b">
        <v>1</v>
      </c>
      <c r="X56" t="str">
        <v>SWAP</v>
      </c>
    </row>
    <row r="57" spans="2:24" x14ac:dyDescent="0.25">
      <c r="B57" t="str">
        <v>LkpSum</v>
      </c>
      <c r="H57" t="b">
        <v>0</v>
      </c>
      <c r="X57" t="str">
        <v>TEXTBETWEEN</v>
      </c>
    </row>
    <row r="58" spans="2:24" x14ac:dyDescent="0.25">
      <c r="B58" t="str">
        <v>MAXLOOKUP</v>
      </c>
      <c r="H58" t="b">
        <v>0</v>
      </c>
      <c r="X58" t="str">
        <v>Thunk</v>
      </c>
    </row>
    <row r="59" spans="2:24" x14ac:dyDescent="0.25">
      <c r="B59" t="str">
        <v>MEGAREPLACE</v>
      </c>
      <c r="H59" t="b">
        <v>1</v>
      </c>
      <c r="X59" t="str">
        <v>YOUAREHERE</v>
      </c>
    </row>
    <row r="60" spans="2:24" x14ac:dyDescent="0.25">
      <c r="B60" t="str">
        <v>MinMax_byJaqKennedy</v>
      </c>
      <c r="H60" t="b">
        <v>1</v>
      </c>
    </row>
    <row r="61" spans="2:24" x14ac:dyDescent="0.25">
      <c r="B61" t="str">
        <v>MODESUPER</v>
      </c>
      <c r="H61" t="b">
        <v>0</v>
      </c>
    </row>
    <row r="62" spans="2:24" x14ac:dyDescent="0.25">
      <c r="B62" t="str">
        <v>MODTEXT</v>
      </c>
      <c r="H62" t="b">
        <v>1</v>
      </c>
    </row>
    <row r="63" spans="2:24" x14ac:dyDescent="0.25">
      <c r="B63" t="str">
        <v>NTHINSTANCE</v>
      </c>
      <c r="H63" t="b">
        <v>1</v>
      </c>
    </row>
    <row r="64" spans="2:24" x14ac:dyDescent="0.25">
      <c r="B64" t="str">
        <v>ONSAMEDIAGONAL</v>
      </c>
      <c r="H64" t="b">
        <v>1</v>
      </c>
    </row>
    <row r="65" spans="2:8" x14ac:dyDescent="0.25">
      <c r="B65" t="str">
        <v>Permutations</v>
      </c>
      <c r="H65" t="b">
        <v>0</v>
      </c>
    </row>
    <row r="66" spans="2:8" x14ac:dyDescent="0.25">
      <c r="B66" t="str">
        <v>PRODUCTIF</v>
      </c>
      <c r="H66" t="b">
        <v>0</v>
      </c>
    </row>
    <row r="67" spans="2:8" x14ac:dyDescent="0.25">
      <c r="B67" t="str">
        <v>PYTHAG</v>
      </c>
      <c r="H67" t="b">
        <v>0</v>
      </c>
    </row>
    <row r="68" spans="2:8" x14ac:dyDescent="0.25">
      <c r="B68" t="str">
        <v>PYTHAGDIST</v>
      </c>
      <c r="H68" t="b">
        <v>1</v>
      </c>
    </row>
    <row r="69" spans="2:8" x14ac:dyDescent="0.25">
      <c r="B69" t="str">
        <v>RATEANNUALTOMONTHLY</v>
      </c>
      <c r="H69" t="b">
        <v>0</v>
      </c>
    </row>
    <row r="70" spans="2:8" x14ac:dyDescent="0.25">
      <c r="B70" t="str">
        <v>RATEMONTHLYTOANNUAL</v>
      </c>
      <c r="H70" t="b">
        <v>0</v>
      </c>
    </row>
    <row r="71" spans="2:8" x14ac:dyDescent="0.25">
      <c r="B71" t="str">
        <v>REVERSE_H</v>
      </c>
      <c r="H71" t="b">
        <v>0</v>
      </c>
    </row>
    <row r="72" spans="2:8" x14ac:dyDescent="0.25">
      <c r="B72" t="str">
        <v>REVERSE_V</v>
      </c>
      <c r="H72" t="b">
        <v>0</v>
      </c>
    </row>
    <row r="73" spans="2:8" x14ac:dyDescent="0.25">
      <c r="B73" t="str">
        <v>RightAlignedArray_byJaqKennedy</v>
      </c>
      <c r="H73" t="b">
        <v>0</v>
      </c>
    </row>
    <row r="74" spans="2:8" x14ac:dyDescent="0.25">
      <c r="B74" t="str">
        <v>ROLL</v>
      </c>
      <c r="H74" t="b">
        <v>0</v>
      </c>
    </row>
    <row r="75" spans="2:8" x14ac:dyDescent="0.25">
      <c r="B75" t="str">
        <v>ROLL_SINGLE</v>
      </c>
      <c r="H75" t="b">
        <v>0</v>
      </c>
    </row>
    <row r="76" spans="2:8" x14ac:dyDescent="0.25">
      <c r="B76" t="str">
        <v>ROWCOL</v>
      </c>
      <c r="H76" t="b">
        <v>0</v>
      </c>
    </row>
    <row r="77" spans="2:8" x14ac:dyDescent="0.25">
      <c r="B77" t="str">
        <v>SET</v>
      </c>
      <c r="H77" t="b">
        <v>0</v>
      </c>
    </row>
    <row r="78" spans="2:8" x14ac:dyDescent="0.25">
      <c r="B78" t="str">
        <v>SHIFT</v>
      </c>
      <c r="H78" t="b">
        <v>0</v>
      </c>
    </row>
    <row r="79" spans="2:8" x14ac:dyDescent="0.25">
      <c r="B79" t="str">
        <v>SHIFT_OOB</v>
      </c>
      <c r="H79" t="b">
        <v>0</v>
      </c>
    </row>
    <row r="80" spans="2:8" x14ac:dyDescent="0.25">
      <c r="B80" t="str">
        <v>SumDist</v>
      </c>
      <c r="H80" t="b">
        <v>0</v>
      </c>
    </row>
    <row r="81" spans="2:8" x14ac:dyDescent="0.25">
      <c r="B81" t="str">
        <v>SumDistFromStart</v>
      </c>
      <c r="H81" t="b">
        <v>1</v>
      </c>
    </row>
    <row r="82" spans="2:8" x14ac:dyDescent="0.25">
      <c r="B82" t="str">
        <v>SWAP</v>
      </c>
      <c r="H82" t="b">
        <v>0</v>
      </c>
    </row>
    <row r="83" spans="2:8" x14ac:dyDescent="0.25">
      <c r="B83" t="str">
        <v>TDay_byJaqKennedy</v>
      </c>
      <c r="H83" t="b">
        <v>0</v>
      </c>
    </row>
    <row r="84" spans="2:8" x14ac:dyDescent="0.25">
      <c r="B84" t="str">
        <v>TEXTBETWEEN</v>
      </c>
      <c r="H84" t="b">
        <v>1</v>
      </c>
    </row>
    <row r="85" spans="2:8" x14ac:dyDescent="0.25">
      <c r="B85" t="str">
        <v>TEXTREVERSE</v>
      </c>
      <c r="H85" t="b">
        <v>0</v>
      </c>
    </row>
    <row r="86" spans="2:8" x14ac:dyDescent="0.25">
      <c r="B86" t="str">
        <v>Thunk</v>
      </c>
      <c r="H86" t="b">
        <v>0</v>
      </c>
    </row>
    <row r="87" spans="2:8" x14ac:dyDescent="0.25">
      <c r="B87" t="str">
        <v>XLOOKUP2D_byBendeLeon</v>
      </c>
      <c r="H87" t="b">
        <v>0</v>
      </c>
    </row>
    <row r="88" spans="2:8" x14ac:dyDescent="0.25">
      <c r="B88" t="str">
        <v>XMOD_byJaqKennedy</v>
      </c>
      <c r="H88" t="b">
        <v>0</v>
      </c>
    </row>
    <row r="89" spans="2:8" x14ac:dyDescent="0.25">
      <c r="B89" t="str">
        <v>YOUAREHERE</v>
      </c>
      <c r="H89" t="b">
        <v>0</v>
      </c>
    </row>
    <row r="90" spans="2:8" x14ac:dyDescent="0.25">
      <c r="B90" t="str">
        <v>ZigZag_byBendeLeon</v>
      </c>
      <c r="H90" t="b">
        <v>0</v>
      </c>
    </row>
    <row r="91" spans="2:8" x14ac:dyDescent="0.25">
      <c r="H91" t="b">
        <v>1</v>
      </c>
    </row>
    <row r="92" spans="2:8" x14ac:dyDescent="0.25">
      <c r="H92" t="b">
        <v>0</v>
      </c>
    </row>
    <row r="93" spans="2:8" x14ac:dyDescent="0.25">
      <c r="H93" t="b">
        <v>1</v>
      </c>
    </row>
    <row r="94" spans="2:8" x14ac:dyDescent="0.25">
      <c r="H94" t="b">
        <v>0</v>
      </c>
    </row>
    <row r="95" spans="2:8" x14ac:dyDescent="0.25">
      <c r="H95" t="b">
        <v>1</v>
      </c>
    </row>
    <row r="96" spans="2:8" x14ac:dyDescent="0.25">
      <c r="H96" t="b">
        <v>1</v>
      </c>
    </row>
    <row r="97" spans="8:8" x14ac:dyDescent="0.25">
      <c r="H97" t="b">
        <v>0</v>
      </c>
    </row>
    <row r="98" spans="8:8" x14ac:dyDescent="0.25">
      <c r="H98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B14" sqref="B14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765625" defaultRowHeight="18.75" x14ac:dyDescent="0.3"/>
  <cols>
    <col min="1" max="1" width="8.765625" style="21"/>
    <col min="2" max="2" width="4.765625" style="21" bestFit="1" customWidth="1"/>
    <col min="3" max="3" width="4.84375" style="21" bestFit="1" customWidth="1"/>
    <col min="4" max="4" width="6.4609375" style="21" bestFit="1" customWidth="1"/>
    <col min="5" max="5" width="22.53515625" style="21" bestFit="1" customWidth="1"/>
    <col min="6" max="6" width="20.3046875" style="21" bestFit="1" customWidth="1"/>
    <col min="7" max="7" width="8.765625" style="21" bestFit="1" customWidth="1"/>
    <col min="8" max="16384" width="8.765625" style="21"/>
  </cols>
  <sheetData>
    <row r="2" spans="2:7" x14ac:dyDescent="0.3">
      <c r="B2" s="21" t="s">
        <v>178</v>
      </c>
      <c r="C2" s="23" t="s">
        <v>211</v>
      </c>
      <c r="D2" s="21" t="s">
        <v>177</v>
      </c>
      <c r="E2" s="21" t="s">
        <v>4</v>
      </c>
      <c r="F2" s="21" t="s">
        <v>77</v>
      </c>
      <c r="G2" s="21" t="s">
        <v>176</v>
      </c>
    </row>
    <row r="3" spans="2:7" ht="56.25" x14ac:dyDescent="0.3">
      <c r="B3" s="21" t="s">
        <v>200</v>
      </c>
      <c r="C3" s="21">
        <v>5</v>
      </c>
      <c r="D3" s="21" t="s">
        <v>191</v>
      </c>
      <c r="E3" s="23" t="s">
        <v>201</v>
      </c>
      <c r="F3" s="24" t="s">
        <v>202</v>
      </c>
      <c r="G3" s="23" t="s">
        <v>0</v>
      </c>
    </row>
    <row r="4" spans="2:7" ht="56.25" x14ac:dyDescent="0.3">
      <c r="B4" s="21" t="s">
        <v>200</v>
      </c>
      <c r="C4" s="21">
        <v>5</v>
      </c>
      <c r="D4" s="21" t="s">
        <v>191</v>
      </c>
      <c r="E4" s="23" t="s">
        <v>201</v>
      </c>
      <c r="F4" s="24" t="s">
        <v>203</v>
      </c>
      <c r="G4" s="23" t="s">
        <v>0</v>
      </c>
    </row>
    <row r="5" spans="2:7" ht="37.5" x14ac:dyDescent="0.3">
      <c r="B5" s="21" t="s">
        <v>200</v>
      </c>
      <c r="C5" s="21">
        <v>5</v>
      </c>
      <c r="D5" s="21" t="s">
        <v>146</v>
      </c>
      <c r="E5" s="21" t="s">
        <v>204</v>
      </c>
      <c r="F5" s="24" t="s">
        <v>206</v>
      </c>
      <c r="G5" s="23" t="s">
        <v>205</v>
      </c>
    </row>
    <row r="6" spans="2:7" x14ac:dyDescent="0.3">
      <c r="B6" s="21" t="s">
        <v>200</v>
      </c>
      <c r="C6" s="21">
        <v>5</v>
      </c>
      <c r="D6" s="21" t="s">
        <v>146</v>
      </c>
      <c r="E6" s="21" t="s">
        <v>145</v>
      </c>
      <c r="F6" s="21" t="s">
        <v>144</v>
      </c>
      <c r="G6" s="21" t="s">
        <v>143</v>
      </c>
    </row>
    <row r="7" spans="2:7" ht="56.25" x14ac:dyDescent="0.3">
      <c r="B7" s="21" t="s">
        <v>200</v>
      </c>
      <c r="C7" s="21">
        <v>6</v>
      </c>
      <c r="D7" s="21" t="s">
        <v>191</v>
      </c>
      <c r="E7" s="23" t="s">
        <v>109</v>
      </c>
      <c r="F7" s="24" t="s">
        <v>207</v>
      </c>
      <c r="G7" s="23" t="s">
        <v>0</v>
      </c>
    </row>
    <row r="8" spans="2:7" x14ac:dyDescent="0.3">
      <c r="B8" s="21" t="s">
        <v>200</v>
      </c>
      <c r="C8" s="21">
        <v>6</v>
      </c>
      <c r="D8" s="21" t="s">
        <v>146</v>
      </c>
      <c r="E8" s="21" t="s">
        <v>167</v>
      </c>
      <c r="F8" s="21" t="s">
        <v>166</v>
      </c>
      <c r="G8" s="21" t="s">
        <v>0</v>
      </c>
    </row>
    <row r="9" spans="2:7" x14ac:dyDescent="0.3">
      <c r="B9" s="21" t="s">
        <v>200</v>
      </c>
      <c r="C9" s="21">
        <v>6</v>
      </c>
      <c r="D9" s="21" t="s">
        <v>146</v>
      </c>
      <c r="E9" s="21" t="s">
        <v>165</v>
      </c>
      <c r="F9" s="21" t="s">
        <v>164</v>
      </c>
      <c r="G9" s="21" t="s">
        <v>150</v>
      </c>
    </row>
    <row r="10" spans="2:7" ht="37.5" x14ac:dyDescent="0.3">
      <c r="B10" s="21" t="s">
        <v>200</v>
      </c>
      <c r="C10" s="21">
        <v>6</v>
      </c>
      <c r="D10" s="21" t="s">
        <v>146</v>
      </c>
      <c r="E10" s="21" t="s">
        <v>204</v>
      </c>
      <c r="F10" s="24" t="s">
        <v>206</v>
      </c>
      <c r="G10" s="23" t="s">
        <v>205</v>
      </c>
    </row>
    <row r="11" spans="2:7" x14ac:dyDescent="0.3">
      <c r="B11" s="21" t="s">
        <v>200</v>
      </c>
      <c r="C11" s="21">
        <v>6</v>
      </c>
      <c r="D11" s="21" t="s">
        <v>146</v>
      </c>
      <c r="E11" s="23" t="s">
        <v>208</v>
      </c>
      <c r="F11" s="23" t="s">
        <v>100</v>
      </c>
      <c r="G11" s="23" t="s">
        <v>150</v>
      </c>
    </row>
    <row r="12" spans="2:7" x14ac:dyDescent="0.3">
      <c r="B12" s="21" t="s">
        <v>200</v>
      </c>
      <c r="C12" s="21">
        <v>6</v>
      </c>
      <c r="D12" s="21" t="s">
        <v>146</v>
      </c>
      <c r="E12" s="23" t="s">
        <v>210</v>
      </c>
      <c r="F12" s="23" t="s">
        <v>209</v>
      </c>
      <c r="G12" s="23" t="s">
        <v>150</v>
      </c>
    </row>
    <row r="13" spans="2:7" x14ac:dyDescent="0.3">
      <c r="B13" s="21" t="s">
        <v>200</v>
      </c>
      <c r="C13" s="21">
        <v>6</v>
      </c>
      <c r="D13" s="21" t="s">
        <v>146</v>
      </c>
      <c r="E13" s="21" t="s">
        <v>145</v>
      </c>
      <c r="F13" s="21" t="s">
        <v>144</v>
      </c>
      <c r="G13" s="21" t="s">
        <v>143</v>
      </c>
    </row>
    <row r="14" spans="2:7" x14ac:dyDescent="0.3">
      <c r="B14" s="21" t="s">
        <v>179</v>
      </c>
      <c r="C14" s="21">
        <v>7</v>
      </c>
      <c r="D14" s="21" t="s">
        <v>146</v>
      </c>
      <c r="E14" s="21" t="s">
        <v>175</v>
      </c>
      <c r="F14" s="21" t="s">
        <v>174</v>
      </c>
      <c r="G14" s="21" t="s">
        <v>0</v>
      </c>
    </row>
    <row r="15" spans="2:7" x14ac:dyDescent="0.3">
      <c r="B15" s="21" t="s">
        <v>179</v>
      </c>
      <c r="C15" s="21">
        <v>7</v>
      </c>
      <c r="D15" s="21" t="s">
        <v>146</v>
      </c>
      <c r="E15" s="21" t="s">
        <v>173</v>
      </c>
      <c r="F15" s="21" t="s">
        <v>172</v>
      </c>
      <c r="G15" s="21" t="s">
        <v>0</v>
      </c>
    </row>
    <row r="16" spans="2:7" x14ac:dyDescent="0.3">
      <c r="B16" s="21" t="s">
        <v>179</v>
      </c>
      <c r="C16" s="21">
        <v>7</v>
      </c>
      <c r="D16" s="21" t="s">
        <v>146</v>
      </c>
      <c r="E16" s="21" t="s">
        <v>180</v>
      </c>
      <c r="F16" s="21" t="s">
        <v>85</v>
      </c>
      <c r="G16" s="21" t="s">
        <v>150</v>
      </c>
    </row>
    <row r="17" spans="2:7" x14ac:dyDescent="0.3">
      <c r="B17" s="21" t="s">
        <v>179</v>
      </c>
      <c r="C17" s="21">
        <v>7</v>
      </c>
      <c r="D17" s="21" t="s">
        <v>146</v>
      </c>
      <c r="E17" s="21" t="s">
        <v>181</v>
      </c>
      <c r="F17" s="21" t="s">
        <v>182</v>
      </c>
      <c r="G17" s="21" t="s">
        <v>0</v>
      </c>
    </row>
    <row r="18" spans="2:7" x14ac:dyDescent="0.3">
      <c r="B18" s="21" t="s">
        <v>179</v>
      </c>
      <c r="C18" s="21">
        <v>7</v>
      </c>
      <c r="D18" s="21" t="s">
        <v>146</v>
      </c>
      <c r="E18" s="21" t="s">
        <v>183</v>
      </c>
      <c r="F18" s="21" t="s">
        <v>184</v>
      </c>
      <c r="G18" s="21" t="s">
        <v>150</v>
      </c>
    </row>
    <row r="19" spans="2:7" ht="37.5" x14ac:dyDescent="0.3">
      <c r="B19" s="21" t="s">
        <v>179</v>
      </c>
      <c r="C19" s="21">
        <v>7</v>
      </c>
      <c r="D19" s="21" t="s">
        <v>146</v>
      </c>
      <c r="E19" s="21" t="s">
        <v>185</v>
      </c>
      <c r="F19" s="22" t="s">
        <v>186</v>
      </c>
      <c r="G19" s="21" t="s">
        <v>0</v>
      </c>
    </row>
    <row r="20" spans="2:7" x14ac:dyDescent="0.3">
      <c r="B20" s="21" t="s">
        <v>179</v>
      </c>
      <c r="C20" s="21">
        <v>7</v>
      </c>
      <c r="D20" s="21" t="s">
        <v>146</v>
      </c>
      <c r="E20" s="21" t="s">
        <v>165</v>
      </c>
      <c r="F20" s="21" t="s">
        <v>164</v>
      </c>
      <c r="G20" s="21" t="s">
        <v>150</v>
      </c>
    </row>
    <row r="21" spans="2:7" ht="37.5" x14ac:dyDescent="0.3">
      <c r="B21" s="21" t="s">
        <v>179</v>
      </c>
      <c r="C21" s="21">
        <v>7</v>
      </c>
      <c r="D21" s="21" t="s">
        <v>146</v>
      </c>
      <c r="E21" s="21" t="s">
        <v>187</v>
      </c>
      <c r="F21" s="22" t="s">
        <v>188</v>
      </c>
      <c r="G21" s="21" t="s">
        <v>0</v>
      </c>
    </row>
    <row r="22" spans="2:7" x14ac:dyDescent="0.3">
      <c r="B22" s="21" t="s">
        <v>179</v>
      </c>
      <c r="C22" s="21">
        <v>7</v>
      </c>
      <c r="D22" s="21" t="s">
        <v>146</v>
      </c>
      <c r="E22" s="21" t="s">
        <v>189</v>
      </c>
      <c r="F22" s="21" t="s">
        <v>190</v>
      </c>
      <c r="G22" s="21" t="s">
        <v>0</v>
      </c>
    </row>
    <row r="23" spans="2:7" ht="56.25" x14ac:dyDescent="0.3">
      <c r="B23" s="21" t="s">
        <v>179</v>
      </c>
      <c r="C23" s="21">
        <v>7</v>
      </c>
      <c r="D23" s="21" t="s">
        <v>191</v>
      </c>
      <c r="E23" s="21" t="s">
        <v>197</v>
      </c>
      <c r="F23" s="22" t="s">
        <v>193</v>
      </c>
      <c r="G23" s="21" t="s">
        <v>0</v>
      </c>
    </row>
    <row r="24" spans="2:7" x14ac:dyDescent="0.3">
      <c r="B24" s="21" t="s">
        <v>179</v>
      </c>
      <c r="C24" s="21">
        <v>7</v>
      </c>
      <c r="D24" s="21" t="s">
        <v>146</v>
      </c>
      <c r="E24" s="21" t="s">
        <v>180</v>
      </c>
      <c r="F24" s="21" t="s">
        <v>85</v>
      </c>
      <c r="G24" s="21" t="s">
        <v>150</v>
      </c>
    </row>
    <row r="25" spans="2:7" x14ac:dyDescent="0.3">
      <c r="B25" s="21" t="s">
        <v>179</v>
      </c>
      <c r="C25" s="21">
        <v>7</v>
      </c>
      <c r="D25" s="21" t="s">
        <v>146</v>
      </c>
      <c r="E25" s="21" t="s">
        <v>165</v>
      </c>
      <c r="F25" s="21" t="s">
        <v>164</v>
      </c>
      <c r="G25" s="21" t="s">
        <v>150</v>
      </c>
    </row>
    <row r="26" spans="2:7" x14ac:dyDescent="0.3">
      <c r="B26" s="21" t="s">
        <v>179</v>
      </c>
      <c r="C26" s="21">
        <v>7</v>
      </c>
      <c r="D26" s="21" t="s">
        <v>146</v>
      </c>
      <c r="E26" s="21" t="s">
        <v>181</v>
      </c>
      <c r="F26" s="21" t="s">
        <v>182</v>
      </c>
      <c r="G26" s="21" t="s">
        <v>0</v>
      </c>
    </row>
    <row r="27" spans="2:7" x14ac:dyDescent="0.3">
      <c r="B27" s="21" t="s">
        <v>179</v>
      </c>
      <c r="C27" s="21">
        <v>7</v>
      </c>
      <c r="D27" s="21" t="s">
        <v>146</v>
      </c>
      <c r="E27" s="21" t="s">
        <v>152</v>
      </c>
      <c r="F27" s="21" t="s">
        <v>151</v>
      </c>
      <c r="G27" s="21" t="s">
        <v>150</v>
      </c>
    </row>
    <row r="28" spans="2:7" x14ac:dyDescent="0.3">
      <c r="B28" s="21" t="s">
        <v>179</v>
      </c>
      <c r="C28" s="21">
        <v>7</v>
      </c>
      <c r="D28" s="21" t="s">
        <v>146</v>
      </c>
      <c r="E28" s="21" t="s">
        <v>180</v>
      </c>
      <c r="F28" s="21" t="s">
        <v>85</v>
      </c>
      <c r="G28" s="21" t="s">
        <v>150</v>
      </c>
    </row>
    <row r="29" spans="2:7" x14ac:dyDescent="0.3">
      <c r="B29" s="21" t="s">
        <v>179</v>
      </c>
      <c r="C29" s="21">
        <v>7</v>
      </c>
      <c r="D29" s="21" t="s">
        <v>146</v>
      </c>
      <c r="E29" s="21" t="s">
        <v>165</v>
      </c>
      <c r="F29" s="21" t="s">
        <v>164</v>
      </c>
      <c r="G29" s="21" t="s">
        <v>150</v>
      </c>
    </row>
    <row r="30" spans="2:7" x14ac:dyDescent="0.3">
      <c r="B30" s="21" t="s">
        <v>179</v>
      </c>
      <c r="C30" s="21">
        <v>7</v>
      </c>
      <c r="D30" s="21" t="s">
        <v>146</v>
      </c>
      <c r="E30" s="21" t="s">
        <v>181</v>
      </c>
      <c r="F30" s="21" t="s">
        <v>182</v>
      </c>
      <c r="G30" s="21" t="s">
        <v>0</v>
      </c>
    </row>
    <row r="31" spans="2:7" ht="75" x14ac:dyDescent="0.3">
      <c r="B31" s="21" t="s">
        <v>179</v>
      </c>
      <c r="C31" s="21">
        <v>7</v>
      </c>
      <c r="D31" s="21" t="s">
        <v>191</v>
      </c>
      <c r="E31" s="21" t="s">
        <v>196</v>
      </c>
      <c r="F31" s="22" t="s">
        <v>192</v>
      </c>
      <c r="G31" s="21" t="s">
        <v>0</v>
      </c>
    </row>
    <row r="32" spans="2:7" x14ac:dyDescent="0.3">
      <c r="B32" s="21" t="s">
        <v>179</v>
      </c>
      <c r="C32" s="21">
        <v>7</v>
      </c>
      <c r="D32" s="21" t="s">
        <v>146</v>
      </c>
      <c r="E32" s="21" t="s">
        <v>165</v>
      </c>
      <c r="F32" s="21" t="s">
        <v>164</v>
      </c>
      <c r="G32" s="21" t="s">
        <v>150</v>
      </c>
    </row>
    <row r="33" spans="2:7" x14ac:dyDescent="0.3">
      <c r="B33" s="21" t="s">
        <v>179</v>
      </c>
      <c r="C33" s="21">
        <v>7</v>
      </c>
      <c r="D33" s="21" t="s">
        <v>146</v>
      </c>
      <c r="E33" s="21" t="s">
        <v>152</v>
      </c>
      <c r="F33" s="21" t="s">
        <v>151</v>
      </c>
      <c r="G33" s="21" t="s">
        <v>150</v>
      </c>
    </row>
    <row r="34" spans="2:7" x14ac:dyDescent="0.3">
      <c r="B34" s="21" t="s">
        <v>179</v>
      </c>
      <c r="C34" s="21">
        <v>7</v>
      </c>
      <c r="D34" s="21" t="s">
        <v>146</v>
      </c>
      <c r="E34" s="21" t="s">
        <v>180</v>
      </c>
      <c r="F34" s="21" t="s">
        <v>85</v>
      </c>
      <c r="G34" s="21" t="s">
        <v>150</v>
      </c>
    </row>
    <row r="35" spans="2:7" x14ac:dyDescent="0.3">
      <c r="B35" s="21" t="s">
        <v>179</v>
      </c>
      <c r="C35" s="21">
        <v>7</v>
      </c>
      <c r="D35" s="21" t="s">
        <v>146</v>
      </c>
      <c r="E35" s="21" t="s">
        <v>181</v>
      </c>
      <c r="F35" s="21" t="s">
        <v>182</v>
      </c>
      <c r="G35" s="21" t="s">
        <v>0</v>
      </c>
    </row>
    <row r="36" spans="2:7" x14ac:dyDescent="0.3">
      <c r="B36" s="21" t="s">
        <v>179</v>
      </c>
      <c r="C36" s="21">
        <v>7</v>
      </c>
      <c r="D36" s="21" t="s">
        <v>146</v>
      </c>
      <c r="E36" s="21" t="s">
        <v>194</v>
      </c>
      <c r="F36" s="21" t="s">
        <v>195</v>
      </c>
      <c r="G36" s="21" t="s">
        <v>0</v>
      </c>
    </row>
    <row r="37" spans="2:7" x14ac:dyDescent="0.3">
      <c r="B37" s="21" t="s">
        <v>179</v>
      </c>
      <c r="C37" s="21">
        <v>7</v>
      </c>
      <c r="D37" s="21" t="s">
        <v>146</v>
      </c>
      <c r="E37" s="21" t="s">
        <v>159</v>
      </c>
      <c r="F37" s="21" t="s">
        <v>158</v>
      </c>
      <c r="G37" s="21" t="s">
        <v>150</v>
      </c>
    </row>
    <row r="38" spans="2:7" x14ac:dyDescent="0.3">
      <c r="B38" s="21" t="s">
        <v>179</v>
      </c>
      <c r="C38" s="21">
        <v>7</v>
      </c>
      <c r="D38" s="21" t="s">
        <v>146</v>
      </c>
      <c r="E38" s="21" t="s">
        <v>198</v>
      </c>
      <c r="F38" s="21" t="s">
        <v>199</v>
      </c>
      <c r="G38" s="21" t="s">
        <v>150</v>
      </c>
    </row>
    <row r="39" spans="2:7" x14ac:dyDescent="0.3">
      <c r="B39" s="21" t="s">
        <v>179</v>
      </c>
      <c r="C39" s="21">
        <v>7</v>
      </c>
      <c r="D39" s="21" t="s">
        <v>146</v>
      </c>
      <c r="E39" s="21" t="s">
        <v>145</v>
      </c>
      <c r="F39" s="21" t="s">
        <v>144</v>
      </c>
      <c r="G39" s="21" t="s">
        <v>143</v>
      </c>
    </row>
    <row r="40" spans="2:7" x14ac:dyDescent="0.3">
      <c r="B40" s="21" t="s">
        <v>147</v>
      </c>
      <c r="C40" s="21">
        <v>4</v>
      </c>
      <c r="D40" s="21" t="s">
        <v>146</v>
      </c>
      <c r="E40" s="21" t="s">
        <v>175</v>
      </c>
      <c r="F40" s="21" t="s">
        <v>174</v>
      </c>
      <c r="G40" s="21" t="s">
        <v>0</v>
      </c>
    </row>
    <row r="41" spans="2:7" x14ac:dyDescent="0.3">
      <c r="B41" s="25" t="s">
        <v>147</v>
      </c>
      <c r="C41" s="21">
        <v>4</v>
      </c>
      <c r="D41" s="21" t="s">
        <v>146</v>
      </c>
      <c r="E41" s="25" t="s">
        <v>309</v>
      </c>
      <c r="F41" s="25" t="s">
        <v>310</v>
      </c>
      <c r="G41" s="25" t="s">
        <v>0</v>
      </c>
    </row>
    <row r="42" spans="2:7" x14ac:dyDescent="0.3">
      <c r="B42" s="25" t="s">
        <v>147</v>
      </c>
      <c r="C42" s="21">
        <v>4</v>
      </c>
      <c r="D42" s="21" t="s">
        <v>146</v>
      </c>
      <c r="E42" s="21" t="s">
        <v>313</v>
      </c>
      <c r="F42" s="25" t="s">
        <v>316</v>
      </c>
      <c r="G42" s="25" t="s">
        <v>0</v>
      </c>
    </row>
    <row r="43" spans="2:7" x14ac:dyDescent="0.3">
      <c r="B43" s="25" t="s">
        <v>147</v>
      </c>
      <c r="C43" s="21">
        <v>5</v>
      </c>
      <c r="D43" s="21" t="s">
        <v>146</v>
      </c>
      <c r="E43" s="21" t="s">
        <v>173</v>
      </c>
      <c r="F43" s="21" t="s">
        <v>172</v>
      </c>
      <c r="G43" s="21" t="s">
        <v>0</v>
      </c>
    </row>
    <row r="44" spans="2:7" x14ac:dyDescent="0.3">
      <c r="B44" s="21" t="s">
        <v>147</v>
      </c>
      <c r="C44" s="21">
        <v>5</v>
      </c>
      <c r="D44" s="21" t="s">
        <v>146</v>
      </c>
      <c r="E44" s="21" t="s">
        <v>165</v>
      </c>
      <c r="F44" s="21" t="s">
        <v>164</v>
      </c>
      <c r="G44" s="21" t="s">
        <v>150</v>
      </c>
    </row>
    <row r="45" spans="2:7" x14ac:dyDescent="0.3">
      <c r="B45" s="21" t="s">
        <v>147</v>
      </c>
      <c r="C45" s="21">
        <v>5</v>
      </c>
      <c r="D45" s="21" t="s">
        <v>146</v>
      </c>
      <c r="E45" s="21" t="s">
        <v>171</v>
      </c>
      <c r="F45" s="21" t="s">
        <v>170</v>
      </c>
      <c r="G45" s="21" t="s">
        <v>150</v>
      </c>
    </row>
    <row r="46" spans="2:7" x14ac:dyDescent="0.3">
      <c r="B46" s="21" t="s">
        <v>147</v>
      </c>
      <c r="C46" s="21">
        <v>5</v>
      </c>
      <c r="D46" s="21" t="s">
        <v>146</v>
      </c>
      <c r="E46" s="21" t="s">
        <v>154</v>
      </c>
      <c r="F46" s="21" t="s">
        <v>153</v>
      </c>
      <c r="G46" s="21" t="s">
        <v>0</v>
      </c>
    </row>
    <row r="47" spans="2:7" x14ac:dyDescent="0.3">
      <c r="B47" s="21" t="s">
        <v>147</v>
      </c>
      <c r="C47" s="21">
        <v>5</v>
      </c>
      <c r="D47" s="21" t="s">
        <v>146</v>
      </c>
      <c r="E47" s="21" t="s">
        <v>169</v>
      </c>
      <c r="F47" s="21" t="s">
        <v>168</v>
      </c>
      <c r="G47" s="21" t="s">
        <v>0</v>
      </c>
    </row>
    <row r="48" spans="2:7" x14ac:dyDescent="0.3">
      <c r="B48" s="21" t="s">
        <v>147</v>
      </c>
      <c r="C48" s="21">
        <v>5</v>
      </c>
      <c r="D48" s="21" t="s">
        <v>146</v>
      </c>
      <c r="E48" s="21" t="s">
        <v>167</v>
      </c>
      <c r="F48" s="21" t="s">
        <v>166</v>
      </c>
      <c r="G48" s="21" t="s">
        <v>0</v>
      </c>
    </row>
    <row r="49" spans="2:7" x14ac:dyDescent="0.3">
      <c r="B49" s="21" t="s">
        <v>147</v>
      </c>
      <c r="C49" s="21">
        <v>5</v>
      </c>
      <c r="D49" s="21" t="s">
        <v>146</v>
      </c>
      <c r="E49" s="21" t="s">
        <v>152</v>
      </c>
      <c r="F49" s="21" t="s">
        <v>151</v>
      </c>
      <c r="G49" s="21" t="s">
        <v>150</v>
      </c>
    </row>
    <row r="50" spans="2:7" x14ac:dyDescent="0.3">
      <c r="B50" s="21" t="s">
        <v>147</v>
      </c>
      <c r="C50" s="21">
        <v>5</v>
      </c>
      <c r="D50" s="21" t="s">
        <v>146</v>
      </c>
      <c r="E50" s="21" t="s">
        <v>165</v>
      </c>
      <c r="F50" s="21" t="s">
        <v>164</v>
      </c>
      <c r="G50" s="21" t="s">
        <v>150</v>
      </c>
    </row>
    <row r="51" spans="2:7" x14ac:dyDescent="0.3">
      <c r="B51" s="21" t="s">
        <v>147</v>
      </c>
      <c r="C51" s="21">
        <v>5</v>
      </c>
      <c r="D51" s="21" t="s">
        <v>146</v>
      </c>
      <c r="E51" s="21" t="s">
        <v>152</v>
      </c>
      <c r="F51" s="21" t="s">
        <v>151</v>
      </c>
      <c r="G51" s="21" t="s">
        <v>150</v>
      </c>
    </row>
    <row r="52" spans="2:7" x14ac:dyDescent="0.3">
      <c r="B52" s="21" t="s">
        <v>147</v>
      </c>
      <c r="C52" s="21">
        <v>5</v>
      </c>
      <c r="D52" s="21" t="s">
        <v>146</v>
      </c>
      <c r="E52" s="21" t="s">
        <v>165</v>
      </c>
      <c r="F52" s="21" t="s">
        <v>164</v>
      </c>
      <c r="G52" s="21" t="s">
        <v>150</v>
      </c>
    </row>
    <row r="53" spans="2:7" x14ac:dyDescent="0.3">
      <c r="B53" s="21" t="s">
        <v>147</v>
      </c>
      <c r="C53" s="21">
        <v>5</v>
      </c>
      <c r="D53" s="21" t="s">
        <v>146</v>
      </c>
      <c r="E53" s="21" t="s">
        <v>163</v>
      </c>
      <c r="F53" s="21" t="s">
        <v>162</v>
      </c>
      <c r="G53" s="21" t="s">
        <v>0</v>
      </c>
    </row>
    <row r="54" spans="2:7" x14ac:dyDescent="0.3">
      <c r="B54" s="21" t="s">
        <v>147</v>
      </c>
      <c r="C54" s="21">
        <v>5</v>
      </c>
      <c r="D54" s="21" t="s">
        <v>146</v>
      </c>
      <c r="E54" s="21" t="s">
        <v>161</v>
      </c>
      <c r="F54" s="21" t="s">
        <v>160</v>
      </c>
      <c r="G54" s="21" t="s">
        <v>0</v>
      </c>
    </row>
    <row r="55" spans="2:7" x14ac:dyDescent="0.3">
      <c r="B55" s="21" t="s">
        <v>147</v>
      </c>
      <c r="C55" s="21">
        <v>5</v>
      </c>
      <c r="D55" s="21" t="s">
        <v>146</v>
      </c>
      <c r="E55" s="21" t="s">
        <v>159</v>
      </c>
      <c r="F55" s="21" t="s">
        <v>158</v>
      </c>
      <c r="G55" s="21" t="s">
        <v>150</v>
      </c>
    </row>
    <row r="56" spans="2:7" x14ac:dyDescent="0.3">
      <c r="B56" s="21" t="s">
        <v>147</v>
      </c>
      <c r="C56" s="21">
        <v>5</v>
      </c>
      <c r="D56" s="21" t="s">
        <v>146</v>
      </c>
      <c r="E56" s="21" t="s">
        <v>145</v>
      </c>
      <c r="F56" s="21" t="s">
        <v>144</v>
      </c>
      <c r="G56" s="21" t="s">
        <v>143</v>
      </c>
    </row>
    <row r="57" spans="2:7" ht="56.25" x14ac:dyDescent="0.3">
      <c r="B57" s="21" t="s">
        <v>147</v>
      </c>
      <c r="C57" s="21">
        <v>5</v>
      </c>
      <c r="D57" s="21" t="s">
        <v>146</v>
      </c>
      <c r="E57" s="21" t="s">
        <v>157</v>
      </c>
      <c r="F57" s="22" t="s">
        <v>156</v>
      </c>
      <c r="G57" s="21" t="s">
        <v>155</v>
      </c>
    </row>
    <row r="58" spans="2:7" x14ac:dyDescent="0.3">
      <c r="B58" s="21" t="s">
        <v>147</v>
      </c>
      <c r="C58" s="21">
        <v>6</v>
      </c>
      <c r="D58" s="21" t="s">
        <v>146</v>
      </c>
      <c r="E58" s="21" t="s">
        <v>154</v>
      </c>
      <c r="F58" s="21" t="s">
        <v>153</v>
      </c>
      <c r="G58" s="21" t="s">
        <v>0</v>
      </c>
    </row>
    <row r="59" spans="2:7" x14ac:dyDescent="0.3">
      <c r="B59" s="21" t="s">
        <v>147</v>
      </c>
      <c r="C59" s="21">
        <v>6</v>
      </c>
      <c r="D59" s="21" t="s">
        <v>146</v>
      </c>
      <c r="E59" s="21" t="s">
        <v>152</v>
      </c>
      <c r="F59" s="21" t="s">
        <v>151</v>
      </c>
      <c r="G59" s="21" t="s">
        <v>150</v>
      </c>
    </row>
    <row r="60" spans="2:7" x14ac:dyDescent="0.3">
      <c r="B60" s="21" t="s">
        <v>147</v>
      </c>
      <c r="C60" s="21">
        <v>6</v>
      </c>
      <c r="D60" s="21" t="s">
        <v>146</v>
      </c>
      <c r="E60" s="21" t="s">
        <v>149</v>
      </c>
      <c r="F60" s="21" t="s">
        <v>148</v>
      </c>
      <c r="G60" s="21" t="s">
        <v>0</v>
      </c>
    </row>
    <row r="61" spans="2:7" x14ac:dyDescent="0.3">
      <c r="B61" s="21" t="s">
        <v>147</v>
      </c>
      <c r="C61" s="21">
        <v>6</v>
      </c>
      <c r="D61" s="21" t="s">
        <v>146</v>
      </c>
      <c r="E61" s="21" t="s">
        <v>145</v>
      </c>
      <c r="F61" s="21" t="s">
        <v>144</v>
      </c>
      <c r="G61" s="21" t="s">
        <v>143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2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3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4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5.xml><?xml version="1.0" encoding="utf-8"?>
<Text><![CDATA[
]]></Text>
</file>

<file path=customXml/item6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7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8.xml><?xml version="1.0" encoding="utf-8"?>
<Text><![CDATA[
IFBLANK = LAMBDA(value,value_if_blank, IF(ISBLANK(value), value_if_blank, value));
]]></Text>
</file>

<file path=customXml/item9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10.xml><?xml version="1.0" encoding="utf-8"?>
<Text><![CDATA[
ADDRESSES_byDiarmuidEarly = LAMBDA(rng, ADDRESS(ROW(rng), COLUMN(rng), 4));
]]></Text>
</file>

<file path=customXml/item11.xml><?xml version="1.0" encoding="utf-8"?>
<Text><![CDATA[
ADDRESSES_byDiarmuidEarly = LAMBDA(rng, ADDRESS(ROW(rng), COLUMN(rng), 4));
]]></Text>
</file>

<file path=customXml/item12.xml><?xml version="1.0" encoding="utf-8"?>
<Text><![CDATA[
IsInList_byErikOehm = LAMBDA(array,list,LET(\\LambdaName, "IsInList", MAP(array, LAMBDA(x, OR(list = x)))));
]]></Text>
</file>

<file path=customXml/item13.xml><?xml version="1.0" encoding="utf-8"?>
<Text><![CDATA[
IFBLANK = LAMBDA(value,value_if_blank, IF(ISBLANK(value), value_if_blank, value));
]]></Text>
</file>

<file path=customXml/item1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15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6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17.xml>�� 
</file>

<file path=customXml/item18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19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21/04/2025 11:00:05 +01:00</LastUpdated>
    <CustomXmlPartGuid>{B29441DE-9450-4C77-8FDD-71E30398E5D5}</CustomXmlPartGuid>
  </CustomXmlPartIndex>
  <CustomXmlPartIndex>
    <CollectionName>HotkeyCommands</CollectionName>
    <ItemName>ADDRESSES_byDiarmuidEarly.lambda</ItemName>
    <ItemDescription/>
    <ItemType>Text</ItemType>
    <ItemSubtype/>
    <LastUpdated>21/04/2025 11:00:05 +01:00</LastUpdated>
    <CustomXmlPartGuid>{BA2A756B-CCFF-4D9F-9086-30B75FE80E63}</CustomXmlPartGuid>
  </CustomXmlPartIndex>
  <CustomXmlPartIndex>
    <CollectionName>HotkeyCommands</CollectionName>
    <ItemName>BiRow_byPeterBartholomew.lambda</ItemName>
    <ItemDescription/>
    <ItemType>Text</ItemType>
    <ItemSubtype/>
    <LastUpdated>21/04/2025 11:00:05 +01:00</LastUpdated>
    <CustomXmlPartGuid>{85C0B66C-80EA-473B-810E-3F8477191A87}</CustomXmlPartGuid>
  </CustomXmlPartIndex>
  <CustomXmlPartIndex>
    <CollectionName>HotkeyCommands</CollectionName>
    <ItemName>DiffByRow_byJaqKennedy.lambda</ItemName>
    <ItemDescription/>
    <ItemType>Text</ItemType>
    <ItemSubtype/>
    <LastUpdated>21/04/2025 11:00:05 +01:00</LastUpdated>
    <CustomXmlPartGuid>{79C38505-B4DC-4293-8697-7DBF85E41979}</CustomXmlPartGuid>
  </CustomXmlPartIndex>
  <CustomXmlPartIndex>
    <CollectionName>HotkeyCommands</CollectionName>
    <ItemName>FilterArray_byErikOehm.lambda</ItemName>
    <ItemDescription/>
    <ItemType>Text</ItemType>
    <ItemSubtype/>
    <LastUpdated>21/04/2025 11:00:05 +01:00</LastUpdated>
    <CustomXmlPartGuid>{05268766-9FF0-4B10-843A-48604AB44403}</CustomXmlPartGuid>
  </CustomXmlPartIndex>
  <CustomXmlPartIndex>
    <CollectionName>HotkeyCommands</CollectionName>
    <ItemName>GRIDTOCOL_byLiannaGerrish.lambda</ItemName>
    <ItemDescription/>
    <ItemType>Text</ItemType>
    <ItemSubtype/>
    <LastUpdated>21/04/2025 11:00:05 +01:00</LastUpdated>
    <CustomXmlPartGuid>{A7D3DD68-9D1C-490D-83E8-EA073A4DAEAB}</CustomXmlPartGuid>
  </CustomXmlPartIndex>
  <CustomXmlPartIndex>
    <CollectionName>HotkeyCommands</CollectionName>
    <ItemName>IFBLANK.lambda</ItemName>
    <ItemDescription/>
    <ItemType>Text</ItemType>
    <ItemSubtype/>
    <LastUpdated>21/04/2025 11:00:05 +01:00</LastUpdated>
    <CustomXmlPartGuid>{51825235-BDD4-45E9-9DF5-0C5C86BC4E6C}</CustomXmlPartGuid>
  </CustomXmlPartIndex>
  <CustomXmlPartIndex>
    <CollectionName>HotkeyCommands</CollectionName>
    <ItemName>IsInList_byErikOehm.lambda</ItemName>
    <ItemDescription/>
    <ItemType>Text</ItemType>
    <ItemSubtype/>
    <LastUpdated>21/04/2025 11:00:05 +01:00</LastUpdated>
    <CustomXmlPartGuid>{410B1BC6-485F-4569-BA90-F8AF9BFC5329}</CustomXmlPartGuid>
  </CustomXmlPartIndex>
  <CustomXmlPartIndex>
    <CollectionName>HotkeyCommands</CollectionName>
    <ItemName>LkpRC.lambda</ItemName>
    <ItemDescription/>
    <ItemType>Text</ItemType>
    <ItemSubtype/>
    <LastUpdated>21/04/2025 11:00:05 +01:00</LastUpdated>
    <CustomXmlPartGuid>{E888EC11-1EFE-45C6-8C22-9CA4F5AB9AD9}</CustomXmlPartGuid>
  </CustomXmlPartIndex>
  <CustomXmlPartIndex>
    <CollectionName>HotkeyCommands</CollectionName>
    <ItemName>LkpRCByRow.lambda</ItemName>
    <ItemDescription/>
    <ItemType>Text</ItemType>
    <ItemSubtype/>
    <LastUpdated>21/04/2025 11:00:05 +01:00</LastUpdated>
    <CustomXmlPartGuid>{E330786D-6DC9-4669-97BA-097810B0DBC8}</CustomXmlPartGuid>
  </CustomXmlPartIndex>
  <CustomXmlPartIndex>
    <CollectionName>HotkeyCommands</CollectionName>
    <ItemName>RightAlignedArray_byJaqKennedy.lambda</ItemName>
    <ItemDescription/>
    <ItemType>Text</ItemType>
    <ItemSubtype/>
    <LastUpdated>21/04/2025 11:00:05 +01:00</LastUpdated>
    <CustomXmlPartGuid>{1B41C6AB-50E0-406D-9C57-5DB9E67B067E}</CustomXmlPartGuid>
  </CustomXmlPartIndex>
</writeIndexDataTable>
</file>

<file path=customXml/item20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21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22.xml><?xml version="1.0" encoding="utf-8"?>
<Text><![CDATA[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23.xml><?xml version="1.0" encoding="utf-8"?>
<Text><![CDATA[
IsInList =     LAMBDA(array,list,LET(
   \\LambdaName, "IsInList",
MAP(array,LAMBDA(x,OR(list=x))))
);
]]></Text>
</file>

<file path=customXml/item24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25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26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Props1.xml><?xml version="1.0" encoding="utf-8"?>
<ds:datastoreItem xmlns:ds="http://schemas.openxmlformats.org/officeDocument/2006/customXml" ds:itemID="{79C38505-B4DC-4293-8697-7DBF85E41979}">
  <ds:schemaRefs/>
</ds:datastoreItem>
</file>

<file path=customXml/itemProps2.xml><?xml version="1.0" encoding="utf-8"?>
<ds:datastoreItem xmlns:ds="http://schemas.openxmlformats.org/officeDocument/2006/customXml" ds:itemID="{60136850-0A80-46DA-A7BC-83E4B88FD331}">
  <ds:schemaRefs/>
</ds:datastoreItem>
</file>

<file path=customXml/itemProps3.xml><?xml version="1.0" encoding="utf-8"?>
<ds:datastoreItem xmlns:ds="http://schemas.openxmlformats.org/officeDocument/2006/customXml" ds:itemID="{A83826B5-B686-40BC-844F-041648993120}">
  <ds:schemaRefs/>
</ds:datastoreItem>
</file>

<file path=customXml/itemProps4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5.xml><?xml version="1.0" encoding="utf-8"?>
<ds:datastoreItem xmlns:ds="http://schemas.openxmlformats.org/officeDocument/2006/customXml" ds:itemID="{1A9F9B0F-1F08-4F37-9A0C-B6CBC0761010}">
  <ds:schemaRefs/>
</ds:datastoreItem>
</file>

<file path=customXml/itemProps6.xml><?xml version="1.0" encoding="utf-8"?>
<ds:datastoreItem xmlns:ds="http://schemas.openxmlformats.org/officeDocument/2006/customXml" ds:itemID="{4E9FD6E5-37CB-441F-9645-F6D489E32598}">
  <ds:schemaRefs/>
</ds:datastoreItem>
</file>

<file path=customXml/itemProps7.xml><?xml version="1.0" encoding="utf-8"?>
<ds:datastoreItem xmlns:ds="http://schemas.openxmlformats.org/officeDocument/2006/customXml" ds:itemID="{148CA7B6-1095-4B59-A609-F0DD3983C05B}">
  <ds:schemaRefs/>
</ds:datastoreItem>
</file>

<file path=customXml/itemProps8.xml><?xml version="1.0" encoding="utf-8"?>
<ds:datastoreItem xmlns:ds="http://schemas.openxmlformats.org/officeDocument/2006/customXml" ds:itemID="{B3FD0068-9C97-44E4-93C5-75B53553265A}">
  <ds:schemaRefs/>
</ds:datastoreItem>
</file>

<file path=customXml/itemProps9.xml><?xml version="1.0" encoding="utf-8"?>
<ds:datastoreItem xmlns:ds="http://schemas.openxmlformats.org/officeDocument/2006/customXml" ds:itemID="{CC8676E6-6DD4-4D3A-B5C3-FEDBE93B926B}">
  <ds:schemaRefs/>
</ds:datastoreItem>
</file>

<file path=customXml/itemProps10.xml><?xml version="1.0" encoding="utf-8"?>
<ds:datastoreItem xmlns:ds="http://schemas.openxmlformats.org/officeDocument/2006/customXml" ds:itemID="{9C3962FE-B426-46FD-8FB0-7535580B8A92}">
  <ds:schemaRefs/>
</ds:datastoreItem>
</file>

<file path=customXml/itemProps11.xml><?xml version="1.0" encoding="utf-8"?>
<ds:datastoreItem xmlns:ds="http://schemas.openxmlformats.org/officeDocument/2006/customXml" ds:itemID="{BA2A756B-CCFF-4D9F-9086-30B75FE80E63}">
  <ds:schemaRefs/>
</ds:datastoreItem>
</file>

<file path=customXml/itemProps12.xml><?xml version="1.0" encoding="utf-8"?>
<ds:datastoreItem xmlns:ds="http://schemas.openxmlformats.org/officeDocument/2006/customXml" ds:itemID="{410B1BC6-485F-4569-BA90-F8AF9BFC5329}">
  <ds:schemaRefs/>
</ds:datastoreItem>
</file>

<file path=customXml/itemProps13.xml><?xml version="1.0" encoding="utf-8"?>
<ds:datastoreItem xmlns:ds="http://schemas.openxmlformats.org/officeDocument/2006/customXml" ds:itemID="{51825235-BDD4-45E9-9DF5-0C5C86BC4E6C}">
  <ds:schemaRefs/>
</ds:datastoreItem>
</file>

<file path=customXml/itemProps14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15.xml><?xml version="1.0" encoding="utf-8"?>
<ds:datastoreItem xmlns:ds="http://schemas.openxmlformats.org/officeDocument/2006/customXml" ds:itemID="{A7D3DD68-9D1C-490D-83E8-EA073A4DAEAB}">
  <ds:schemaRefs/>
</ds:datastoreItem>
</file>

<file path=customXml/itemProps16.xml><?xml version="1.0" encoding="utf-8"?>
<ds:datastoreItem xmlns:ds="http://schemas.openxmlformats.org/officeDocument/2006/customXml" ds:itemID="{B29441DE-9450-4C77-8FDD-71E30398E5D5}">
  <ds:schemaRefs/>
</ds:datastoreItem>
</file>

<file path=customXml/itemProps17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E888EC11-1EFE-45C6-8C22-9CA4F5AB9AD9}">
  <ds:schemaRefs/>
</ds:datastoreItem>
</file>

<file path=customXml/itemProps19.xml><?xml version="1.0" encoding="utf-8"?>
<ds:datastoreItem xmlns:ds="http://schemas.openxmlformats.org/officeDocument/2006/customXml" ds:itemID="{49A644F6-C372-4E3F-9C6D-980388F81CE4}">
  <ds:schemaRefs>
    <ds:schemaRef ds:uri=""/>
    <ds:schemaRef ds:uri="http://www.w3.org/2001/XMLSchema"/>
    <ds:schemaRef ds:uri="urn:schemas-microsoft-com:xml-msdata"/>
  </ds:schemaRefs>
</ds:datastoreItem>
</file>

<file path=customXml/itemProps20.xml><?xml version="1.0" encoding="utf-8"?>
<ds:datastoreItem xmlns:ds="http://schemas.openxmlformats.org/officeDocument/2006/customXml" ds:itemID="{1B41C6AB-50E0-406D-9C57-5DB9E67B067E}">
  <ds:schemaRefs/>
</ds:datastoreItem>
</file>

<file path=customXml/itemProps21.xml><?xml version="1.0" encoding="utf-8"?>
<ds:datastoreItem xmlns:ds="http://schemas.openxmlformats.org/officeDocument/2006/customXml" ds:itemID="{D2670061-FB7D-41F0-AB90-118C32DC6B5A}">
  <ds:schemaRefs/>
</ds:datastoreItem>
</file>

<file path=customXml/itemProps22.xml><?xml version="1.0" encoding="utf-8"?>
<ds:datastoreItem xmlns:ds="http://schemas.openxmlformats.org/officeDocument/2006/customXml" ds:itemID="{85C0B66C-80EA-473B-810E-3F8477191A87}">
  <ds:schemaRefs/>
</ds:datastoreItem>
</file>

<file path=customXml/itemProps23.xml><?xml version="1.0" encoding="utf-8"?>
<ds:datastoreItem xmlns:ds="http://schemas.openxmlformats.org/officeDocument/2006/customXml" ds:itemID="{2EC15307-E297-4155-8C64-BD7C819FC834}">
  <ds:schemaRefs/>
</ds:datastoreItem>
</file>

<file path=customXml/itemProps24.xml><?xml version="1.0" encoding="utf-8"?>
<ds:datastoreItem xmlns:ds="http://schemas.openxmlformats.org/officeDocument/2006/customXml" ds:itemID="{77900331-8BCF-4A61-83B4-0F22D244E56E}">
  <ds:schemaRefs/>
</ds:datastoreItem>
</file>

<file path=customXml/itemProps25.xml><?xml version="1.0" encoding="utf-8"?>
<ds:datastoreItem xmlns:ds="http://schemas.openxmlformats.org/officeDocument/2006/customXml" ds:itemID="{05268766-9FF0-4B10-843A-48604AB44403}">
  <ds:schemaRefs/>
</ds:datastoreItem>
</file>

<file path=customXml/itemProps26.xml><?xml version="1.0" encoding="utf-8"?>
<ds:datastoreItem xmlns:ds="http://schemas.openxmlformats.org/officeDocument/2006/customXml" ds:itemID="{E330786D-6DC9-4669-97BA-097810B0DBC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2025-10-10T14:13:16Z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{49A644F6-C372-4E3F-9C6D-980388F81CE4}</vt:lpwstr>
  </property>
  <property fmtid="{D5CDD505-2E9C-101B-9397-08002B2CF9AE}" pid="3" name="OA Tools Last Modified">
    <vt:lpwstr>2025-04-21 10:00:05 UTC</vt:lpwstr>
  </property>
  <property fmtid="{D5CDD505-2E9C-101B-9397-08002B2CF9AE}" pid="4" name="Last Edited">
    <vt:lpwstr>25/04/2025 19:08:51 +00:00</vt:lpwstr>
  </property>
</Properties>
</file>