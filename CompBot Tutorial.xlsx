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8"/>
  <workbookPr codeName="ThisWorkbook"/>
  <mc:AlternateContent xmlns:mc="http://schemas.openxmlformats.org/markup-compatibility/2006">
    <mc:Choice Requires="x15">
      <x15ac:absPath xmlns:x15ac="http://schemas.microsoft.com/office/spreadsheetml/2010/11/ac" url="D:\Dev\OARobot\compbot\compbot-rdt-calc_2026.10.6\tutorial\"/>
    </mc:Choice>
  </mc:AlternateContent>
  <xr:revisionPtr revIDLastSave="0" documentId="13_ncr:1_{70898074-4327-4FCE-8DBD-B76F5C334E0B}" xr6:coauthVersionLast="47" xr6:coauthVersionMax="47" xr10:uidLastSave="{00000000-0000-0000-0000-000000000000}"/>
  <bookViews>
    <workbookView xWindow="4935" yWindow="4935" windowWidth="38700" windowHeight="15345" xr2:uid="{00000000-000D-0000-FFFF-FFFF00000000}"/>
  </bookViews>
  <sheets>
    <sheet name="Start here" sheetId="1" r:id="rId1"/>
    <sheet name="Get set up" sheetId="2" r:id="rId2"/>
    <sheet name="Find it" sheetId="3" r:id="rId3"/>
    <sheet name="C1 Your machine" sheetId="4" r:id="rId4"/>
    <sheet name="C2 Open the case" sheetId="5" r:id="rId5"/>
    <sheet name="C3 Read the questions" sheetId="6" r:id="rId6"/>
    <sheet name="C4 Solve a level" sheetId="7" r:id="rId7"/>
    <sheet name="C5 Wrap a formula" sheetId="8" r:id="rId8"/>
    <sheet name="C6 Text, codes and lookups" sheetId="9" r:id="rId9"/>
    <sheet name="C7 Maps, grids and sheets" sheetId="10" r:id="rId10"/>
    <sheet name="C8 Housekeeping" sheetId="11" r:id="rId11"/>
    <sheet name="Case" sheetId="12" r:id="rId12"/>
    <sheet name="Demo maps" sheetId="13" r:id="rId13"/>
    <sheet name="Area1" sheetId="14" r:id="rId14"/>
    <sheet name="Area2" sheetId="15" r:id="rId15"/>
    <sheet name="Area3" sheetId="16" r:id="rId16"/>
    <sheet name="Level 1 Basics" sheetId="18" r:id="rId17"/>
    <sheet name="Level 2 Arrays" sheetId="19" r:id="rId18"/>
    <sheet name="Level 3 Text" sheetId="22" r:id="rId19"/>
    <sheet name="Level 4 Lookup" sheetId="23" r:id="rId20"/>
    <sheet name="Level 5 Maps" sheetId="20" r:id="rId21"/>
    <sheet name="Level 6 Engines" sheetId="21" r:id="rId22"/>
    <sheet name="Words" sheetId="17" r:id="rId23"/>
    <sheet name="I1 The Alves Method" sheetId="30" r:id="rId24"/>
    <sheet name="Command cheat sheet" sheetId="26" r:id="rId25"/>
    <sheet name="Lambda cheat sheet" sheetId="27" r:id="rId26"/>
    <sheet name="What changed" sheetId="28" r:id="rId27"/>
  </sheets>
  <definedNames>
    <definedName name="Addresses_byDiarmuidEarly" comment="Returns the cell address of a range">_xlfn.LAMBDA(_xlpm.array,ADDRESS(ROW(_xlpm.array),COLUMN(_xlpm.array),4))</definedName>
    <definedName name="Alphabet_byHadynWiseman">_xlfn.LAMBDA(CHAR(_xlfn.SEQUENCE(26,,65)))</definedName>
    <definedName name="ArrayShift_byHadynWiseman" comment="Hadyn Wiseman. SIGNATURE FIXED 2026-09-22: the optionals were unbracketed, so all five parameters were required and a four-argument call returned #VALUE!. Fold_byHadynWiseman calls it with four, which is why the unsuffixed ArrayShift twin had to survive. ">_xlfn.LAMBDA(_xlpm.Array,_xlop.RowShift,_xlop.ColumnShift,_xlop.Fill,_xlop.WrapAround,_xlfn.LET(_xlpm.fl,IF(_xlfn.ISOMITTED(_xlpm.Fill),"X",_xlpm.Fill),_xlpm.rs,_xlpm.RowShift,_xlpm.cs,_xlpm.ColumnShift,_xlpm.wa,_xlpm.WrapAround,_xlpm.a,_xlpm.Array,_xlpm.r,ROWS(_xlpm.a),_xlpm.c,COLUMNS(_xlpm.a), _xlpm.rf,IF(_xlpm.wa,_xlfn.TAKE(_xlpm.a,-(MOD(_xlpm.rs-1,_xlpm.r)+1)),_xlfn.EXPAND(_xlpm.fl,MIN(ABS(_xlpm.rs),_xlpm.r),_xlpm.c,_xlpm.fl)), _xlpm.ra,IF(_xlpm.rs=0,_xlpm.a,IF(_xlpm.wa,IFERROR(_xlfn.VSTACK(_xlpm.rf,_xlfn.TAKE(_xlpm.a,_xlpm.r-ROWS(_xlpm.rf))),_xlpm.rf),IF(ABS(_xlpm.rs)&gt;_xlpm.r-1,_xlpm.rf,_xlfn.VSTACK(IF(_xlpm.rs&gt;0,_xlpm.rf,_xlfn.TAKE(_xlpm.a,-_xlpm.r-_xlpm.rs)),IF(_xlpm.rs&gt;0,_xlfn.TAKE(_xlpm.a,_xlpm.r-_xlpm.rs),_xlpm.rf))))), _xlpm.cf,IF(_xlpm.wa,_xlfn.TAKE(_xlpm.ra,,-(MOD(_xlpm.cs-1,_xlpm.c)+1)),_xlfn.EXPAND(_xlpm.fl,_xlpm.r,MIN(ABS(_xlpm.cs),_xlpm.c),_xlpm.fl)), _xlpm.ca,IF(_xlpm.cs=0,_xlpm.ra,IF(_xlpm.wa,IFERROR(_xlfn.HSTACK(_xlpm.cf,_xlfn.TAKE(_xlpm.ra,,_xlpm.c-COLUMNS(_xlpm.cf))),_xlpm.cf),IF(ABS(_xlpm.cs)&gt;_xlpm.c-1,_xlpm.cf,_xlfn.HSTACK(IF(_xlpm.cs&gt;0,_xlpm.cf,_xlfn.TAKE(_xlpm.ra,,-_xlpm.c-_xlpm.cs)),IF(_xlpm.cs&gt;0,_xlfn.TAKE(_xlpm.ra,,_xlpm.c-_xlpm.cs),_xlpm.cf))))), _xlpm.ca))</definedName>
    <definedName name="ARROWSHIFT_byEmilieWilliams">_xlfn.LAMBDA(_xlpm.starting_cell,_xlpm.arrow, _xlfn.LET(
   _xlpm.Arrows, _xlfn.VSTACK("↗", "↓", "↖", "←", "→", "↙", "↘", "↑"),
   _xlpm.Cards, _xlfn.VSTACK("NE", "S", "NW", "W", "E", "SW", "SE", "N"),
   _xlpm.Arrowsx, _xlfn.VSTACK(1, 0, -1, -1, 1, -1, 1, 0),
   _xlpm.Arrowsy, _xlfn.VSTACK(-1, 1, -1, 0, 0, 1, 1, -1),
   _xlpm.CardInd, ISERROR(_xlfn.XMATCH(RIGHT(_xlpm.arrow), _xlpm.Arrows, 0)),
   _xlpm.CardComment, "Multiplier Can Only Be Used On Arrows",
   _xlpm.d, IF(_xlpm.CardInd, _xlpm.arrow, RIGHT(_xlpm.arrow, 1)),
   _xlpm.m, IF((LEN(_xlpm.arrow) = 1) + _xlpm.CardInd, 1, 1 * LEFT(_xlpm.arrow, LEN(_xlpm.arrow) - 1)),
   _xlpm.xmoveunit, _xlfn.XLOOKUP(_xlpm.d, IF(_xlpm.CardInd, _xlpm.Cards, _xlpm.Arrows), _xlpm.Arrowsx),
   _xlpm.ymoveunit, _xlfn.XLOOKUP(_xlpm.d, IF(_xlpm.CardInd, _xlpm.Cards, _xlpm.Arrows), _xlpm.Arrowsy),
   _xlpm.xmove, _xlpm.xmoveunit * _xlpm.m,
   _xlpm.ymove, _xlpm.ymoveunit * _xlpm.m,
   _xlpm.collet, _xlfn.TAKE(_xlfn.TEXTSPLIT(_xlpm.starting_cell, _xlfn.SEQUENCE(, 10, 0)), , 1),
   _xlpm.startcol, COLUMN(INDIRECT(_xlpm.collet &amp; 1)),
   _xlpm.startrow, 1 * RIGHT(_xlpm.starting_cell, LEN(_xlpm.starting_cell) - LEN(_xlpm.collet)),
   _xlpm.newcell, ADDRESS(_xlpm.startrow + _xlpm.ymove, _xlpm.startcol + _xlpm.xmove, 4),
   _xlpm.newcell
))</definedName>
    <definedName name="ArrowsLookup_byHadynWiseman">_xlfn.LAMBDA(_xlpm.Direction,_xlfn.XLOOKUP(_xlpm.Direction, {"↓";"D";"Down";"S";"South";"B";"Bottom";"↑";"U";"Up";"N";"North";"T";"Top";"→";"R";"Right";"E";"East";"←";"L";"Left";"W";"West";"↘";"DR";"RD";"BR";"RB";"SE";"Southeast";"↖";"UL";"LU";"TL";"LT";"NW";"Northwest";"↙";"DL";"LD";"BL";"LB";"SW";"Southwest";"↗";"UR";"RU";"TR";"RT";"NE";"Northeast"}, {"↓";"↓";"↓";"↓";"↓";"↓";"↓";"↑";"↑";"↑";"↑";"↑";"↑";"↑";"→";"→";"→";"→";"→";"←";"←";"←";"←";"←";"↘";"↘";"↘";"↘";"↘";"↘";"↘";"↖";"↖";"↖";"↖";"↖";"↖";"↖";"↙";"↙";"↙";"↙";"↙";"↙";"↙";"↗";"↗";"↗";"↗";"↗";"↗";"↗"}))</definedName>
    <definedName name="BiCol_byHadynWiseman">_xlfn.LAMBDA(_xlpm.array,_xlpm.function,IF(COLUMNS(_xlpm.array)=1,IF(ROWS(_xlpm.array)=1,_xlpm.function(_xlfn.SINGLE(_xlpm.array)),_xlpm.function(_xlpm.array)),_xlfn.HSTACK(BiCol_byHadynWiseman(_xlfn.TAKE(_xlpm.array,,COLUMNS(_xlpm.array)/2),_xlpm.function),BiCol_byHadynWiseman(_xlfn.DROP(_xlpm.array,,COLUMNS(_xlpm.array)/2),_xlpm.function))))</definedName>
    <definedName name="Biggest_byHadynWiseman">_xlfn.LAMBDA(_xlpm.Range,_xlpm.Return,_xlpm.Smallest,_xlop.N,_xlop.TieKey,_xlop.TieOrder,_xlfn.LET(_xlpm.nu,IF(_xlfn.ISOMITTED(_xlpm.N),1,_xlpm.N),_xlpm.dir,IF(_xlpm.Smallest,1,-1),_xlpm.tord,IF(_xlfn.ISOMITTED(_xlpm.TieOrder),1,_xlpm.TieOrder),_xlpm.s,IF(_xlfn.ISOMITTED(_xlpm.TieKey),_xlfn.SORTBY(_xlpm.Return,_xlpm.Range,_xlpm.dir),_xlfn.SORTBY(_xlpm.Return,_xlpm.Range,_xlpm.dir,_xlpm.TieKey,_xlpm.tord)),IF(COUNT(_xlpm.nu)&gt;ROWS(_xlpm.Range)*COLUMNS(_xlpm.Range),_xlpm.Return,IF(COLUMNS(_xlpm.Return)=1,_xlfn.CHOOSEROWS(_xlpm.s,_xlpm.nu),_xlfn.CHOOSECOLS(_xlpm.s,_xlpm.nu)))))</definedName>
    <definedName name="BiRow_byHadynWiseman">_xlfn.LAMBDA(_xlpm.array,_xlpm.function,IF(ROWS(_xlpm.array)=1,IF(COLUMNS(_xlpm.array)=1,_xlpm.function(_xlfn.SINGLE(_xlpm.array)),_xlpm.function(_xlpm.array)),_xlfn.VSTACK(BiRow_byHadynWiseman(_xlfn.TAKE(_xlpm.array,ROWS(_xlpm.array)/2),_xlpm.function),BiRow_byHadynWiseman(_xlfn.DROP(_xlpm.array,ROWS(_xlpm.array)/2),_xlpm.function))))</definedName>
    <definedName name="BoardGameMove_byHadynWiseman">_xlfn.LAMBDA(_xlpm.MoveValue,_xlpm.EndSpace,MOD(_xlpm.MoveValue - 1, _xlpm.EndSpace) + 1)</definedName>
    <definedName name="Bounce_byBoRydobon">_xlfn.LAMBDA(_xlpm.n,_xlpm.max,_xlop.min,_xlop.start,_xlop.step,_xlop.leave0Clip1Bounce2,_xlfn.LET(_xlpm.mn,IF(_xlfn.ISOMITTED(_xlpm.min),1,_xlpm.min),_xlpm.st,IF(_xlfn.ISOMITTED(_xlpm.start),_xlpm.mn,_xlpm.start),_xlpm.sp,IF(_xlfn.ISOMITTED(_xlpm.step),1,_xlpm.step),_xlpm.mode,IF(_xlfn.ISOMITTED(_xlpm.leave0Clip1Bounce2),0,_xlpm.leave0Clip1Bounce2),_xlpm.of,MAX(_xlpm.mn,0)-_xlpm.mn+ABS(_xlpm.sp),_xlpm.top,_xlpm.max+_xlpm.of,_xlpm.bot,_xlpm.mn+_xlpm.of,_xlpm.q,_xlfn.SCAN(,_xlfn.VSTACK(_xlpm.st+_xlpm.of,_xlfn.SEQUENCE(_xlpm.n-1)),_xlfn.LAMBDA(_xlpm.a,_xlpm.v,_xlfn.LET(_xlpm.s,-1^(_xlpm.a&lt;0),_xlpm.b,ABS(_xlpm.a)+_xlpm.s*_xlpm.sp,_xlpm.mb,MEDIAN(_xlpm.bot,_xlpm.b,_xlpm.top),-1^OR(_xlpm.b&lt;=_xlpm.bot,_xlpm.top&lt;=_xlpm.b)*_xlpm.s*CHOOSE(_xlpm.mode+1,_xlpm.b,_xlpm.mb,2*_xlpm.mb-_xlpm.b)))),ABS(_xlpm.q)-_xlpm.of))</definedName>
    <definedName name="ByRectangle_byBoRydobon">_xlfn.LAMBDA(_xlpm.Range,_xlpm.Function,_xlpm.Rows,_xlop.Columns,_xlop.No_Overlap,_xlfn.LET( _xlpm.cls,IF(_xlfn.ISOMITTED(_xlpm.Columns),_xlpm.Rows,_xlpm.Columns), _xlpm.rs,_xlfn.MAP(_xlfn.DROP(_xlpm.Range,1-_xlpm.Rows,1-_xlpm.cls),_xlfn.DROP(_xlpm.Range,_xlpm.Rows-1,_xlpm.cls-1),_xlfn.LAMBDA(_xlpm.a,_xlpm.b,_xlpm.Function(_xlpm.a:_xlpm.b))), _xlpm.cr,IF(_xlpm.No_Overlap,_xlfn.CHOOSEROWS(_xlpm.rs,_xlfn.SEQUENCE(ROWS(_xlpm.Range)/_xlpm.Rows,,1,_xlpm.Rows)),_xlpm.rs), _xlpm.cc,IF(_xlpm.No_Overlap,_xlfn.CHOOSECOLS(_xlpm.cr,_xlfn.SEQUENCE(COLUMNS(_xlpm.Range)/_xlpm.cls,,1,_xlpm.cls)),_xlpm.cr), _xlpm.cc ))</definedName>
    <definedName name="CardSets_byHadynWiseman">_xlfn.LAMBDA(_xlpm.Cards,_xlpm.CardsInRun,_xlop.Ace_High,_xlop.Ace_Low,_xlop.Sets,_xlop.CustomCardList,_xlop.WrapAroundRuns,_xlfn.LET(_xlpm.cd, _xlfn.TOCOL(_xlpm.Cards, 3), _xlpm.rn, _xlpm.CardsInRun, _xlpm.al, _xlpm.Ace_Low, _xlpm.ah, _xlpm.Ace_High, _xlpm.cn, {"A";2;3;4;5;6;7;8;9;10;"J";"Q";"K";"A"}, _xlpm.cor, IF(_xlfn.ISOMITTED(_xlpm.CustomCardList), IF(_xlpm.ah * _xlpm.al * (1 - _xlpm.WrapAroundRuns), _xlpm.cn, IF(_xlpm.ah, _xlfn.DROP(_xlpm.cn, 1), _xlfn.DROP(_xlpm.cn, -1))), _xlpm.CustomCardList), _xlpm.fcn, IF(_xlpm.WrapAroundRuns, _xlfn.VSTACK(_xlpm.cor, _xlfn.DROP(_xlpm.cor, -(COUNTA(_xlpm.cor) - _xlpm.rn + 1))), _xlpm.cor), _xlpm.suits, _xlfn.TOCOL(_xlfn.UNIQUE(_xlfn.TEXTAFTER(_xlpm.cd, _xlpm.fcn)), 3), _xlpm.c, _xlfn.TOCOL(_xlpm.fcn &amp; _xlfn.TOROW(_xlpm.suits), , 1), _xlpm.l, _xlfn.SCAN("", _xlpm.c, _xlfn.LAMBDA(_xlpm.a,_xlpm.v, IF(IFERROR(_xlfn.TEXTAFTER(_xlpm.v, _xlpm.fcn, -1), "") &lt;&gt; IFERROR(_xlfn.TEXTAFTER(_xlpm.a, _xlpm.fcn, -1), ""), "-" &amp; _xlpm.v, _xlfn.TEXTJOIN("-", 1, _xlpm.a, _xlpm.v)))), _xlpm.s, _xlfn.TOCOL(_xlfn.TEXTAFTER(_xlpm.l, "-", -_xlpm.rn), 3), _xlpm.oc, _xlfn.TEXTJOIN("-", 1, _xlfn._xlws.FILTER(_xlpm.c, ISNUMBER(_xlfn.XMATCH(_xlpm.c, _xlpm.Cards)))), _xlpm.runs, _xlfn._xlws.FILTER(_xlpm.s, ISNUMBER(SEARCH(_xlpm.s, _xlpm.oc))), _xlpm.cr, _xlfn.DROP(_xlfn.REDUCE("", _xlpm.runs, _xlfn.LAMBDA(_xlpm.a,_xlpm.v, _xlfn.HSTACK(_xlpm.a, _xlfn.TEXTSPLIT(_xlpm.v, , "-", 1)))), , 1), _xlpm.vl, _xlfn.TEXTBEFORE(_xlpm.cd, _xlpm.suits, -1), _xlpm.fr, MostOf_byHadynWiseman(_xlpm.vl), _xlpm.st, _xlfn._xlws.FILTER(_xlfn.TAKE(_xlpm.fr, , 1), _xlfn.TAKE(_xlpm.fr, , -1) &gt;= _xlpm.rn), _xlpm.sts, _xlfn.DROP(_xlfn.REDUCE("", _xlpm.st, _xlfn.LAMBDA(_xlpm.a,_xlpm.v, _xlfn.VSTACK(_xlpm.a, _xlfn.TEXTJOIN("-", 1, _xlfn._xlws.FILTER(_xlpm.cd, _xlfn.TEXTBEFORE(_xlpm.cd, _xlpm.suits) = _xlpm.v))))), 1), _xlpm.cs, _xlfn.DROP(_xlfn.REDUCE("", _xlpm.sts, _xlfn.LAMBDA(_xlpm.a,_xlpm.v, _xlfn.HSTACK(_xlpm.a, TRANSPOSE(Combinations_byHadynWiseman(_xlfn.TEXTSPLIT(_xlpm.v, , "-", 1), _xlpm.rn, 1))))), , 1), _xlpm.end, _xlfn.UNIQUE(IFERROR(IF(_xlfn.ISOMITTED(_xlpm.Sets), _xlpm.cr, _xlpm.cs), 0), 1), _xlpm.end))</definedName>
    <definedName name="Clamp_byBoRydobon">_xlfn.LAMBDA(_xlpm.n,_xlop.lower,_xlop.upper,_xlfn.LET(_xlpm.lo,IF(_xlfn.ISOMITTED(_xlpm.lower),MIN(_xlpm.n),_xlpm.lower),_xlpm.up,IF(_xlfn.ISOMITTED(_xlpm.upper),MAX(_xlpm.n),_xlpm.upper),IF(_xlpm.n&lt;_xlpm.lo,_xlpm.lo,IF(_xlpm.n&gt;_xlpm.up,_xlpm.up,_xlpm.n))))</definedName>
    <definedName name="ClosestOnMap_byHadynWiseman">_xlfn.LAMBDA(_xlpm.mp,_xlpm.start,_xlpm.steps,_xlop.Items,_xlop.DistFunc,_xlop.ShowBlanks,_xlop.RCaa_CRaa_RCad_CRad_RCda_CRda_RCdd_CRdd,_xlfn.LET(_xlpm.st,_xlpm.start,_xlpm.rng,_xlpm.steps,_xlpm.brng,_xlpm.rng*10,_xlpm.o,_xlpm.RCaa_CRaa_RCad_CRad_RCda_CRda_RCdd_CRdd,_xlpm.mr,ROWS(_xlpm.mp),_xlpm.mc,COLUMNS(_xlpm.mp),    _xlpm.vs,INDEX(_xlpm.mp,MAX(RowNum_byHadynWiseman(_xlpm.st)-MIN(ROW(_xlpm.mp))+1-_xlpm.brng,1),MAX(ColNum_byHadynWiseman(_xlpm.st)-MIN(COLUMN(_xlpm.mp))+1-_xlpm.brng,1)):INDEX(_xlpm.mp,MIN(RowNum_byHadynWiseman(_xlpm.st)-MIN(ROW(_xlpm.mp))+1+_xlpm.brng,_xlpm.mr),MIN(ColNum_byHadynWiseman(_xlpm.st)-MIN(COLUMN(_xlpm.mp))+1+_xlpm.brng,_xlpm.mc)),    _xlpm.ad,_xlfn.TOCOL(Addresses_byDiarmuidEarly(_xlpm.vs)), _xlpm.rd,RowNum_byHadynWiseman(_xlpm.ad)-RowNum_byHadynWiseman(_xlpm.st),_xlpm.cd,ColNum_byHadynWiseman(_xlpm.ad)-ColNum_byHadynWiseman(_xlpm.st),    _xlpm.td,IF(_xlfn.ISOMITTED(_xlpm.DistFunc),Distance_byHadynWiseman(_xlpm.st,_xlpm.ad),_xlpm.DistFunc(_xlpm.st,_xlpm.ad)),    _xlpm.table,_xlfn.HSTACK(_xlfn.TOCOL(_xlpm.vs),_xlpm.ad,_xlpm.td), _xlpm.cleantable,_xlfn.SORTBY(_xlpm.table,_xlpm.td,1),    _xlpm.ordered,IF(_xlfn.ISOMITTED(_xlpm.o),_xlpm.cleantable,_xlfn.SORTBY(_xlpm.table,_xlpm.td,1,IF(ISODD(_xlpm.o),_xlpm.rd,_xlpm.cd),IF(_xlpm.o&lt;=4,1,-1),IF(ISODD(_xlpm.o),_xlpm.cd,_xlpm.rd),IF(MOD(_xlpm.o-1,4)&lt;2,1,-1))),    _xlpm.omitblanks,IF(_xlpm.ShowBlanks,_xlpm.ordered,_xlfn._xlws.FILTER(_xlpm.ordered,_xlfn.TAKE(_xlpm.ordered,,1)&lt;&gt;"")),    _xlpm.rs,IF(_xlfn.ISOMITTED(_xlpm.Items),_xlpm.omitblanks,_xlfn._xlws.FILTER(_xlpm.omitblanks,ISNUMBER(_xlfn.XMATCH(_xlfn.TAKE(_xlpm.omitblanks,,1),_xlpm.Items)))), _xlpm.end,_xlfn._xlws.FILTER(_xlpm.rs,_xlfn.DROP(_xlpm.rs,,2)&lt;=_xlpm.rng),_xlpm.end))</definedName>
    <definedName name="Coins_byHadynWiseman">_xlfn.LAMBDA(_xlpm.Target,_xlpm.Coins,_xlfn.LET(_xlpm.sc,_xlfn.TOCOL(_xlfn.SORTBY(_xlpm.Coins,-_xlpm.Coins)), _xlpm.remainder,_xlfn.SCAN(_xlpm.Target,_xlpm.sc,_xlfn.LAMBDA(_xlpm.a,_xlpm.v,ROUND(_xlpm.a-INT(_xlpm.a/_xlpm.v)*_xlpm.v,12))), _xlpm.alignrem,_xlfn.DROP(_xlfn.VSTACK(_xlpm.Target,_xlpm.remainder),-1), INT(_xlpm.alignrem/_xlpm.sc)))</definedName>
    <definedName name="ColNum_byHadynWiseman">_xlfn.LAMBDA(_xlpm.address,IF(ISNUMBER(_xlpm.address),MOD(_xlpm.address,10^6), _xlfn.LET(_xlpm.chars,UPPER(_xlfn.REGEXEXTRACT(_xlpm.address,"[A-Za-z]+")), _xlpm.L,LEN(_xlpm.chars),       _xlpm.val_1,CODE(RIGHT(_xlpm.chars,1))-64,       _xlpm.val_2,IF(_xlpm.L&gt;1,(CODE(LEFT(RIGHT(_xlpm.chars,2),1))-64)*26,0),       _xlpm.val_3,IF(_xlpm.L=3,(CODE(LEFT(_xlpm.chars,1))-64)*676, 0), _xlpm.val_1+_xlpm.val_2+_xlpm.val_3)))</definedName>
    <definedName name="Combinations_byHadynWiseman">_xlfn.LAMBDA(_xlpm.Array,_xlpm.c,_xlop.RemoveOrder,_xlop.AllowRepeatItems,_xlop.Cumulative,IFERROR(_xlfn.XLOOKUP(PerCom_byBoRydobon(COUNTA(_xlpm.Array), _xlpm.c, IF(_xlpm.RemoveOrder = 1, 1), IF(_xlpm.AllowRepeatItems = 1, 1), IF(_xlpm.Cumulative = 1, 1)), _xlfn.TAKE(_xlfn.HSTACK(_xlfn.SEQUENCE(COUNTA(_xlpm.Array)), _xlfn.TOCOL(_xlpm.Array)), , 1), _xlfn.TAKE(_xlfn.HSTACK(_xlfn.SEQUENCE(COUNTA(_xlpm.Array)), _xlfn.TOCOL(_xlpm.Array)), , -1)), ""))</definedName>
    <definedName name="Consecutives_byHadynWiseman" comment="Hadyn Wiseman, REPAIRED + MERGED by this review 2026-09-21. Run length of the current run of equal values; [groups] instead returns each element's group size. Merges Hadyn's 2026-09-07 groups branch with our single-cell split, row support, and a Prev fill">_xlfn.LAMBDA(_xlpm.array,_xlop.groups,_xlfn.LET(_xlpm.src,IF(ROWS(_xlpm.array)*COLUMNS(_xlpm.array)=1,SplitText_byHadynWiseman(_xlpm.array),_xlpm.array),_xlpm.horz,ROWS(_xlpm.src)=1,_xlpm.a,IF(_xlpm.horz,_xlfn.TOCOL(_xlpm.src),_xlpm.src),_xlpm.g,IF(_xlfn.ISOMITTED(_xlpm.groups),0,_xlpm.groups),_xlpm.same,--(Prev(_xlpm.a,1)=_xlpm.a)*(_xlfn.SEQUENCE(ROWS(_xlpm.a))&gt;1),_xlpm.r,IF(_xlpm.g,_xlfn.LET(_xlpm.s,_xlfn.SCAN(0,_xlpm.same,_xlfn.LAMBDA(_xlpm.x,_xlpm.v,IF(_xlpm.v,_xlpm.x,_xlpm.x+1))),INDEX(_xlfn.GROUPBY(_xlpm.s,_xlpm.a,_xleta.ROWS,0,0),_xlpm.s,2)),_xlfn.SCAN(1,_xlpm.same,_xlfn.LAMBDA(_xlpm.x,_xlpm.v,_xlpm.x*_xlpm.v+1))),IF(_xlpm.horz,TRANSPOSE(_xlpm.r),_xlpm.r)))</definedName>
    <definedName name="CountOcc_byHadynWiseman">_xlfn.LAMBDA(_xlpm.OccOf,_xlpm.Text,_xlop.Case,IF(_xlfn.ISOMITTED(_xlpm.Case),(LEN(_xlpm.Text)-LEN(SUBSTITUTE(LOWER(_xlpm.Text),LOWER(_xlpm.OccOf),"")))/LEN(_xlpm.OccOf),(LEN(_xlpm.Text)-LEN(SUBSTITUTE(_xlpm.Text,_xlpm.OccOf,"")))/LEN(_xlpm.OccOf)))</definedName>
    <definedName name="DemoStats">'C6 Text, codes and lookups'!$E$222:$G$224</definedName>
    <definedName name="Dice_byHadynWiseman">_xlfn.LAMBDA(_xlpm.Dice,_xlop.add,_xlop.join,_xlfn.LET(_xlpm.fin, _xlfn.MAP(_xlpm.Dice, _xlfn.LAMBDA(_xlpm.a, _xlfn.LET(_xlpm.l, IFERROR(SplitText_byHadynWiseman(_xlpm.a), ""), _xlpm.m, IF(_xlpm.add, 0, IF(_xlpm.join, "", _xlpm.l)), _xlpm.rs, IFERROR(_xlfn.XLOOKUP(_xlpm.l, {"⚀";"⚁";"⚂";"⚃";"⚄";"⚅"}, {1;2;3;4;5;6}), _xlpm.m), IF(_xlpm.add, SUM(_xlpm.rs), _xlfn.CONCAT(_xlpm.rs))))), IF(COUNTA(_xlpm.fin) = 1, _xlfn.SINGLE(_xlpm.fin), _xlpm.fin)))</definedName>
    <definedName name="DiffByRow_byJaqKennedy">_xlfn.LAMBDA(_xlpm.Input,_xlfn.LET(_xlpm.\\LambdaName, "DiffByRow", _xlpm.\\CommandName, "Difference of array columns by row", _xlpm.\\Description, "Returns first column - last column in array", _xlpm.\\Source, "Jaq Kennedy", _xlfn.TAKE(_xlpm.Input, , 1) - _xlfn.TAKE(_xlpm.Input, , -1)))</definedName>
    <definedName name="Distance_byHadynWiseman">_xlfn.LAMBDA(_xlpm.start,_xlpm.end,_xlop.h,_xlop.v,_xlop.d,_xlop.pythag,_xlop.knight,   _xlfn.LET(_xlpm.rd,ABS(RowNum_byHadynWiseman(_xlpm.start)-RowNum_byHadynWiseman(_xlpm.end)),_xlpm.cd,ABS(ColNum_byHadynWiseman(_xlpm.start)-ColNum_byHadynWiseman(_xlpm.end)),_xlpm.dd,IF(_xlpm.rd&gt;_xlpm.cd,_xlpm.rd,_xlpm.cd),_xlpm.md,IF(_xlpm.rd&lt;_xlpm.cd,_xlpm.rd,_xlpm.cd),   _xlpm.hvd,IF(_xlfn.ISOMITTED(_xlpm.h),0,IF(_xlfn.ISOMITTED(_xlpm.d),_xlpm.rd*_xlpm.v+_xlpm.cd*_xlpm.h,_xlpm.md*_xlpm.d+(_xlpm.rd-_xlpm.md)*_xlpm.v+(_xlpm.cd-_xlpm.md)*_xlpm.h)),   _xlpm.py,IF(_xlpm.pythag,SQRT(_xlpm.rd^2+_xlpm.cd^2),0),   _xlpm.kn,IF(_xlpm.knight,_xlfn.LET(_xlpm.oo,_xlpm.dd/2,_xlpm.ot,(_xlpm.dd+_xlpm.md)/3,_xlpm.km,ROUNDUP(IF(_xlpm.oo&gt;_xlpm.ot,_xlpm.oo,_xlpm.ot),0),_xlpm.parity,IF(ISODD(_xlpm.km)=ISODD(_xlpm.dd+_xlpm.md),0,1),IF(_xlpm.dd+_xlpm.md=1,3,IF(AND(_xlpm.dd=2,_xlpm.md=2),4,_xlpm.km+_xlpm.parity))),0), _xlpm.dist,IF(SUM(_xlpm.h,_xlpm.v,_xlpm.d,_xlpm.pythag,_xlpm.knight)=0,_xlpm.dd,_xlpm.hvd+_xlpm.py+_xlpm.kn), _xlpm.dist))</definedName>
    <definedName name="DistFrom_byDiarmuidEarly">_xlfn.LAMBDA(_xlpm.mp,_xlpm.trg,_xlpm.func, _xlfn.LET(_xlpm.vals, _xlfn.TOCOL(_xlpm.mp), _xlpm.rws, _xlfn.TOCOL(_xlfn.SEQUENCE(ROWS(_xlpm.mp)) + 0 * _xlfn.SEQUENCE(, COLUMNS(_xlpm.mp))), _xlpm.cls, _xlfn.TOCOL(_xlfn.SEQUENCE(ROWS(_xlpm.mp)) * 0 + _xlfn.SEQUENCE(, COLUMNS(_xlpm.mp))), _xlpm.Mrws, _xlfn.TOROW(_xlfn._xlws.FILTER(_xlpm.rws, _xlpm.vals = _xlpm.trg)), _xlpm.Mcls, _xlfn.TOROW(_xlfn._xlws.FILTER(_xlpm.cls, _xlpm.vals = _xlpm.trg)), _xlpm.rdist, ABS(_xlpm.rws - _xlpm.Mrws), _xlpm.cdist, ABS(_xlpm.cls - _xlpm.Mcls), _xlpm.dist, _xlfn.BYROW(_xlfn.MAP(_xlpm.rdist, _xlpm.cdist, _xlpm.func), _xleta.MIN), _xlfn.WRAPROWS(_xlpm.dist, COLUMNS(_xlpm.mp))))</definedName>
    <definedName name="Duplicates_byHadynWiseman">_xlfn.LAMBDA(_xlpm.Array,_xlfn.LET(_xlpm.a,IF(COUNTA(_xlpm.Array)=1,SplitText_byHadynWiseman(_xlpm.Array),_xlfn.TOCOL(_xlpm.Array,3)),_xlfn.UNIQUE(_xlfn._xlws.FILTER(_xlpm.a,ISERROR(_xlfn.XMATCH(_xlpm.a,_xlfn.UNIQUE(_xlpm.a,,1)))))))</definedName>
    <definedName name="ExactUnique_byHadynWiseman">_xlfn.LAMBDA(_xlpm.Array,_xlop.by_col,_xlop.exactly_once,_xlfn.LET( _xlpm.nums,_xlfn.XMATCH("^\Q"&amp;_xlpm.Array&amp;"\E$",_xlpm.Array,3), INDEX(_xlpm.Array,IF(_xlpm.exactly_once,_xlfn.UNIQUE(_xlpm.nums,_xlpm.by_col,1),_xlfn.UNIQUE(_xlpm.nums,_xlpm.by_col)))))</definedName>
    <definedName name="ExcludeCols_byHadynWiseman">_xlfn.LAMBDA(_xlpm.Array,_xlpm.ColumnsToRemove,_xlfn.LET(_xlpm.c,_xlfn.SEQUENCE(COLUMNS(_xlpm.Array)),_xlpm.kc,_xlfn.UNIQUE(_xlfn.VSTACK(_xlpm.c,_xlfn.TOCOL(_xlpm.ColumnsToRemove)),,1),_xlfn.CHOOSECOLS(_xlpm.Array,_xlpm.kc)))</definedName>
    <definedName name="Exists_byHadynWiseman">_xlfn.LAMBDA(_xlpm.Item,_xlpm.List,_xlop.SearchMode,_xlfn.LET(_xlpm._Mode,IF(_xlfn.ISOMITTED(_xlpm.SearchMode)+ISBLANK(_xlpm.SearchMode),0,_xlpm.SearchMode),ISNUMBER(IF(_xlpm._Mode,SEARCH(_xlpm.Item,_xlpm.List),_xlfn.XMATCH(_xlpm.Item,_xlpm.List)))))</definedName>
    <definedName name="ExtractLetters_byJaqKennedy">_xlfn.LAMBDA(_xlpm.text,_xlop.AsRuns,_xlfn.LET(_xlpm.rs,_xlfn.IFNA(_xlfn.REGEXEXTRACT(_xlpm.text,"[A-Za-z]+",1,0),""),IF(_xlfn.ISOMITTED(_xlpm.AsRuns),_xlfn.CONCAT(_xlpm.rs),_xlpm.rs)))</definedName>
    <definedName name="ExtractLowerLetters_byJaqKennedy">_xlfn.LAMBDA(_xlpm.text,_xlop.AsRuns,_xlfn.LET(_xlpm.rs,_xlfn.IFNA(_xlfn.REGEXEXTRACT(_xlpm.text,"[a-z]+",1,0),""),IF(_xlfn.ISOMITTED(_xlpm.AsRuns),_xlfn.CONCAT(_xlpm.rs),_xlpm.rs)))</definedName>
    <definedName name="ExtractNumbers_byHadynWiseman">_xlfn.LAMBDA(_xlpm.text,_xlop.With_Decimals,_xlfn.LET(_xlpm.rs, _xlfn.REGEXEXTRACT(_xlpm.text, IF(_xlfn.ISOMITTED(_xlpm.With_Decimals), "[-+]?\d+", "[-+]?\d*\.\d+|[-+]?\d+"), 1) * 1, IF(COUNTA(_xlpm.rs) = 1, _xlfn.SINGLE(_xlpm.rs) * 1, _xlpm.rs)))</definedName>
    <definedName name="ExtractUpperLetters_byJaqKennedy">_xlfn.LAMBDA(_xlpm.text,_xlop.AsRuns,_xlfn.LET(_xlpm.rs,_xlfn.IFNA(_xlfn.REGEXEXTRACT(_xlpm.text,"[A-Z]+",1,0),""),IF(_xlfn.ISOMITTED(_xlpm.AsRuns),_xlfn.CONCAT(_xlpm.rs),_xlpm.rs)))</definedName>
    <definedName name="Fetch_byJaqKennedy" comment="Value at an address or packed row/column number, read from a named range or block (e.g. a Sht_ used-range name). A list of refs returns a list. [oob] (default &quot;OOB&quot;) where the ref is outside the source. Not volatile.">_xlfn.LAMBDA(_xlpm.ref,_xlpm.source,_xlop.oob,_xlfn.LET(_xlpm.o,IF(_xlfn.ISOMITTED(_xlpm.oob),"OOB",_xlpm.oob),_xlpm.isr,ISREF(_xlpm.source),_xlpm.r0,IF(_xlpm.isr,ROW(INDEX(_xlpm.source,1,1)),1),_xlpm.c0,IF(_xlpm.isr,COLUMN(INDEX(_xlpm.source,1,1)),1),_xlpm.rr,IF({1},RowNum_byHadynWiseman(_xlpm.ref)-_xlpm.r0+1),_xlpm.cc,IF({1},ColNum_byHadynWiseman(_xlpm.ref)-_xlpm.c0+1),_xlpm.ok,(_xlpm.rr&gt;=1)*(_xlpm.rr&lt;=ROWS(_xlpm.source))*(_xlpm.cc&gt;=1)*(_xlpm.cc&lt;=COLUMNS(_xlpm.source)),_xlfn.MAP(_xlpm.rr,_xlpm.cc,_xlpm.ok,_xlfn.LAMBDA(_xlpm.a,_xlpm.b,_xlpm.k,IF(_xlpm.k,INDEX(_xlpm.source,_xlpm.a,_xlpm.b),_xlpm.o)))))</definedName>
    <definedName name="FilterArray_byErikOehm">_xlfn.LAMBDA(_xlpm.data,_xlpm.column_indexes,_xlpm.filter_values,_xlfn.LET(_xlpm.\\LambdaName, "FilterArray", _xlfn._xlws.FILTER(_xlpm.data, _xlfn.BYROW(IsInList_byErikOehm(_xlfn.CHOOSECOLS(_xlpm.data, _xlpm.column_indexes), _xlpm.filter_values), _xlfn.LAMBDA(_xlpm.x, AND(_xlpm.x))))))</definedName>
    <definedName name="FindInMap_byHadynWiseman">_xlfn.LAMBDA(_xlpm.items,_xlpm.mp,_xlfn.LET(_xlpm.g,_xlfn.DROP(GridToCol_byLiannaGerrish(_xlpm.mp,1,,,,,1),1),_xlpm.incells,_xlfn.CHOOSECOLS(_xlpm.g,1),_xlpm.addresses,_xlfn.CHOOSECOLS(_xlpm.g,2),_xlpm.out,_xlfn._xlws.FILTER(_xlpm.addresses,ISNUMBER(_xlfn.XMATCH(_xlpm.incells,_xlpm.items)),"Not Found"),IF((ROWS(_xlpm.out)*COLUMNS(_xlpm.out))=1,_xlfn.SINGLE(_xlpm.out),_xlpm.out)))</definedName>
    <definedName name="Flip_byHadynWiseman">_xlfn.LAMBDA(_xlpm.Array,_xlop.Horizontal,_xlop.Vertical,_xlop.DiagonalTopLeft,_xlop.DiagonalTopRight,_xlop.AddressMoves,_xlfn.LET(_xlpm.a, _xlpm.Array, _xlpm.c, COLUMNS(_xlpm.a), _xlpm.r, ROWS(_xlpm.a), _xlpm.ta, _xlpm.AddressMoves, _xlpm.rs, _xlfn.LAMBDA(_xlpm.x, IF(_xlpm.r * _xlpm.c = 1, _xlfn.CONCAT(MID(_xlpm.x, _xlfn.SEQUENCE(LEN(_xlpm.x), , LEN(_xlpm.x), -1), 1)), IF(_xlpm.DiagonalTopLeft, TRANSPOSE(_xlpm.x), IF(_xlpm.Horizontal, _xlfn.SORTBY(_xlpm.x, _xlfn.SEQUENCE(, _xlpm.c, _xlpm.c, -1)), IF(_xlpm.Vertical, _xlfn.SORTBY(_xlpm.x, _xlfn.SEQUENCE(_xlpm.r, , _xlpm.r, -1)), IF(_xlpm.DiagonalTopRight, TRANSPOSE(INDEX(_xlpm.x, _xlfn.SEQUENCE(_xlpm.r, , _xlpm.r, -1), _xlfn.SEQUENCE(, _xlpm.c, _xlpm.c, -1))), INDEX(_xlpm.x, _xlfn.SEQUENCE(_xlpm.r, , _xlpm.r, -1), _xlfn.SEQUENCE(, _xlpm.c, _xlpm.c, -1)))))))), IF(_xlfn.ISOMITTED(_xlpm.AddressMoves), _xlpm.rs(_xlpm.a), _xlfn.LET(_xlpm.oad, Addresses_byDiarmuidEarly(_xlpm.a), _xlpm.nad, _xlpm.rs(_xlpm.oad), _xlpm.sr, _xlfn.SINGLE(ROW(_xlpm.a)), _xlpm.sc, _xlfn.SINGLE(COLUMN(_xlpm.a)), _xlpm.out, _xlfn.MAP(_xlpm.ta, _xlfn.LAMBDA(_xlpm.y, _xlfn.CONCAT(IF(_xlpm.nad = _xlpm.y, _xlfn.MAKEARRAY(ROWS(_xlpm.nad), COLUMNS(_xlpm.nad), _xlfn.LAMBDA(_xlpm.r,_xlpm.c, ADDRESS(_xlpm.r + _xlpm.sr - 1, _xlpm.c + _xlpm.sc - 1, 4))), "")))), _xlpm.out))))</definedName>
    <definedName name="Fold_byHadynWiseman">_xlfn.LAMBDA(_xlpm.Array,_xlpm.Arrow,_xlop.PassthroughChars,_xlop.LinesToFold,_xlop.AddressMoves,_xlfn.LET(_xlpm.a,_xlpm.Array,_xlpm.ar,ArrowsLookup_byHadynWiseman(_xlpm.Arrow),_xlpm.p,IF(_xlfn.ISOMITTED(_xlpm.PassthroughChars),"Ϩ",_xlpm.PassthroughChars),_xlpm.an,_xlfn.XMATCH(_xlpm.ar,{"↓";"↑";"→";"←";"↘";"↖";"↙";"↗"}),_xlpm.r,ROWS(_xlpm.a),_xlpm.c,COLUMNS(_xlpm.a), _xlpm.sf,CHOOSE(_xlpm.an,_xlpm.r/2,_xlpm.r/2,_xlpm.c/2,_xlpm.c/2,_xlpm.r,_xlpm.r,_xlpm.r,_xlpm.r),_xlpm.fn,IF(_xlfn.ISOMITTED(_xlpm.LinesToFold),_xlpm.sf,_xlpm.LinesToFold), _xlpm.rs,_xlfn.LAMBDA(_xlpm.z,_xlfn.LET( _xlpm.inv,CHOOSE(_xlpm.an,Flip_byHadynWiseman(_xlpm.z,,1),Flip_byHadynWiseman(_xlpm.z,,1),Flip_byHadynWiseman(_xlpm.z,1),Flip_byHadynWiseman(_xlpm.z,1),Flip_byHadynWiseman(_xlpm.z,,,,1),Flip_byHadynWiseman(_xlpm.z,,,,1),Flip_byHadynWiseman(_xlpm.z,,,1),Flip_byHadynWiseman(_xlpm.z,,,1)), _xlpm.fmask,IF(_xlfn.MAKEARRAY(_xlpm.r,_xlpm.c,_xlfn.LAMBDA(_xlpm.x,_xlpm.y,CHOOSE(_xlpm.an,_xlpm.x&gt;_xlpm.r-_xlpm.fn,_xlpm.x&lt;=_xlpm.fn,_xlpm.y&gt;_xlpm.c-_xlpm.fn,_xlpm.y&lt;=_xlpm.fn,_xlpm.x+_xlpm.y&gt;_xlpm.r+_xlpm.c-_xlpm.fn,_xlpm.x+_xlpm.y&lt;=1+_xlpm.fn,_xlpm.x-_xlpm.y&gt;=_xlpm.r-_xlpm.fn,_xlpm.x-_xlpm.y&lt;=_xlpm.fn-_xlpm.r))),1,0), _xlpm.va,CHOOSE(_xlpm.an,Flip_byHadynWiseman(_xlpm.fmask,,1),Flip_byHadynWiseman(_xlpm.fmask,,1),Flip_byHadynWiseman(_xlpm.fmask,1),Flip_byHadynWiseman(_xlpm.fmask,1),Flip_byHadynWiseman(_xlpm.fmask,,,,1),Flip_byHadynWiseman(_xlpm.fmask,,,,1),Flip_byHadynWiseman(_xlpm.fmask,,,1),Flip_byHadynWiseman(_xlpm.fmask,,,1)), _xlpm.om,ArrayShift_byHadynWiseman(_xlpm.fmask,CHOOSE(_xlpm.an,(_xlpm.r/2-_xlpm.fn)*-2,(_xlpm.r/2-_xlpm.fn)*2,0,0,-(_xlpm.r-_xlpm.fn),(_xlpm.r-_xlpm.fn),-(_xlpm.r-_xlpm.fn),(_xlpm.r-_xlpm.fn)),CHOOSE(_xlpm.an,0,0,(_xlpm.c/2-_xlpm.fn)*-2,(_xlpm.c/2-_xlpm.fn)*2,-(_xlpm.c-_xlpm.fn),(_xlpm.c-_xlpm.fn),(_xlpm.c-_xlpm.fn),-(_xlpm.c-_xlpm.fn)),0), _xlpm.on,ArrayShift_byHadynWiseman(_xlpm.inv,CHOOSE(_xlpm.an,(_xlpm.r/2-_xlpm.fn)*-2,(_xlpm.r/2-_xlpm.fn)*2,0,0,-(_xlpm.r-_xlpm.fn),(_xlpm.r-_xlpm.fn),-(_xlpm.r-_xlpm.fn),(_xlpm.r-_xlpm.fn)),CHOOSE(_xlpm.an,0,0,(_xlpm.c/2-_xlpm.fn)*-2,(_xlpm.c/2-_xlpm.fn)*2,-(_xlpm.c-_xlpm.fn),(_xlpm.c-_xlpm.fn),(_xlpm.c-_xlpm.fn),-(_xlpm.c-_xlpm.fn)),0), _xlpm.oa,IF(_xlpm.om,IF(ISNUMBER(_xlfn.XMATCH(_xlpm.on,_xlpm.p)),_xlpm.z,_xlpm.on),IF(_xlpm.va,"",_xlpm.z)),_xlpm.oa)), IF(_xlfn.ISOMITTED(_xlpm.AddressMoves),_xlpm.rs(_xlpm.a),_xlfn.LET(_xlpm.oad,Addresses_byDiarmuidEarly(_xlpm.a),_xlpm.nad,_xlpm.rs(_xlpm.oad),_xlpm.sr,_xlfn.SINGLE(ROW(_xlpm.a)),_xlpm.sc,_xlfn.SINGLE(COLUMN(_xlpm.a)), _xlpm.out,_xlfn.MAP(_xlpm.AddressMoves,_xlfn.LAMBDA(_xlpm.y,_xlfn.CONCAT(IF(_xlpm.nad=_xlpm.y,_xlfn.MAKEARRAY(ROWS(_xlpm.nad),COLUMNS(_xlpm.nad),_xlfn.LAMBDA(_xlpm.r,_xlpm.c,ADDRESS(_xlpm.r+_xlpm.sr-1,_xlpm.c+_xlpm.sc-1,4))),"")))),_xlpm.out))))</definedName>
    <definedName name="GetBlock_byJaqKennedy">_xlfn.LAMBDA(_xlpm.Arr,_xlpm.AnchorCell,_xlpm.RowSize,_xlop.ColSize,_xlop.Pos,_xlop.Fill,_xlop.WrapAround,_xlfn.LET(_xlpm.nv,NOT(ISREF(_xlpm.Arr)),_xlpm._PosUsed,IF(_xlfn.ISOMITTED(_xlpm.Pos)+ISBLANK(_xlpm.Pos),"C",_xlpm.Pos),_xlpm._ColSizeUsed,IF(_xlfn.ISOMITTED(_xlpm.ColSize)+ISBLANK(_xlpm.ColSize),_xlpm.RowSize,_xlpm.ColSize),_xlpm._FillUsed,IF(_xlfn.ISOMITTED(_xlpm.Fill),0,_xlpm.Fill),_xlpm._WrapUsed,IF(_xlfn.ISOMITTED(_xlpm.WrapAround),0,_xlpm.WrapAround),_xlpm._RowTL,IF(_xlpm.nv,1,_xlfn.SINGLE(ROW(_xlpm.Arr))),_xlpm._ColTL,IF(_xlpm.nv,1,_xlfn.SINGLE(COLUMN(_xlpm.Arr))),_xlpm._RowNumber,RowNum_byHadynWiseman(_xlpm.AnchorCell),_xlpm._ColNumber,ColNum_byHadynWiseman(_xlpm.AnchorCell),_xlpm._RowShiftPos,IF(LEFT(_xlpm._PosUsed)="T",0,IF(LEFT(_xlpm._PosUsed)="B",-(_xlpm.RowSize-1),-INT(_xlpm.RowSize/2))),_xlpm._ColShiftPos,IF(RIGHT(_xlpm._PosUsed)="L",0,IF(RIGHT(_xlpm._PosUsed)="R",-(_xlpm._ColSizeUsed-1),-INT(_xlpm._ColSizeUsed/2))),_xlpm._RowShift,INDEX(_xlpm._RowNumber-_xlpm._RowTL+_xlpm._RowShiftPos,1,1),_xlpm._ColShift,INDEX(_xlpm._ColNumber-_xlpm._ColTL+_xlpm._ColShiftPos,1,1),_xlpm._Shifted,ArrayShift_byHadynWiseman(_xlpm.Arr,-_xlpm._RowShift,-_xlpm._ColShift,_xlpm._FillUsed,_xlpm._WrapUsed),_xlfn.TAKE(_xlpm._Shifted,_xlpm.RowSize,_xlpm._ColSizeUsed)))</definedName>
    <definedName name="GridToCol_byLiannaGerrish">_xlfn.LAMBDA(_xlpm.arr,_xlop.Address,_xlop.RowCol,_xlop.RCRef,_xlop.ByColumn,_xlop.HideZeros,_xlop.ShowBlanks,_xlfn.LET(_xlpm.nv,NOT(ISREF(_xlpm.arr)),_xlpm.bycol,IF(_xlfn.ISOMITTED(_xlpm.ByColumn),0,_xlpm.ByColumn),_xlpm.r0,IF(_xlpm.nv,1,_xlfn.SINGLE(ROW(_xlpm.arr))),_xlpm.c0,IF(_xlpm.nv,1,_xlfn.SINGLE(COLUMN(_xlpm.arr))),_xlpm.rws,_xlfn.TOCOL(_xlfn.SEQUENCE(,COLUMNS(_xlpm.arr))*0&amp;_xlfn.SEQUENCE(ROWS(_xlpm.arr),,_xlpm.r0),,_xlpm.bycol)*1,_xlpm.cls,_xlfn.TOCOL(_xlfn.SEQUENCE(ROWS(_xlpm.arr))*0&amp;_xlfn.SEQUENCE(,COLUMNS(_xlpm.arr),_xlpm.c0),,_xlpm.bycol)*1,_xlpm.empt,_xlfn.TOCOL(IF(_xlpm.nv,_xlpm.arr="",ISBLANK(_xlpm.arr)),,_xlpm.bycol),_xlpm.unit,_xlpm.empt*0+1,_xlpm.items,IF(_xlpm.empt,"",_xlfn.TOCOL(_xlpm.arr,,_xlpm.bycol)),_xlpm.wA,IF(_xlfn.ISOMITTED(_xlpm.Address),0,_xlpm.Address),_xlpm.wRC,IF(_xlfn.ISOMITTED(_xlpm.RowCol),0,_xlpm.RowCol),_xlpm.wR,IF(_xlfn.ISOMITTED(_xlpm.RCRef),0,_xlpm.RCRef),_xlpm.any,_xlpm.wA+_xlpm.wRC+_xlpm.wR,_xlpm.sA,IF(_xlpm.any,_xlpm.wA,1),_xlpm.sRC,IF(_xlpm.any,_xlpm.wRC,1),_xlpm.sR,IF(_xlpm.any,_xlpm.wR,1),_xlpm.pick,_xlfn._xlws.FILTER({1,2,3,4,5},{1,0,0,0,0}+_xlpm.sRC*{0,1,1,0,0}+_xlpm.sA*{0,0,0,1,0}+_xlpm.sR*{0,0,0,0,1}),_xlpm.headers,_xlfn.CHOOSECOLS(_xlfn.HSTACK("Items","Row #","Column #","Address","RCRef"),_xlpm.pick),_xlpm.data,_xlfn.CHOOSECOLS(_xlfn.HSTACK(_xlpm.items,_xlpm.rws,_xlpm.cls,ADDRESS(_xlpm.rws,_xlpm.cls,4),1000000*_xlpm.rws+_xlpm.cls),_xlpm.pick),_xlpm.keepB,IF(_xlfn.ISOMITTED(_xlpm.ShowBlanks),0,_xlpm.ShowBlanks),_xlpm.dropZ,IF(_xlfn.ISOMITTED(_xlpm.HideZeros),0,_xlpm.HideZeros),_xlpm.ok,IF(_xlpm.keepB,_xlpm.unit,NOT(_xlpm.empt)*_xlpm.unit)*IF(_xlpm.dropZ,(_xlpm.items&lt;&gt;0)*_xlpm.unit,_xlpm.unit),_xlpm.kept,IFERROR(_xlfn._xlws.FILTER(_xlpm.data,_xlpm.ok),IF(_xlfn.SEQUENCE(,COLUMNS(_xlpm.data)),"")),_xlfn.VSTACK(_xlpm.headers,_xlpm.kept)))</definedName>
    <definedName name="HugWall_byHadynWiseman">_xlfn.LAMBDA(_xlpm.mp,_xlpm.st,_xlpm.first_direction,_xlop.AntiClockwise,_xlop.AllowMp,_xlop.Steps,_xlop.ReferenceMap,_xlop.Show_on_map,_xlfn.LET(_xlpm.m,10^6,_xlpm.ac,_xlpm.AntiClockwise,_xlpm.fd,_xlpm.first_direction,_xlpm.rm,_xlpm.ReferenceMap,_xlpm.nv,NOT(ISREF(_xlpm.mp)),_xlpm.mis,_xlfn.ISOMITTED(_xlpm.rm),IF(_xlpm.nv*_xlpm.mis,"Map is not a range, add reference map",_xlfn.LET(_xlpm.um,IF(_xlpm.mis,_xlpm.mp,_xlpm.rm),_xlpm.rn,ROW(_xlpm.um),_xlpm.cn,COLUMN(_xlpm.um),_xlpm.rcn,_xlfn.TOCOL(_xlpm.rn*_xlpm.m+_xlpm.cn),_xlpm.mr,MIN(_xlpm.rn),_xlpm.xr,MAX(_xlpm.rn),_xlpm.mc,MIN(_xlpm.cn),_xlpm.xc,MAX(_xlpm.cn),_xlpm.mpA,IF(_xlfn.ISOMITTED(_xlpm.AllowMp),_xlpm.mp=IF(ISNUMBER(_xlfn.XMATCH("",_xlfn.TOCOL(_xlpm.mp))),"",0),_xlpm.AllowMp),_xlpm.d,IF(_xlpm.ac,{-1000000,1,1000000,-1},{-1000000,-1,1000000,1}),_xlpm.rcst,RowNum_byHadynWiseman(_xlpm.st)*_xlpm.m+ColNum_byHadynWiseman(_xlpm.st),_xlpm.rcd,RCRefConvert_byHadynWiseman(ArrowsLookup_byHadynWiseman(_xlpm.fd)),_xlpm.rs,RCRefConvert_byHadynWiseman(_xlfn.REDUCE(_xlfn.VSTACK(_xlpm.rcst,_xlpm.rcst+_xlpm.rcd),_xlfn.SEQUENCE(IF(_xlfn.ISOMITTED(_xlpm.Steps),150,_xlpm.Steps)),_xlfn.LAMBDA(_xlpm.a,_xlpm.v,_xlfn.LET(_xlpm.lt,_xlfn.TAKE(_xlpm.a,-2),_xlpm.ns,INDEX(_xlpm.lt,2),_xlpm.pa,_xlpm.ns-_xlfn.SINGLE(_xlpm.lt),_xlpm.ca,INDEX(_xlpm.d,MOD(_xlfn.XMATCH(_xlpm.pa,_xlpm.d)-_xlfn.SEQUENCE(,4,0),4)+1)+_xlpm.ns,_xlpm.cr,INT(_xlpm.ca/_xlpm.m),_xlpm.cc,MOD(_xlpm.ca,_xlpm.m),_xlpm.ob,(_xlpm.cr&lt;_xlpm.mr)+(_xlpm.cr&gt;_xlpm.xr)+(_xlpm.cc&lt;_xlpm.mc)+(_xlpm.cc&gt;_xlpm.xc)+(1-IFERROR(INDEX(_xlpm.mpA,_xlpm.cr-_xlpm.mr+1,_xlpm.cc-_xlpm.mc+1),0)),_xlfn.VSTACK(_xlpm.a,_xlfn.XLOOKUP(0,_xlpm.ob,_xlpm.ca)))))),IF(_xlpm.Show_on_map,_xlfn.LET(_xlpm.gb,_xlfn.GROUPBY(_xlpm.rs,_xlfn.SEQUENCE(ROWS(_xlpm.rs)),_xleta.ARRAYTOTEXT,0,0),IFERROR(VLOOKUP(Addresses_byDiarmuidEarly(_xlpm.um),_xlpm.gb,2,0),IF(_xlpm.mp="","",_xlpm.mp))),_xlpm.rs)))))</definedName>
    <definedName name="IFBLANK">_xlfn.LAMBDA(_xlpm.value,_xlpm.value_if_blank, IF(ISBLANK(_xlpm.value), _xlpm.value_if_blank, _xlpm.value))</definedName>
    <definedName name="IsInList_byErikOehm">_xlfn.LAMBDA(_xlpm.array,_xlpm.list,_xlfn.MAP(_xlpm.array,_xlfn.LAMBDA(_xlpm.x,OR(_xlpm.list=_xlpm.x))))</definedName>
    <definedName name="KnapSackInteger_byHadynWiseman">_xlfn.LAMBDA(_xlpm.Capacity,_xlpm.Weights,_xlpm.Values,_xlop.items,_xlfn.LET(_xlpm.c,_xlpm.Capacity, _xlpm.rs,_xlfn.REDUCE(_xlfn.IFNA(_xlfn.HSTACK(_xlfn.EXPAND(0,_xlpm.c+1,,0),""),""),_xlfn.SEQUENCE(ROWS(_xlpm.Weights)),_xlfn.LAMBDA(_xlpm.a,_xlpm.v,_xlfn.LET( _xlpm.w,_xlfn.SINGLE(INDEX(_xlpm.Weights,_xlpm.v)),_xlpm.p,_xlfn.SINGLE(INDEX(_xlpm.Values,_xlpm.v)),_xlpm.pv,_xlfn.TAKE(_xlpm.a,,1),_xlpm.pl,_xlfn.DROP(_xlpm.a,,1), _xlpm.nv,IF(_xlpm.w&gt;_xlpm.c,_xlpm.pv,IF(_xlpm.w=0,_xlpm.pv+_xlpm.p,_xlfn.VSTACK(_xlfn.EXPAND(0,_xlpm.w,,0),_xlfn.DROP(_xlpm.pv,-_xlpm.w)+_xlpm.p))), _xlpm.nl,IF(_xlpm.w&gt;_xlpm.c,_xlpm.pl,IF(_xlpm.w=0,_xlpm.pl,_xlfn.VSTACK(_xlfn.EXPAND("",_xlpm.w,,""),_xlfn.DROP(_xlpm.pl,-_xlpm.w)))), _xlpm.k,_xlpm.nv&gt;_xlpm.pv,_xlfn.HSTACK(IF(_xlpm.k,_xlpm.nv,_xlpm.pv),IF(_xlpm.k,_xlpm.nl&amp;1,_xlpm.pl&amp;0))))), IF(_xlfn.ISOMITTED(_xlpm.items),_xlfn.SINGLE(_xlfn.TAKE(_xlpm.rs,-1,1)),_xlfn.LET(_xlpm.b,_xlfn.SINGLE(_xlfn.TAKE(_xlpm.rs,-1,-1)),_xlfn._xlws.FILTER(_xlfn.HSTACK(_xlpm.items,_xlpm.Weights,_xlpm.Values),--MID(_xlpm.b,_xlfn.SEQUENCE(LEN(_xlpm.b)),1))))))</definedName>
    <definedName name="LetterType_byHadynWiseman">_xlfn.LAMBDA(_xlpm.text,_xlop.Vowels,_xlop.Digits,_xlfn.LET(_xlpm.l,SplitText_byHadynWiseman(_xlpm.text), _xlpm.vo,_xlfn.REGEXTEST(_xlpm.l,"A|E|I|O|U",1), _xlpm.dg,_xlfn.REGEXTEST(_xlpm.l,"[0-9]"), _xlpm.sym,EXACT(UPPER(_xlpm.l),LOWER(_xlpm.l)), _xlpm.upp,EXACT(UPPER(_xlpm.l),_xlpm.l), IF(_xlpm.Digits,IF(_xlpm.sym,IF(_xlpm.dg,"D","S"),"L"),IF(_xlpm.sym,"S",IF(_xlpm.Vowels,IF(_xlpm.vo,"V","C"),IF(_xlpm.upp,"U","L"))))))</definedName>
    <definedName name="LineOfSight_byHadynWiseman">_xlfn.LAMBDA(_xlpm.mp,_xlpm.Projections,_xlpm.blockers,_xlop.No_Diag,_xlop.Distance,_xlop.Custom_RC_Directions,_xlop.Fill, _xlfn.LET(_xlpm.M,10^6,_xlpm.R,ROWS(_xlpm.mp),_xlpm.C,COLUMNS(_xlpm.mp),_xlpm.rcn,_xlfn.SEQUENCE(_xlpm.R)*_xlpm.M+_xlfn.SEQUENCE(,_xlpm.C),_xlpm.fm,_xlfn.TOCOL(_xlpm.mp),_xlpm.fr,_xlfn.TOCOL(_xlpm.rcn),_xlpm.pm,ISNUMBER(_xlfn.XMATCH(_xlpm.fm,_xlpm.Projections)),_xlpm.st,_xlfn._xlws.FILTER(_xlpm.fr,_xlpm.pm,0),_xlpm.em,IF(_xlpm.mp="","",_xlpm.mp), IF(_xlfn.SINGLE(_xlpm.st)=0,_xlpm.em,_xlfn.LET(_xlpm.nm,_xlfn._xlws.FILTER(_xlpm.fm,_xlpm.pm),_xlpm.bk,_xlfn._xlws.FILTER(_xlpm.fr,ISNUMBER(_xlfn.XMATCH(_xlpm.fm,_xlpm.blockers)),-1), _xlpm.dr,IF(_xlfn.ISOMITTED(_xlpm.Custom_RC_Directions),_xlfn.TAKE(_xlfn.VSTACK(_xlpm.M,-_xlpm.M,1,-1,_xlpm.M+1,-_xlpm.M-1,_xlpm.M-1,1-_xlpm.M),8-4*_xlpm.No_Diag),_xlfn.TOCOL(_xlpm.Custom_RC_Directions,3)),_xlpm.td,_xlfn.TOROW(_xlpm.dr), _xlpm.sa,_xlfn.TOCOL(_xlpm.st+_xlpm.td*0),_xlpm.na,_xlfn.TOCOL(IF(_xlpm.td=_xlpm.td,_xlpm.nm)),_xlpm.da,_xlfn.TOCOL(_xlpm.st*0+_xlpm.td),_xlpm.dis,IF(_xlfn.ISOMITTED(_xlpm.Distance),MAX(_xlpm.R,_xlpm.C),_xlpm.Distance)+1,_xlpm.sq,_xlfn.SEQUENCE(,_xlpm.dis,0),_xlpm.pt,_xlpm.sa+_xlpm.da*_xlpm.sq, _xlpm.pr,INT(_xlpm.pt/_xlpm.M),_xlpm.pc,MOD(_xlpm.pt,_xlpm.M),_xlpm.sp,(_xlpm.pr&lt;1)+(_xlpm.pr&gt;_xlpm.R)+(_xlpm.pc&lt;1)+(_xlpm.pc&gt;_xlpm.C)+ISNUMBER(_xlfn.XMATCH(_xlpm.pt,_xlpm.bk)),_xlpm.si,_xlfn.BYROW(IF(_xlpm.sp,_xlpm.sq,_xlpm.dis),_xlfn.LAMBDA(_xlpm.x,MIN(_xlpm.x))), _xlpm.vp,_xlfn._xlws.FILTER(_xlfn.HSTACK(_xlfn.TOCOL(_xlpm.pt),_xlfn.TOCOL(IF(_xlpm.sq=_xlpm.sq,_xlpm.na))),_xlfn.TOCOL(_xlpm.sq&lt;_xlpm.si)),_xlpm.up,_xlfn.UNIQUE(_xlpm.vp),_xlpm.uc,_xlfn.TAKE(_xlpm.up,,1), _xlpm.lut,IF(_xlfn.ISOMITTED(_xlpm.Fill),_xlfn.GROUPBY(_xlpm.uc,_xlfn.DROP(_xlpm.up,,1),_xlfn.LAMBDA(_xlpm.x,_xlfn.TEXTJOIN("/",1,_xlpm.x)),0,0),_xlfn.HSTACK(_xlfn.UNIQUE(_xlpm.uc),_xlpm.Fill)), _xlfn.IFNA(VLOOKUP(_xlpm.rcn,_xlpm.lut,2,0),_xlpm.em)))))</definedName>
    <definedName name="LineOfSightCount_byHadynWiseman">_xlfn.LAMBDA(_xlpm.st,_xlpm.mp,_xlpm.ItemsToCount,_xlop.Blockers,_xlop.No_Diag,_xlop.Distance,_xlop.Custom_Directions,_xlop.ReferenceMap, _xlfn.LET(_xlpm.M,10^6,_xlpm.rm,_xlpm.ReferenceMap,_xlpm.nv,NOT(ISREF(_xlpm.mp)),_xlpm.ms,_xlfn.ISOMITTED(_xlpm.rm), IF(_xlpm.nv*_xlpm.ms,"Map is not a range, add reference map", _xlfn.LET(_xlpm.um,IF(_xlpm.ms,_xlpm.mp,_xlpm.rm),_xlpm.rn,ROW(_xlpm.um),_xlpm.cn,COLUMN(_xlpm.um),_xlpm.mr,MIN(_xlpm.rn),_xlpm.xr,MAX(_xlpm.rn),_xlpm.mc,MIN(_xlpm.cn),_xlpm.xc,MAX(_xlpm.cn), _xlpm.fm,_xlfn.TOCOL(_xlpm.mp),_xlpm.fr,_xlfn.TOCOL(_xlpm.rn*_xlpm.M+_xlpm.cn),_xlpm.bk,_xlfn._xlws.FILTER(_xlpm.fr,ISNUMBER(_xlfn.XMATCH(_xlpm.fm,_xlpm.Blockers)),-1), _xlpm.dr,IF(_xlfn.ISOMITTED(_xlpm.Custom_Directions),_xlfn.TAKE(_xlfn.VSTACK(_xlpm.M,-_xlpm.M,1,-1,_xlpm.M+1,-_xlpm.M-1,_xlpm.M-1,1-_xlpm.M),8-4*_xlpm.No_Diag),_xlfn.TOCOL(_xlpm.Custom_Directions,3)), _xlpm.dis,IF(_xlfn.ISOMITTED(_xlpm.Distance),MAX(ROWS(_xlpm.um),COLUMNS(_xlpm.um)),_xlpm.Distance)+1,_xlpm.sq,_xlfn.SEQUENCE(,_xlpm.dis,0), _xlpm.pt,RCRefConvert_byHadynWiseman(_xlpm.st)+_xlpm.dr*_xlpm.sq, _xlpm.pr,INT(_xlpm.pt/_xlpm.M),_xlpm.pc,MOD(_xlpm.pt,_xlpm.M),_xlpm.sp,(_xlpm.pr&lt;_xlpm.mr)+(_xlpm.pr&gt;_xlpm.xr)+(_xlpm.pc&lt;_xlpm.mc)+(_xlpm.pc&gt;_xlpm.xc)+ISNUMBER(_xlfn.XMATCH(_xlpm.pt,_xlpm.bk)), _xlpm.si,_xlfn.BYROW(IF(_xlpm.sp,_xlpm.sq,_xlpm.dis),_xlfn.LAMBDA(_xlpm.x,MIN(_xlpm.x))), _xlpm.up,_xlfn.UNIQUE(_xlfn._xlws.FILTER(_xlfn.TOCOL(_xlpm.pt),_xlfn.TOCOL(_xlpm.sq&lt;_xlpm.si))), SUM(--ISNUMBER(_xlfn.XMATCH(_xlfn.IFNA(_xlfn.XLOOKUP(_xlpm.up,_xlpm.fr,_xlpm.fm),""),_xlpm.ItemsToCount)))))))</definedName>
    <definedName name="LkpRC">_xlfn.LAMBDA(_xlpm.ToFind,_xlpm.Range,_xlfn.LET(_xlpm.\\LambdaName, "LkpRC", _xlpm.\\CommandName, "Lookup RC coordinates ", _xlpm.\\Description, "Looks up RC coordinates of matching cell(s) in range", _xlfn.CHOOSECOLS(FilterArray_byErikOehm(GridToCol_byLiannaGerrish(_xlpm.Range), {1}, _xlpm.ToFind), {2,3})))</definedName>
    <definedName name="LkpRCByRow">_xlfn.LAMBDA(_xlpm.ToFind,_xlpm.Range,_xlfn.LET(_xlpm.\\LambdaName, "LkpRCByRow", _xlpm.\\CommandName, "Lookup Value by Row", _xlpm.\\Description, "Returns RC location of a list of values in a range", _xlpm.\\Source, "Jaq Kennedy", BiRow_byHadynWiseman(_xlpm.ToFind, _xlfn.LAMBDA(_xlpm.a, IFERROR(_xlfn.CHOOSEROWS(LkpRC(_xlpm.a, _xlpm.Range), 1), {"",""})))))</definedName>
    <definedName name="MassSubstitute_byHadynWiseman">_xlfn.LAMBDA(_xlpm.Text,_xlpm.OldText,_xlop.NewText,_xlop.CaseSensitive,_xlop.InstanceNumber,_xlop.Regexmode,_xlfn.MAP(_xlpm.Text,_xlfn.LAMBDA(_xlpm.x, _xlfn.LET(_xlpm.ot,IF(_xlpm.Regexmode,"","\Q")&amp;_xlfn.TOCOL(_xlpm.OldText)&amp;IF(_xlpm.Regexmode,"","\E"),_xlpm.nt,"\Q"&amp;IF(_xlfn.ISOMITTED(_xlpm.NewText),_xlfn.EXPAND("",ROWS(_xlpm.ot),,""),_xlpm.NewText)&amp;"\E",_xlpm.in,_xlfn.EXPAND(_xlpm.InstanceNumber,ROWS(_xlpm.ot),,_xlfn.SINGLE(_xlpm.InstanceNumber)), _xlpm.ms,_xlfn.REDUCE(_xlpm.x,_xlfn.SEQUENCE(ROWS(_xlpm.ot)),_xlfn.LAMBDA(_xlpm.a,_xlpm.v,_xlfn.REGEXREPLACE(_xlpm.a,INDEX(_xlpm.ot,_xlpm.v),INDEX(_xlpm.nt,_xlpm.v),IF(_xlfn.ISOMITTED(_xlpm.InstanceNumber),0,INDEX(_xlpm.in,_xlpm.v)),1-_xlpm.CaseSensitive))), _xlpm.ms))))</definedName>
    <definedName name="MAXLOOKUP_byJaqKennedy">_xlfn.LAMBDA(_xlpm.lookup_array,_xlpm.return_array,_xlfn.LET(_xlpm.\\LambdaName, "MAXLOOKUP", _xlpm.\\CommandName, "Lookup the MAX of a range", _xlpm.\\Description, "Returns the item lined up with the MAX of a range", _xlpm.\\Source, "Jaq Kennedy", _xlfn.XLOOKUP(MAX(_xlpm.lookup_array),_xlpm.lookup_array,_xlpm.return_array)))</definedName>
    <definedName name="Maze_byHadynWiseman">_xlfn.LAMBDA(_xlpm.mp,_xlpm.st,_xlop.targets,_xlop.No_Diag,_xlop.AllowMp,_xlop.Custom_Directions,_xlop.ReferenceMap,_xlfn.LET(_xlpm.M,10^6,_xlpm.rm,_xlpm.ReferenceMap,_xlpm.nv,NOT(ISREF(_xlpm.mp)),_xlpm.mis,_xlfn.ISOMITTED(_xlpm.rm),IF(_xlpm.nv*_xlpm.mis,"Map is not a range, add reference map",_xlfn.LET( _xlpm.um,IF(_xlpm.mis,_xlpm.mp,_xlpm.rm),_xlpm.rn,ROW(_xlpm.um),_xlpm.cn,COLUMN(_xlpm.um),_xlpm.rcn,_xlpm.rn*_xlpm.M+_xlpm.cn, _xlpm.directions,{-1000000,-1,1,1000000,-1000001,-999999,999999,1000001},_xlpm.xRC,IF(_xlfn.ISOMITTED(_xlpm.Custom_Directions),_xlfn.TAKE(_xlpm.directions,,8-4*_xlpm.No_Diag),_xlfn.TOROW(_xlpm.Custom_Directions,3)), _xlpm.mpA,IF(_xlfn.ISOMITTED(_xlpm.AllowMp),_xlpm.mp,_xlpm.AllowMp),_xlpm.al,IF(Exists_byHadynWiseman("",_xlfn.TOCOL(_xlpm.mp)),"",0),   _xlpm.Rec,_xlfn.LAMBDA(_xlpm.f,_xlpm.a,_xlfn.LET(_xlpm.j,_xlfn.DROP(_xlpm.a,,1),_xlpm.i,MAX(_xlpm.j)+1,_xlpm.p,_xlfn._xlws.FILTER(_xlpm.a,_xlpm.j=_xlpm.i-1),     _xlpm.b,_xlfn.TAKE(_xlpm.p,,1)+_xlpm.xRC,_xlpm.br,INT(_xlpm.b/_xlpm.M),_xlpm.bc,MOD(_xlpm.b,_xlpm.M),_xlpm.c,_xlfn.IFS(_xlpm.br*_xlpm.bc*ISNA(_xlfn.XMATCH(_xlpm.b,_xlfn.TAKE(_xlpm.a,,1))),INDEX(_xlpm.mpA,_xlpm.br-_xlfn.SINGLE(_xlpm.rn)+1,_xlpm.bc-_xlfn.SINGLE(_xlpm.cn)+1)),     _xlpm.h,_xlfn.IFNA(_xlfn.HSTACK(_xlfn.UNIQUE(_xlfn.TOCOL(_xlfn.IFS(IF(_xlfn.ISOMITTED(_xlpm.AllowMp),_xlpm.c=_xlpm.al,_xlpm.c),_xlpm.b),3)),_xlpm.i),_xlpm.i),     IF(ISERR(_xlfn.SINGLE(_xlpm.h)),_xlpm.a,_xlpm.f(_xlpm.f,_xlfn.VSTACK(_xlpm.a,_xlpm.h))))), _xlpm.rs,_xlpm.Rec(_xlpm.Rec,_xlfn.IFNA(_xlfn.HSTACK(_xlfn.TOCOL(RowNum_byHadynWiseman(_xlpm.st)*_xlpm.M+ColNum_byHadynWiseman(_xlpm.st)),0),0)), _xlpm.final,IF(_xlfn.ISOMITTED(_xlpm.targets),_xlfn.IFNA(VLOOKUP(_xlpm.rcn,_xlpm.rs,2,0),""),_xlfn.IFNA(VLOOKUP(RowNum_byHadynWiseman(_xlpm.targets)*_xlpm.M+ColNum_byHadynWiseman(_xlpm.targets),_xlpm.rs,2,0),"OOB")), _xlpm.final))))</definedName>
    <definedName name="MazeDistance_byHadynWiseman">_xlfn.LAMBDA(_xlpm.mp,_xlpm.st,_xlop.Targets,_xlop.No_Diag,_xlop.Allowmp,_xlop.Show_Steps,_xlop.Cus_Dir,_xlop.Mazelam,_xlop.ReferenceMap,_xlfn.LET(_xlpm.M,10^6,_xlpm.rm,_xlpm.ReferenceMap,_xlpm.nv,NOT(ISREF(_xlpm.mp)),_xlpm.mis,_xlfn.ISOMITTED(_xlpm.rm),IF(_xlpm.nv*_xlpm.mis,"Map is not a range, add reference map",_xlfn.LET( _xlpm.um,IF(_xlpm.mis,_xlpm.mp,_xlpm.rm),_xlpm.rn,ROW(_xlpm.um),_xlpm.cn,COLUMN(_xlpm.um),_xlpm.rcn,_xlpm.rn*_xlpm.M+_xlpm.cn, _xlpm.dir,{1000000,-1000000,1,-1,1000001,-1000001,999999,-999999},_xlpm.xRC,IF(_xlfn.ISOMITTED(_xlpm.Cus_Dir),_xlfn.TAKE(_xlpm.dir,,8-4*_xlpm.No_Diag),_xlfn.TOROW(_xlpm.Cus_Dir,3)),_xlpm.ir,_xlfn.SINGLE(_xlpm.rn)-1,_xlpm.ic,_xlfn.SINGLE(_xlpm.cn)-1,_xlpm.na,_xlfn.HSTACK(0,0,0),_xlpm.rcst,_xlfn.TOCOL(RowNum_byHadynWiseman(_xlpm.st)*_xlpm.M+ColNum_byHadynWiseman(_xlpm.st)),_xlpm.mpA,IF(_xlfn.ISOMITTED(_xlpm.Allowmp),ISNUMBER(_xlpm.mp),_xlpm.Allowmp),    _xlpm.fx, _xlfn.LAMBDA(_xlpm.lfx,_xlpm.pool,_xlpm.ft,_xlpm.n,      _xlfn.LET(_xlpm.fcl,_xlfn.TAKE(_xlpm.ft,,1),_xlpm.cf,_xlfn.TOCOL(_xlpm.fcl+_xlfn.SEQUENCE(,COUNTA(_xlpm.xRC),0,0)),_xlpm.rf,INT(_xlpm.cf/_xlpm.M)-_xlpm.ir,_xlpm.clf,MOD(_xlpm.cf,_xlpm.M)-_xlpm.ic,_xlpm.ct,_xlfn.TOCOL(_xlpm.fcl+_xlpm.xRC),_xlpm.rt,INT(_xlpm.ct/_xlpm.M)-_xlpm.ir,_xlpm.clt,MOD(_xlpm.ct,_xlpm.M)-_xlpm.ic,_xlpm.conf,INDEX(_xlpm.mp,_xlpm.rf,_xlpm.clf),_xlpm.cont,INDEX(_xlpm.mp,_xlpm.rt,_xlpm.clt),      _xlpm.st,_xlfn.TOCOL(_xlfn.SEQUENCE(ROWS(_xlpm.ft),,0,0)+_xlfn.SEQUENCE(,COUNTA(_xlpm.xRC),_xlpm.n+1,0)),_xlpm.df,_xlfn.TOCOL(_xlfn.CHOOSECOLS(_xlpm.ft,2)+_xlfn.SEQUENCE(,COUNTA(_xlpm.xRC),0,0)),_xlpm.dr,_xlfn.TOCOL(_xlpm.xRC+_xlfn.SEQUENCE(COUNTA(_xlpm.fcl),,0,0)),      _xlpm.pd,_xlfn.IFNA(_xlfn.XLOOKUP(_xlpm.ct,_xlfn.TAKE(_xlpm.pool,,1),_xlfn.CHOOSECOLS(_xlpm.pool,2),,,2),""),      _xlpm.ift,_xlfn._xlws.SORT(IF(_xlpm.rt*_xlpm.clt,_xlfn.LET(_xlpm.al,IFERROR(INDEX(_xlpm.mpA,_xlpm.rt,_xlpm.clt),0),_xlpm.nd,IF(_xlfn.ISOMITTED(_xlpm.Mazelam),_xlpm.cont,_xlpm.Mazelam(_xlpm.conf,_xlpm.cont,_xlpm.cf,_xlpm.ct,_xlpm.st,_xlpm.df,_xlpm.dr)),IF(_xlpm.al,IFERROR(IF(_xlpm.nd+_xlpm.df&lt;_xlpm.pd,_xlfn.HSTACK(_xlpm.ct,_xlpm.df+_xlpm.nd,_xlpm.st),_xlpm.na),_xlpm.na),_xlpm.na)),_xlpm.na),{1,2},{1,-1}),      _xlpm.nft,_xlfn.LET(_xlpm.au,_xlfn.UNIQUE(_xlfn.TAKE(_xlpm.ift,,1)),_xlpm.a,_xlfn.HSTACK(_xlpm.au,VLOOKUP(_xlpm.au,_xlpm.ift,2),VLOOKUP(_xlpm.au,_xlpm.ift,3)),_xlfn._xlws.FILTER(_xlpm.a,_xlfn.TAKE(_xlpm.a,,1)&gt;0,_xlpm.na)),      _xlpm.npool,_xlfn.LET(_xlpm.b,_xlfn._xlws.SORT(_xlfn.VSTACK(_xlpm.pool,_xlpm.nft),{1,2},{1,-1}),_xlpm.bu,_xlfn.UNIQUE(_xlfn.TAKE(_xlpm.b,,1)),_xlfn.HSTACK(_xlpm.bu,VLOOKUP(_xlpm.bu,_xlpm.b,2),VLOOKUP(_xlpm.bu,_xlpm.b,3))),    IF(SUM(_xlpm.nft)=0,_xlpm.pool,_xlpm.lfx(_xlpm.lfx,_xlpm.npool,_xlpm.nft,_xlpm.n+1)))),  _xlpm.rs,_xlpm.fx(_xlpm.fx,_xlfn.IFNA(_xlfn.HSTACK(_xlpm.rcst,0,0),0),_xlfn.IFNA(_xlfn.HSTACK(_xlpm.rcst,0,0),0),0),_xlpm.end,_xlfn.LET(_xlpm.z,IF(_xlfn.ISOMITTED(_xlpm.Show_Steps),2,3),IF(_xlfn.ISOMITTED(_xlpm.Targets),_xlfn.IFNA(VLOOKUP(_xlpm.rcn,_xlpm.rs,_xlpm.z,),""),VLOOKUP(RowNum_byHadynWiseman(_xlpm.Targets)*_xlpm.M+ColNum_byHadynWiseman(_xlpm.Targets),_xlpm.rs,_xlpm.z,))),_xlpm.end))))</definedName>
    <definedName name="MINLOOKUP_byJaqKennedy">_xlfn.LAMBDA(_xlpm.lookup_array,_xlpm.return_array,_xlfn.LET(_xlpm.\\LambdaName, "MINLOOKUP", _xlpm.\\CommandName, "Lookup the MIN of a range", _xlpm.\\Description, "Returns the item lined up with the MIN of a range", _xlpm.\\Source, "Jaq Kennedy", _xlfn.XLOOKUP(MIN(_xlpm.lookup_array),_xlpm.lookup_array,_xlpm.return_array)))</definedName>
    <definedName name="MissingLetters_byJaqKennedy">_xlfn.LAMBDA(_xlpm.list,_xlop.pool,_xlfn.LET(_xlpm._Pool,IF(_xlfn.ISOMITTED(_xlpm.pool),Alphabet_byHadynWiseman(),_xlpm.pool),NotInList_byJaqKennedy(_xlpm._Pool,_xlpm.list)))</definedName>
    <definedName name="MM_byHaDang" comment="Applies -- to values, with option to sum output.  ">_xlfn.LAMBDA(_xlpm.value,_xlop.add_up, _xlfn.LET(
   _xlpm.\\LambdaName, "MM_byHaDang",
   _xlpm.\\Description, "Applies -- to values, with option to sum output",
   _xlpm.result, IFERROR(--(_xlpm.value), _xlpm.value &amp; ""),
   IF(_xlpm.add_up, SUM(_xlpm.result), _xlpm.result)
))</definedName>
    <definedName name="ModeSuper_byLiannaGerrish">_xlfn.LAMBDA(_xlpm.rng,_xlfn.LET(_xlpm.u,_xlfn.TOCOL(_xlfn.UNIQUE(_xlpm.rng),3),_xlfn.TAKE(_xlfn._xlws.SORT(_xlfn.HSTACK(_xlpm.u,COUNTIF(_xlpm.rng,_xlpm.u)),2,-1),1)))</definedName>
    <definedName name="MostOf_byHadynWiseman" comment="Hadyn Wiseman. [Letter_Mode] RESTORED 2026-09-22 - CompBot had dropped it and inferred letter-splitting from COUNTA(Array)=1, which cannot express &quot;one cell, counted whole&quot;: MostOf(A1) on a cell holding &quot;BANANA&quot; could only return per-letter counts. Omitte">_xlfn.LAMBDA(_xlpm.Array,_xlop.Letter_Mode,_xlop.Overlay_Array,_xlfn.LET(_xlpm.split, IF(_xlfn.ISOMITTED(_xlpm.Letter_Mode), COUNTA(_xlpm.Array) = 1, _xlpm.Letter_Mode), _xlpm.vals, _xlfn.TOCOL(IF(_xlpm.split, SplitText_byHadynWiseman(_xlfn.CONCAT(_xlpm.Array)), _xlpm.Array), 3), _xlpm.table, _xlfn.GROUPBY(_xlpm.vals, _xlpm.vals, _xleta.ROWS, 0, 0, -2), IF(_xlfn.ISOMITTED(_xlpm.Overlay_Array), _xlpm.table, IFERROR(VLOOKUP(_xlpm.Overlay_Array, _xlpm.table, 2, 0), 0))))</definedName>
    <definedName name="MoveOnMap_byHadynWiseman">_xlfn.LAMBDA(_xlpm.St,_xlpm.Dir,_xlop.Steps,_xlop.mp,_xlop.Path,_xlop.Stop,_xlop.Glide,_xlop.Bounce,_xlop.Wrap,_xlop.RefMap,_xlop.mpA,_xlop.ShowDir,_xlfn.LET(_xlpm.sp,_xlpm.Path,_xlpm.sh,_xlpm.ShowDir,_xlpm.b,_xlpm.Bounce,_xlpm.g,_xlpm.Glide,_xlpm.wa,_xlpm.Wrap,_xlpm.rp,_xlpm.RefMap,_xlpm.ar,ArrowsLookup_byHadynWiseman(_xlpm.Dir),_xlpm.M,1000000,_xlpm.r,RowNum_byHadynWiseman(_xlpm.St),_xlpm.c,ColNum_byHadynWiseman(_xlpm.St),_xlpm.u,IF(_xlfn.ISOMITTED(_xlpm.rp),_xlpm.mp,_xlpm.rp),_xlpm.rr,ROW(_xlpm.u),_xlpm.cc,COLUMN(_xlpm.u),_xlpm.rn,_xlpm.rr*_xlpm.M+_xlpm.cc,_xlpm.ri,MIN(_xlpm.rr),_xlpm.ci,MIN(_xlpm.cc),_xlpm.rx,MAX(_xlpm.rr),_xlpm.cx,MAX(_xlpm.cc),_xlpm.mt,IF(_xlfn.ISOMITTED(_xlpm.Steps),1,_xlpm.Steps),_xlpm.am,_xlfn.ISOMITTED(_xlpm.mpA),_xlpm.ib,_xlfn.TOCOL(IF(_xlpm.am,_xlpm.rn,IF(_xlpm.mpA,_xlpm.rn,1/0)),2),_xlpm.d,{"↗";"↖";"↙";"↓";"↘";"→";"↑";"←"},_xlpm.dd,{"↘";"↖";"↙";"↗"},_xlpm.rm,_xlfn.XLOOKUP(_xlpm.ar,_xlpm.d,{-1;-1;1;1;1;0;-1;0}),_xlpm.cm,_xlfn.XLOOKUP(_xlpm.ar,_xlpm.d,{1;-1;-1;0;1;1;0;-1}),IF(_xlpm.mt=0,_xlpm.St,  IF(_xlpm.b+_xlpm.g,_xlfn.LET(_xlpm.pt,_xlfn.REDUCE(_xlfn.HSTACK(_xlpm.r*_xlpm.M+_xlpm.c,_xlpm.ar,_xlpm.ar,0),_xlfn.SEQUENCE(_xlpm.mt),_xlfn.LAMBDA(_xlpm.a,_xlpm.v,IF(_xlfn.SINGLE(_xlfn.TAKE(_xlpm.a,-1,-1))=1,_xlpm.a,_xlfn.LET(_xlpm.sc,_xlfn.SINGLE(_xlfn.TAKE(_xlpm.a,-1,1)),_xlpm.sa,_xlfn.SINGLE(_xlfn.TAKE(_xlpm.a,-1,IF(_xlpm.b,-2,-3))),_xlpm.gc,RCRefConvert_byHadynWiseman(_xlpm.sa)+_xlpm.sc,_xlpm.rs,IF(COUNT(_xlfn.XMATCH(_xlpm.gc,_xlpm.ib)),_xlfn.HSTACK(_xlpm.gc,_xlpm.sa,_xlpm.sa,0),_xlfn.LET(_xlpm.ck,_xlfn.XLOOKUP(_xlpm.sa,_xlpm.dd,{1000000,1,"↗","↙","→","↓";-1000000,-1,"↙","↗","←","↑";1000000,-1,"↖","↘","←","↓";-1000000,1,"↘","↖","→","↑"}),_xlpm.cb,--ISNUMBER(_xlfn.XMATCH(_xlfn.TAKE(_xlpm.ck,,2)+_xlpm.sc,_xlpm.ib)),_xlpm.ea,IF(ISERROR(_xlfn.SINGLE(_xlpm.ck)),IF(_xlpm.g,0,_xlfn.XLOOKUP(_xlpm.sa,{"↓";"↑";"→";"←"},{"↑";"↓";"←";"→"})),IF(SUM(_xlpm.cb)&lt;&gt;1,IF(_xlpm.g,0,_xlfn.XLOOKUP(_xlpm.sa,_xlpm.dd,{"↖";"↘";"↗";"↙"})),_xlfn.CONCAT(_xlfn.XLOOKUP(0,_xlpm.cb,IF(_xlpm.b,_xlfn.CHOOSECOLS(_xlpm.ck,3,4),_xlfn.DROP(_xlpm.ck,,4)))))),_xlpm.nc,RCRefConvert_byHadynWiseman(_xlpm.ea)+_xlpm.sc,IF((_xlpm.ea=0)+ISNA(_xlfn.XMATCH(_xlpm.nc,_xlpm.ib)),_xlfn.HSTACK(_xlfn.TAKE(_xlpm.a,-1,3),1),_xlfn.HSTACK(_xlpm.nc,IF(_xlpm.g,_xlpm.ar,_xlpm.sa),_xlpm.ea,0)))),IF(_xlpm.sp,_xlfn.VSTACK(_xlpm.a,_xlpm.rs),_xlpm.rs))))),_xlpm.cp,IF((_xlfn.SINGLE(_xlfn.TAKE(_xlpm.pt,-1,-1))=1)*(ROWS(_xlpm.pt)&gt;1),_xlfn.DROP(_xlpm.pt,-1),_xlpm.pt),_xlpm.rc,RCRefConvert_byHadynWiseman(_xlfn.TAKE(_xlpm.cp,,1)),IF(_xlpm.sh,_xlfn.HSTACK(_xlpm.rc,IF(ROWS(_xlpm.cp)=1,{0,0},_xlfn.VSTACK(_xlfn.DROP(_xlfn.CHOOSECOLS(_xlpm.cp,2,3),1),{0,0}))),_xlpm.rc)),  _xlfn.LET(_xlpm.fs,(_xlpm.sp=0)*_xlpm.am,_xlpm.vr,IF(_xlpm.rm,_xlfn.LET(_xlpm.x,IF(_xlpm.rm&lt;0,_xlpm.r-_xlpm.ri,_xlpm.rx-_xlpm.r),_xlpm.x*(_xlpm.x&gt;0)),_xlpm.mt),_xlpm.vc,IF(_xlpm.cm,_xlfn.LET(_xlpm.x,IF(_xlpm.cm&lt;0,_xlpm.c-_xlpm.ci,_xlpm.cx-_xlpm.c),_xlpm.x*(_xlpm.x&gt;0)),_xlpm.mt),_xlpm.sm,IF(_xlpm.vr&lt;_xlpm.vc,_xlpm.vr,_xlpm.vc),_xlpm.sq,IF(_xlpm.fs,IF(_xlpm.Stop,IF(_xlpm.mt&lt;_xlpm.sm,_xlpm.mt,_xlpm.sm),_xlpm.mt),_xlfn.SEQUENCE(_xlpm.mt+1,,0)),_xlpm.ra,IF(_xlpm.wa,MOD(_xlpm.r+_xlpm.rm*_xlpm.sq-_xlpm.ri,_xlpm.rx-_xlpm.ri+1)+_xlpm.ri,_xlpm.r+_xlpm.rm*_xlpm.sq),_xlpm.ca,IF(_xlpm.wa,MOD(_xlpm.c+_xlpm.cm*_xlpm.sq-_xlpm.ci,_xlpm.cx-_xlpm.ci+1)+_xlpm.ci,_xlpm.c+_xlpm.cm*_xlpm.sq),_xlpm.gl,IFERROR(ADDRESS(_xlpm.ra,_xlpm.ca,4),"OOB"),_xlpm.vi,IF(_xlfn.ISOMITTED(_xlpm.mp),--(_xlpm.gl&lt;&gt;"OOB"),--ISNUMBER(_xlfn.XMATCH(_xlpm.ra*_xlpm.M+_xlpm.ca,_xlpm.ib))),IF(_xlpm.fs,IF(_xlpm.vi,_xlpm.gl,"OOB"),_xlfn.LET(_xlpm.fo,_xlfn.XMATCH(0,_xlpm.vi),_xlpm.fp,IF(ISNA(_xlpm.fo),_xlpm.gl,IF(_xlpm.Stop,IF(_xlpm.fo=1,"OOB",_xlfn.TAKE(_xlpm.gl,_xlpm.fo-1)),IF(_xlpm.vi,_xlpm.gl,"OOB"))),IF(_xlpm.sp,_xlpm.fp,_xlfn.SINGLE(_xlfn.TAKE(_xlpm.fp,-1))))))))))</definedName>
    <definedName name="NetworkGraph_byHadynWiseman">_xlfn.LAMBDA(_xlpm.Starts,_xlpm.OriginDestinationTable,_xlop.Weights,_xlop.Function,_xlop.Targets,_xlop.BiDirectional,_xlop.StartWeights,_xlop.MaximiseW,_xlop.StepLimit,_xlop.ShowRoute,_xlfn.LET(_xlpm.ori, _xlfn.TAKE(_xlpm.OriginDestinationTable, , 1), _xlpm.des, _xlfn.TAKE(_xlpm.OriginDestinationTable, , -1), _xlpm.o, IF(_xlpm.BiDirectional, _xlfn.VSTACK(_xlpm.ori, _xlpm.des), _xlpm.ori), _xlpm.d, IF(_xlpm.BiDirectional, _xlfn.VSTACK(_xlpm.des, _xlpm.ori), _xlpm.des), _xlpm.w, IF(_xlfn.ISOMITTED(_xlpm.Weights), _xlfn.SEQUENCE(ROWS(_xlpm.o), , 1, 0), IF(_xlpm.BiDirectional, _xlfn.VSTACK(_xlpm.Weights, _xlpm.Weights), _xlpm.Weights)), _xlpm.st, _xlfn.IFNA(_xlfn.HSTACK(_xlfn.TOCOL(_xlpm.Starts), IF(_xlfn.ISOMITTED(_xlpm.StartWeights), 0, _xlfn.TOCOL(_xlpm.StartWeights)), 0, 0), 0), _xlpm.na, _xlfn.HSTACK(0, 0, 0, 0), _xlpm.fx, _xlfn.LAMBDA(_xlpm.lfx,_xlpm.pool,_xlpm.ft,_xlpm.n, _xlfn.LET(_xlpm.ct, IF(_xlfn.ISOMITTED(_xlpm.Function), BiRow_byHadynWiseman(_xlpm.ft, _xlfn.LAMBDA(_xlpm.r, IFERROR(_xlfn.EXPAND(_xlfn._xlws.FILTER(_xlfn.IFNA(_xlfn.HSTACK(_xlpm.d, _xlfn.MAP(_xlpm.w, _xlfn.LAMBDA(_xlpm.f, SUM(_xlpm.f, INDEX(_xlpm.r, 1, 2)))), _xlpm.n + 1), _xlpm.n + 1), _xlpm.o = INDEX(_xlpm.r, 1, 1)), , 4, INDEX(_xlpm.r, 1, 1)), _xlpm.r))), BiRow_byHadynWiseman(_xlpm.ft, _xlfn.LAMBDA(_xlpm.r, IFERROR(_xlfn.EXPAND(_xlfn._xlws.FILTER(_xlfn.IFNA(_xlfn.HSTACK(_xlpm.d, _xlfn.MAP(_xlpm.w, _xlfn.LAMBDA(_xlpm.f, _xlpm.Function(_xlpm.f, INDEX(_xlpm.r, 1, 2)))), _xlpm.n + 1), _xlpm.n + 1), _xlpm.o = INDEX(_xlpm.r, 1, 1)), , 4, INDEX(_xlpm.r, 1, 1)), _xlpm.r)))), _xlpm.pd, _xlfn.IFNA(_xlfn.XLOOKUP(_xlfn.TAKE(_xlpm.ct, , 1), _xlfn.TAKE(_xlpm.pool, , 1), _xlfn.CHOOSECOLS(_xlpm.pool, 2), , , 2), ""), _xlpm.ift, IF(_xlpm.MaximiseW, _xlfn._xlws.SORT(IF((_xlfn.CHOOSECOLS(_xlpm.ct, 2) &gt; _xlpm.pd) + (_xlpm.pd = ""), _xlpm.ct, _xlpm.na), {1,2,3}, {1,1,1}), _xlfn._xlws.SORT(IF(_xlfn.CHOOSECOLS(_xlpm.ct, 2) &lt; _xlpm.pd, _xlpm.ct, _xlpm.na), {1,2,3}, {1,-1,1})), _xlpm.nft, _xlfn.LET(_xlpm.au, _xlfn.UNIQUE(_xlfn.TAKE(_xlpm.ift, , 1)), _xlpm.a, _xlfn.HSTACK(_xlpm.au, VLOOKUP(_xlpm.au, _xlpm.ift, 2), VLOOKUP(_xlpm.au, _xlpm.ift, 3), VLOOKUP(_xlpm.au, _xlpm.ift, 4)), _xlfn._xlws.FILTER(_xlpm.a, _xlfn.TAKE(_xlpm.a, , 1) &gt; 0, _xlpm.na)), _xlpm.npool, _xlfn.LET(_xlpm.b, IF(_xlpm.MaximiseW, _xlfn._xlws.SORT(_xlfn.VSTACK(_xlpm.pool, _xlpm.nft), {1,2}, {1,1}), _xlfn._xlws.SORT(_xlfn.VSTACK(_xlpm.pool, _xlpm.nft), {1,2}, {1,-1})), _xlpm.bu, _xlfn.UNIQUE(_xlfn.TAKE(_xlpm.b, , 1)), _xlfn.HSTACK(_xlpm.bu, VLOOKUP(_xlpm.bu, _xlpm.b, 2), VLOOKUP(_xlpm.bu, _xlpm.b, 3), VLOOKUP(_xlpm.bu, _xlpm.b, 4))), _xlpm.Stop, (SUM(_xlpm.nft) = 0) + ((_xlpm.StepLimit = _xlpm.n) * NOT(_xlfn.ISOMITTED(_xlpm.StepLimit))), IF(_xlpm.Stop, _xlpm.pool, _xlpm.lfx(_xlpm.lfx, _xlpm.npool, _xlpm.nft, _xlpm.n + 1)))), _xlpm.rs, _xlpm.fx(_xlpm.fx, _xlpm.st, _xlpm.st, 0), _xlpm.end, IF(_xlfn.ISOMITTED(_xlpm.Targets), _xlpm.rs, IF(_xlfn.ISOMITTED(_xlpm.ShowRoute), _xlfn.XLOOKUP(_xlpm.Targets, _xlfn.TAKE(_xlpm.rs, , 1), _xlfn.CHOOSECOLS(_xlpm.rs, 2), , , 2), _xlfn.LET(_xlpm.rt, _xlfn.SCAN(, _xlfn.VSTACK(_xlpm.Targets, _xlfn.SEQUENCE(_xlfn.XLOOKUP(_xlpm.Targets, _xlfn.TAKE(_xlpm.rs, , 1), _xlfn.CHOOSECOLS(_xlpm.rs, 3), , , 2))), _xlfn.LAMBDA(_xlpm.a,_xlpm.v, _xlfn.XLOOKUP(_xlpm.a, _xlfn.TAKE(_xlpm.rs, , 1), _xlfn.TAKE(_xlpm.rs, , -1), , , 2))), _xlfn.HSTACK(_xlpm.rt, VLOOKUP(_xlpm.rt, _xlpm.rs, 2))))), _xlpm.end))</definedName>
    <definedName name="NotInList_byJaqKennedy">_xlfn.LAMBDA(_xlpm.array,_xlpm.list,IFERROR(_xlfn._xlws.FILTER(_xlpm.array,NOT(IsInList_byErikOehm(_xlpm.array,_xlpm.list))),""))</definedName>
    <definedName name="nSet_byJaqKennedy" comment="Intersection: distinct values in both arrays, in array1's order, as a column. Case-insensitive; &quot;&quot; if none. skip_blanks_zeros (default TRUE) drops blanks, &quot;&quot; and 0.">_xlfn.LAMBDA(_xlpm.array1,_xlpm.array2,_xlop.skip_blanks_zeros,_xlfn.LET(_xlpm.skip,IF(_xlfn.ISOMITTED(_xlpm.skip_blanks_zeros),TRUE,_xlpm.skip_blanks_zeros),_xlpm.a,_xlfn.UNIQUE(_xlfn.TOCOL(_xlpm.array1)),_xlpm.keep,ISNUMBER(_xlfn.XMATCH(_xlpm.a,_xlfn.TOCOL(_xlpm.array2)))*IF(_xlpm.skip,(_xlpm.a&lt;&gt;"")*(_xlpm.a&lt;&gt;0),1),_xlfn._xlws.FILTER(_xlpm.a,_xlpm.keep,"")))</definedName>
    <definedName name="OffsetA_byPeterScharl">_xlfn.LAMBDA(_xlpm.arr,_xlpm.rows,_xlop.cols,_xlop.h,_xlop.w,_xlop.pad_with,_xlfn.LET(_xlpm.r,ROWS(_xlpm.arr),_xlpm.c,COLUMNS(_xlpm.arr),_xlpm.y,IF(_xlfn.ISOMITTED(_xlpm.h),_xlpm.r,ABS(_xlpm.h)),_xlpm.x,IF(_xlfn.ISOMITTED(_xlpm.w),_xlpm.c,ABS(_xlpm.w)),_xlpm.i,_xlfn.SEQUENCE(_xlpm.y,,_xlpm.rows+1-(_xlpm.h&lt;0)*(_xlpm.y-1)),_xlpm.j,_xlfn.SEQUENCE(,_xlpm.x,_xlpm.cols+1-(_xlpm.w&lt;0)*(_xlpm.x-1)),IF((_xlpm.i&gt;0)*(_xlpm.i&lt;=_xlpm.r)*(_xlpm.j&gt;0)*(_xlpm.j&lt;=_xlpm.c),INDEX(_xlpm.arr,_xlpm.i,_xlpm.j),_xlpm.pad_with)))</definedName>
    <definedName name="OptimiseTSP_byHadynWiseman">_xlfn.LAMBDA(_xlpm.GreedyResult,_xlpm.DistanceMatrix,     _xlfn.LET(         _xlpm.CurrentFloor,INDEX(_xlpm.GreedyResult,1),         _xlpm.PathString,INDEX(_xlpm.GreedyResult,2),         _xlpm.PathArr,--_xlfn.TEXTSPLIT(_xlpm.PathString,"|"),         _xlpm.N,COLUMNS(_xlpm.PathArr),         _xlpm.IsClosed,INDEX(_xlpm.PathArr,1)=INDEX(_xlpm.PathArr,_xlpm.N),          _xlpm.EdgesFrom,_xlfn.DROP(_xlpm.PathArr,,-1),         _xlpm.EdgesTo,_xlfn.DROP(_xlpm.PathArr,,1),         _xlpm.EdgeCosts,_xlfn.MAP(_xlpm.EdgesFrom,_xlpm.EdgesTo,_xlfn.LAMBDA(_xlpm.f,_xlpm.t,INDEX(_xlpm.DistanceMatrix,_xlpm.f,_xlpm.t))),          _xlpm.MaxIdx,_xlfn.XMATCH(MAX(_xlpm.EdgeCosts),_xlpm.EdgeCosts),         _xlpm.ExtractIdx,IF(AND(_xlpm.IsClosed,_xlpm.MaxIdx=_xlpm.N-1),_xlpm.MaxIdx,_xlpm.MaxIdx+1),         _xlpm.TargetNode,INDEX(_xlpm.PathArr,_xlpm.ExtractIdx),          _xlpm.SplicedPath,_xlfn._xlws.FILTER(_xlpm.PathArr,_xlfn.SEQUENCE(,_xlpm.N)&lt;&gt;_xlpm.ExtractIdx),         _xlpm.SweepCount,IF(_xlpm.IsClosed,_xlpm.N-2,_xlpm.N-1),          _xlpm.rs,_xlfn.REDUCE(_xlpm.GreedyResult,_xlfn.SEQUENCE(_xlpm.SweepCount),_xlfn.LAMBDA(_xlpm.a,_xlpm.v,             _xlfn.LET(                 _xlpm.BestDist,INDEX(_xlpm.a,1),                 _xlpm.Left,_xlfn.TAKE(_xlpm.SplicedPath,,_xlpm.v),                 _xlpm.Right,IFERROR(_xlfn.DROP(_xlpm.SplicedPath,,_xlpm.v),""),                 _xlpm.TestString,_xlfn.TEXTJOIN("|",1,_xlpm.Left,_xlpm.TargetNode,_xlpm.Right),                 _xlpm.TestPathArr,--_xlfn.TEXTSPLIT(_xlpm.TestString,"|"),                 _xlpm.TestFrom,_xlfn.DROP(_xlpm.TestPathArr,,-1),                 _xlpm.TestTo,_xlfn.DROP(_xlpm.TestPathArr,,1),                 _xlpm.TestDist,SUM(_xlfn.MAP(_xlpm.TestFrom,_xlpm.TestTo,_xlfn.LAMBDA(_xlpm.f,_xlpm.t,INDEX(_xlpm.DistanceMatrix,_xlpm.f,_xlpm.t)))),                 IF(_xlpm.TestDist&lt;_xlpm.BestDist,_xlfn.HSTACK(_xlpm.TestDist,_xlpm.TestString),_xlpm.a)))),_xlpm.rs))</definedName>
    <definedName name="PerCom_byBoRydobon">_xlfn.LAMBDA(_xlpm.n,_xlpm.c,_xlop.P0C1,_xlop.rep,_xlop.cum,_xlfn.LET(_xlpm.s,_xlfn.UNICHAR(_xlfn.SEQUENCE(,_xlpm.n,20001)), _xlpm.t,_xlfn.SEQUENCE(,_xlpm.c), _xlpm.re,_xlfn.REDUCE("",_xlpm.t,_xlfn.LAMBDA(_xlpm.x,_xlpm.w,_xlfn.LET(_xlpm.b,IF(_xlpm.cum,_xlfn._xlws.FILTER(_xlpm.x,LEN(_xlpm.x)=_xlpm.w-1),_xlpm.x), _xlpm.d,_xlfn.TOCOL(_xlfn.IFS(IF(_xlpm.P0C1,IF(_xlpm.rep,RIGHT(_xlpm.b)&lt;=_xlpm.s,RIGHT(_xlpm.b)&lt;_xlpm.s),IF(_xlpm.rep,1,ISERR(FIND(_xlpm.s,_xlpm.b)))),_xlpm.b&amp;_xlpm.s),3),IF(_xlpm.cum,_xlfn.VSTACK(_xlpm.x,_xlpm.d),_xlpm.d)))), IFERROR(_xlfn.UNICODE(MID(_xlpm.re,_xlpm.t,1))-20000,"")))</definedName>
    <definedName name="Prev">_xlfn.LAMBDA(_xlpm.arr,_xlpm.n,_xlop.fill,_xlfn.LET(_xlpm._n,MAX(1,_xlpm.n),_xlpm._fill,IF(_xlfn.ISOMITTED(_xlpm.fill),"X",_xlpm.fill),IF(ROWS(_xlpm.arr)=1,_xlfn.HSTACK(IF(_xlfn.SEQUENCE(,_xlpm._n),_xlpm._fill),_xlfn.DROP(_xlpm.arr,,-_xlpm._n)),_xlfn.VSTACK(IF(_xlfn.SEQUENCE(_xlpm._n,COLUMNS(_xlpm.arr)),_xlpm._fill),_xlfn.DROP(_xlpm.arr,-_xlpm._n)))))</definedName>
    <definedName name="RCRefConvert_byHadynWiseman">_xlfn.LAMBDA(_xlpm.St,IFERROR(IF(ISNUMBER(_xlpm.St),ADDRESS(INT(_xlpm.St/10^6),MOD(_xlpm.St,10^6),4),RowNum_byHadynWiseman(_xlpm.St)*10^6+ColNum_byHadynWiseman(_xlpm.St)),_xlfn.XLOOKUP(_xlpm.St,{"↓";"↑";"→";"←";"↘";"↖";"↙";"↗"},{1000000;-1000000;1;-1;1000001;-1000001;999999;-999999})))</definedName>
    <definedName name="Regions_byHadynWiseman">_xlfn.LAMBDA(_xlpm.mp,_xlop.No_Diag,_xlop.Allowmp,_xlop.Cus_Dir,_xlop.Mazelam,_xlfn.LET(_xlpm.M,10^6,_xlpm.rn,_xlfn.SEQUENCE(ROWS(_xlpm.mp)),_xlpm.cn,_xlfn.SEQUENCE(,COLUMNS(_xlpm.mp)),_xlpm.rcn,_xlpm.rn*_xlpm.M+_xlpm.cn, _xlpm.dir,{1000000,-1000000,1,-1,1000001,-1000001,999999,-999999},_xlpm.xRC,IF(_xlfn.ISOMITTED(_xlpm.Cus_Dir),_xlfn.TAKE(_xlpm.dir,,8-4*_xlpm.No_Diag),_xlfn.HSTACK(_xlfn.TOROW(_xlpm.Cus_Dir,3),_xlfn.TOROW(-_xlpm.Cus_Dir,3))),_xlpm.na,_xlfn.HSTACK(0,0,0),_xlpm.mpA,IF(_xlfn.ISOMITTED(_xlpm.Allowmp),_xlpm.mp=IF(Exists_byHadynWiseman("",_xlfn.TOCOL(_xlpm.mp)),"",0),_xlpm.Allowmp),_xlpm.rcst,_xlfn._xlws.FILTER(_xlfn.TOCOL(_xlpm.rcn),_xlfn.TOCOL(_xlpm.mpA)),    _xlpm.fx, _xlfn.LAMBDA(_xlpm.lfx,_xlpm.pool,_xlpm.ft,_xlpm.n,      _xlfn.LET(_xlpm.fcl,_xlfn.TAKE(_xlpm.ft,,1),_xlpm.cf,_xlfn.TOCOL(_xlpm.fcl+_xlpm.xRC*0),_xlpm.rf,INT(_xlpm.cf/_xlpm.M),_xlpm.clf,MOD(_xlpm.cf,_xlpm.M),_xlpm.ct,_xlfn.TOCOL(_xlpm.fcl+_xlpm.xRC),_xlpm.rt,INT(_xlpm.ct/_xlpm.M),_xlpm.clt,MOD(_xlpm.ct,_xlpm.M),_xlpm.conf,INDEX(_xlpm.mp,_xlpm.rf,_xlpm.clf),_xlpm.cont,INDEX(_xlpm.mp,_xlpm.rt,_xlpm.clt),      _xlpm.st,_xlfn.TOCOL(_xlpm.fcl*0+_xlpm.n+1),_xlpm.df,_xlfn.IFNA(_xlfn.XLOOKUP(_xlpm.cf,_xlfn.TAKE(_xlpm.pool,,1),_xlfn.CHOOSECOLS(_xlpm.pool,2),,,2),""),_xlpm.dr,_xlfn.TOCOL(_xlpm.fcl*0+_xlpm.xRC),      _xlpm.pd,_xlfn.IFNA(_xlfn.XLOOKUP(_xlpm.ct,_xlfn.TAKE(_xlpm.pool,,1),_xlfn.CHOOSECOLS(_xlpm.pool,2),,,2),""),      _xlpm.ift,_xlfn._xlws.SORT(IF(IFERROR(INDEX(_xlpm.mpA,_xlpm.rt,_xlpm.clt),0),_xlfn.LET(_xlpm.nd,IF(_xlfn.ISOMITTED(_xlpm.Mazelam),_xlpm.df,IF(_xlpm.Mazelam(_xlpm.conf,_xlpm.cont,_xlpm.cf,_xlpm.ct,_xlpm.st,_xlpm.df,_xlpm.dr),_xlpm.df,"")),IFERROR(IF(_xlpm.nd&lt;_xlpm.pd,_xlfn.HSTACK(_xlpm.ct,_xlpm.nd,_xlpm.st),_xlpm.na),_xlpm.na)),_xlpm.na),{1,2},{1,-1}),      _xlpm.nft,_xlfn.LET(_xlpm.au,_xlfn.UNIQUE(_xlfn.TAKE(_xlpm.ift,,1)),_xlpm.a,_xlfn.HSTACK(_xlpm.au,VLOOKUP(_xlpm.au,_xlpm.ift,{2,3})),_xlfn._xlws.FILTER(_xlpm.a,_xlfn.TAKE(_xlpm.a,,1)&gt;0,_xlpm.na)),      _xlpm.npool,_xlfn.LET(_xlpm.b,_xlfn._xlws.SORT(_xlfn.VSTACK(_xlpm.pool,_xlpm.nft),{1,2},{1,-1}),_xlpm.bu,_xlfn.UNIQUE(_xlfn.TAKE(_xlpm.b,,1)),_xlfn.HSTACK(_xlpm.bu,VLOOKUP(_xlpm.bu,_xlpm.b,{2,3}))),    IF(SUM(_xlpm.nft)=0,_xlpm.pool,_xlpm.lfx(_xlpm.lfx,_xlpm.npool,_xlpm.nft,_xlpm.n+1)))),  _xlpm.rs,_xlpm.fx(_xlpm.fx,_xlfn.IFNA(_xlfn.HSTACK(_xlpm.rcst,_xlfn.SEQUENCE(ROWS(_xlpm.rcst)),0),0),_xlfn.IFNA(_xlfn.HSTACK(_xlpm.rcst,_xlfn.SEQUENCE(ROWS(_xlpm.rcst)),0),0),0),_xlpm.rst,_xlfn.CHOOSECOLS(_xlpm.rs,2),_xlpm.rl,_xlfn.HSTACK(_xlfn.TAKE(_xlpm.rs,,1),_xlfn.XMATCH(_xlpm.rst,_xlfn.UNIQUE(_xlpm.rst))),_xlpm.end,_xlfn.IFNA(VLOOKUP(_xlpm.rcn,_xlpm.rl,2,),""), _xlpm.end))</definedName>
    <definedName name="RegPattern_byHadynWiseman">_xlfn.LAMBDA(_xlpm.WordArray,_xlop.words_within_words,_xlfn.LET(_xlpm.ar,_xlfn.TOCOL(_xlpm.WordArray,3),_xlpm.sa,_xlfn.SORTBY(_xlpm.ar,LEN(_xlpm.ar),-1),_xlpm.words,IF(_xlpm.words_within_words,"\Q","\b\Q")&amp;_xlpm.sa&amp;IF(_xlpm.words_within_words,"\E","\E\b"), _xlfn.TEXTJOIN("|",1,_xlpm.words)))</definedName>
    <definedName name="RightAlignedArray_byJaqKennedy" comment="Aligns contents of array to the right - ignoring blanks">_xlfn.LAMBDA(_xlpm.Input,_xlfn.LET(_xlpm.\\LambdaName, "RightAlignedArray", _xlpm.\\CommandName, "Align array to right", _xlpm.\\Description, "Aligns array to the right with blanks to left", _xlpm.\\Source, "Jaq Kennedy", _xlpm._ColsByRow, _xlfn.BYROW(_xlpm.Input, _xleta.COUNT), _xlpm._Rows, ROWS(_xlpm.Input), _xlpm._Cols, COLUMNS(_xlpm.Input), _xlpm._ColIndex, IF(MOD(_xlfn.SEQUENCE(_xlpm._Rows, _xlpm._Cols) - 1, _xlpm._Cols) + 1 - _xlpm._Cols + _xlpm._ColsByRow &lt;= 0, -1, MOD(_xlfn.SEQUENCE(_xlpm._Rows, _xlpm._Cols) - 1, _xlpm._Cols) + 1 - _xlpm._Cols + _xlpm._ColsByRow), _xlpm._RowIndex, _xlfn.SEQUENCE(_xlpm._Rows), _xlpm._Result, IFERROR(INDEX(_xlpm.Input, _xlpm._RowIndex, _xlpm._ColIndex), ""), _xlpm._Result))</definedName>
    <definedName name="Rotate_byHadynWiseman">_xlfn.LAMBDA(_xlpm.Array,_xlop.Rotation,_xlop.InputAddresses,_xlfn.LET(_xlpm.ar,IF(_xlfn.ISOMITTED(_xlpm.Rotation),1,MOD(_xlpm.Rotation-1,4)+1),_xlpm.rev,_xlfn.LAMBDA(_xlpm.a,INDEX(_xlpm.a,_xlfn.SEQUENCE(ROWS(_xlpm.a),,ROWS(_xlpm.a),-1),_xlfn.SEQUENCE(,COLUMNS(_xlpm.a),COLUMNS(_xlpm.a),-1))),_xlpm.rs,CHOOSE(_xlpm.ar,TRANSPOSE(BiCol_byHadynWiseman(_xlpm.Array,_xlpm.rev)),_xlpm.rev(_xlpm.Array),TRANSPOSE(BiRow_byHadynWiseman(_xlpm.Array,_xlpm.rev)),_xlpm.Array),IF(_xlfn.ISOMITTED(_xlpm.InputAddresses),_xlpm.rs,_xlfn.LET(_xlpm.sr,_xlfn.SINGLE(ROW(_xlpm.Array)),_xlpm.sc,_xlfn.SINGLE(COLUMN(_xlpm.Array)),_xlpm.oad,Addresses_byDiarmuidEarly(_xlpm.Array),_xlpm.nad,IF(ISODD(_xlpm.ar),ADDRESS(_xlfn.SEQUENCE(COLUMNS(_xlpm.Array),,_xlpm.sr),_xlfn.SEQUENCE(,ROWS(_xlpm.Array),_xlpm.sc),4),_xlpm.oad),_xlpm.ra,CHOOSE(_xlpm.ar,TRANSPOSE(BiRow_byHadynWiseman(_xlpm.nad,_xlpm.rev)),_xlpm.rev(_xlpm.nad),TRANSPOSE(BiCol_byHadynWiseman(_xlpm.nad,_xlpm.rev)),_xlpm.nad),_xlpm.ars,_xlfn.MAP(_xlpm.InputAddresses,_xlfn.LAMBDA(_xlpm.i,_xlfn.CONCAT(IF(_xlpm.i=_xlpm.oad,_xlpm.ra,"")))),IF(COUNTA(_xlpm.InputAddresses)=1,_xlfn.SINGLE(_xlpm.ars),_xlpm.ars)))))</definedName>
    <definedName name="RowNum_byHadynWiseman">_xlfn.LAMBDA(_xlpm.addresses,IF(ISNUMBER(_xlpm.addresses),INT(_xlpm.addresses/10^6),1*_xlfn.REGEXEXTRACT(_xlpm.addresses,"\d+")))</definedName>
    <definedName name="RunningCount_byHadynWiseman">_xlfn.LAMBDA(_xlpm.Array,_xlfn.SCAN(0,_xlfn.SEQUENCE(ROWS(_xlfn.TOCOL(_xlpm.Array))),_xlfn.LAMBDA(_xlpm.a,_xlpm.v,SUM(--(_xlfn.TAKE(_xlpm.Array,_xlpm.v)=INDEX(_xlpm.Array,_xlpm.v,1))))))</definedName>
    <definedName name="RunningTotal_byJaqKennedy" comment="Running total that can RESTART at flagged rows and CAP or STOP at a limit. Only values is required.">_xlfn.LAMBDA(_xlpm.values,_xlop.ResetFlags,_xlop.ResetTo,_xlop.StopAt,_xlop.Cap,_xlop.IncFlaggedVal,_xlfn.LET(_xlpm.v,_xlfn.TOCOL(_xlpm.values),_xlpm.n,ROWS(_xlpm.v),_xlpm.f,IF(_xlfn.ISOMITTED(_xlpm.ResetFlags),_xlfn.SEQUENCE(_xlpm.n)*0,IFERROR(--_xlfn.TOCOL(_xlpm.ResetFlags),0)),_xlpm.r,IF(_xlfn.ISOMITTED(_xlpm.ResetTo),0,IF(_xlpm.ResetTo="",0,_xlpm.ResetTo)),_xlpm.h,IF(_xlfn.ISOMITTED(_xlpm.StopAt),FALSE,_xlpm.StopAt&lt;&gt;""),_xlpm.s,IF(_xlpm.h,_xlpm.StopAt,0),_xlpm.cp,IF(_xlfn.ISOMITTED(_xlpm.Cap),1,IF(_xlpm.Cap="",1,_xlpm.Cap)),_xlpm.inc,IF(_xlfn.ISOMITTED(_xlpm.IncFlaggedVal),1,IF(_xlpm.IncFlaggedVal="",1,_xlpm.IncFlaggedVal)),_xlfn.SCAN(0,_xlfn.SEQUENCE(_xlpm.n),_xlfn.LAMBDA(_xlpm.acc,_xlpm.i,_xlfn.LET(_xlpm.x,INDEX(_xlpm.v,_xlpm.i),_xlpm.fl,IFERROR(INDEX(_xlpm.f,_xlpm.i),0)=1,_xlpm.t,IF(_xlpm.fl,_xlpm.r+IF(_xlpm.inc,_xlpm.x,0),IF(AND(_xlpm.h,_xlpm.acc&gt;=_xlpm.s),_xlpm.acc,_xlpm.acc+_xlpm.x)),IF(AND(_xlpm.h,_xlpm.t&gt;=_xlpm.s),IF(_xlpm.cp,_xlpm.s,_xlpm.t),_xlpm.t))))))</definedName>
    <definedName name="ShiftText_byHadynWiseman">_xlfn.LAMBDA(_xlpm.Text,_xlpm.Shift,_xlop.AlongShift,_xlop.AlongLettersOnly,_xlop.NoWrapAround,_xlfn.LET(_xlpm.l, SplitText_byHadynWiseman(_xlpm.Text), _xlpm.als, IF(_xlpm.AlongShift, _xlpm.AlongShift, 0), _xlpm.sym, EXACT(LOWER(_xlpm.l), UPPER(_xlpm.l)), _xlpm.upp, EXACT(UPPER(_xlpm.l), _xlpm.l), _xlpm.al, IF(_xlpm.AlongLettersOnly, _xlfn.SCAN(-_xlpm.als, _xlpm.sym, _xlfn.LAMBDA(_xlpm.a,_xlpm.v, IF(_xlpm.v, _xlpm.a, _xlpm.a + _xlpm.als))), _xlfn.SEQUENCE(LEN(_xlpm.Text), , 0, _xlpm.als)), _xlpm.mu, MOD(CODE(_xlpm.l) - 65 + _xlpm.Shift + _xlpm.al, 26) + 65, _xlpm.ml, MOD(CODE(_xlpm.l) - 97 + _xlpm.Shift + _xlpm.al, 26) + 97, _xlpm.nw, IFERROR(_xlfn.UNICHAR(_xlfn.UNICODE(_xlpm.l) + _xlpm.Shift + _xlpm.al), _xlpm.l), _xlpm.rs, IF(_xlpm.sym, _xlpm.l, IF(_xlpm.upp, CHAR(_xlpm.mu), CHAR(_xlpm.ml))), _xlfn.CONCAT(IF(_xlpm.NoWrapAround, _xlpm.nw, _xlpm.rs))))</definedName>
    <definedName name="Sht_Area1">Area1!$B$3:$D$6</definedName>
    <definedName name="Snake_byHadynWiseman">_xlfn.LAMBDA(_xlpm.Array,_xlop.ByCol,_xlop.StartRorC,_xlop.SwapEvery,_xlop.AddressMoves,_xlfn.LET(_xlpm.a, _xlpm.Array, _xlpm.r, ROWS(_xlpm.a), _xlpm.c, COLUMNS(_xlpm.a), _xlpm.st, IF(_xlpm.StartRorC, _xlpm.StartRorC, IF(_xlpm.SwapEvery, _xlpm.SwapEvery, 2)), _xlpm.sw, IF(_xlpm.SwapEvery, _xlpm.SwapEvery, MAX(_xlpm.st, 2)), _xlpm.rs, _xlfn.LAMBDA(_xlpm.x, IF(_xlpm.ByCol, IF(MOD(_xlfn.SEQUENCE(, _xlpm.c) - _xlpm.st, _xlpm.sw) = 0, _xlfn.SORTBY(_xlpm.a, _xlfn.SEQUENCE(_xlpm.r, , _xlpm.r, -1)), _xlpm.x), IF(MOD(_xlfn.SEQUENCE(_xlpm.r) - _xlpm.st, _xlpm.sw) = 0, _xlfn.SORTBY(_xlpm.x, _xlfn.SEQUENCE(, _xlpm.c, _xlpm.c, -1)), _xlpm.x))), IF(_xlfn.ISOMITTED(_xlpm.AddressMoves), _xlpm.rs(_xlpm.a), _xlfn.LET(_xlpm.oad, Addresses_byDiarmuidEarly(_xlpm.a), _xlpm.nad, _xlpm.rs(_xlpm.oad), _xlpm.sr, _xlfn.SINGLE(ROW(_xlpm.a)), _xlpm.sc, _xlfn.SINGLE(COLUMN(_xlpm.a)), _xlpm.out, _xlfn.MAP(_xlpm.AddressMoves, _xlfn.LAMBDA(_xlpm.y, _xlfn.CONCAT(IF(_xlpm.nad = _xlpm.y, _xlfn.MAKEARRAY(ROWS(_xlpm.nad), COLUMNS(_xlpm.nad), _xlfn.LAMBDA(_xlpm.r,_xlpm.c, ADDRESS(_xlpm.r + _xlpm.sr - 1, _xlpm.c + _xlpm.sc - 1, 4))), "")))), _xlpm.out))))</definedName>
    <definedName name="SplitText_byHadynWiseman">_xlfn.LAMBDA(_xlpm.Text,_xlop.Groups,_xlop.Overlap,_xlfn.LET(_xlpm.t,_xlfn.CONCAT(_xlpm.Text),_xlpm._groups,MAX(_xlpm.Groups,1),IF(_xlpm.Overlap,MID(_xlpm.t,_xlfn.SEQUENCE(LEN(_xlpm.t)-_xlpm._groups+1),_xlpm._groups),IF(_xlfn.ISOMITTED(_xlpm.Groups),_xlfn.TOCOL(_xlfn.REGEXEXTRACT(_xlpm.t,"\X",1)),MID(_xlpm.t,_xlfn.SEQUENCE(ROUNDUP(LEN(_xlpm.t)/_xlpm._groups,0),,,_xlpm._groups),_xlpm._groups)))))</definedName>
    <definedName name="StackSheets_byJaqKennedy">_xlfn.LAMBDA(_xlpm.blocks,_xlpm.names,_xlop.TopLeft,_xlop.HideBlanks,_xlfn.LET(_xlpm.n,COUNTA(_xlpm.names),_xlpm.r,ROWS(_xlpm.blocks)/_xlpm.n,_xlpm.c,COLUMNS(_xlpm.blocks),_xlpm.tl,IF(_xlfn.ISOMITTED(_xlpm.TopLeft),"A1",_xlpm.TopLeft),_xlpm.r0,RowNum_byHadynWiseman(_xlpm.tl),_xlpm.c0,ColNum_byHadynWiseman(_xlpm.tl),_xlpm.cells,_xlpm.r*_xlpm.c,_xlpm.k,_xlfn.SEQUENCE(_xlpm.n*_xlpm.cells)-1,_xlpm.idx,MOD(_xlpm.k,_xlpm.cells),_xlpm.sheet,_xlfn.TOCOL(IF(_xlfn.SEQUENCE(_xlpm.cells),_xlfn.TOROW(_xlpm.names)),,1),_xlpm.rw,_xlpm.r0+INT(_xlpm.idx/_xlpm.c),_xlpm.cl,_xlpm.c0+MOD(_xlpm.idx,_xlpm.c),_xlpm.val,_xlfn.TOCOL(_xlpm.blocks),_xlpm.data,_xlfn.HSTACK(_xlpm.sheet,_xlpm.val,ADDRESS(_xlpm.rw,_xlpm.cl,4),_xlpm.rw,_xlpm.cl,_xlpm.rw*10^6+_xlpm.cl),_xlpm.hide,IF(_xlfn.ISOMITTED(_xlpm.HideBlanks),0,_xlpm.HideBlanks),_xlpm.blank,IF(_xlfn.SEQUENCE(,6),""),_xlpm.kept,IF(_xlpm.hide,IFERROR(_xlfn._xlws.FILTER(_xlpm.data,(_xlpm.val&lt;&gt;"")*(_xlpm.val&lt;&gt;0)),_xlpm.blank),_xlpm.data),_xlfn.VSTACK(_xlfn.HSTACK("Sheet","Value","Address","Row","Col","RCRef"),_xlpm.kept)))</definedName>
    <definedName name="TSPFull_byHadynWiseman">_xlfn.LAMBDA(_xlpm.DistanceMatrix,_xlop.StartNodeNumber,_xlop.ReturnToStart,_xlop.StepLimit, _xlfn.LET(_xlpm.dm,_xlpm.DistanceMatrix,_xlpm.sn,_xlpm.StartNodeNumber,_xlpm.rt,_xlpm.ReturnToStart,_xlpm.sl,_xlpm.StepLimit, _xlpm.tn,ROWS(_xlpm.dm),_xlpm.sm,_xlpm.dm+_xlfn.MUNIT(_xlpm.tn)*1E+99,_xlpm.fn,IF(_xlfn.ISOMITTED(_xlpm.sn),1,_xlpm.sn),_xlpm.ns,_xlfn.SEQUENCE(1,_xlpm.tn),_xlpm.iv,(_xlpm.ns=_xlpm.fn)*1,_xlpm.ds,AND(_xlfn.ISOMITTED(_xlpm.sn),NOT(_xlpm.rt)),_xlpm.gr,OptimiseTSP_byHadynWiseman(TSPGreedy_byHadynWiseman(_xlpm.dm,_xlpm.fn,_xlpm.rt),_xlpm.dm),  _xlpm.ir,_xlfn.REDUCE(_xlfn.HSTACK(INDEX(_xlpm.gr,1),INDEX(_xlpm.gr,2),_xlpm.fn&amp;"",0,0,_xlpm.fn,_xlpm.iv),_xlfn.SEQUENCE(IF(_xlfn.ISOMITTED(_xlpm.sl),10000,_xlpm.sl)),_xlfn.LAMBDA(_xlpm.cs,_xlpm.si, _xlfn.LET(_xlpm.isf,INDEX(_xlpm.cs,5),IF(_xlpm.isf=1,_xlpm.cs,_xlfn.LET(_xlpm.bsc,INDEX(_xlpm.cs,1),_xlpm.bpt,INDEX(_xlpm.cs,2),_xlpm.ep,INDEX(_xlpm.cs,3),_xlpm.ed,INDEX(_xlpm.cs,4),_xlpm.cn,INDEX(_xlpm.cs,6),_xlpm.va,_xlfn.DROP(_xlpm.cs,,6),  _xlpm.dr,--_xlfn.TEXTBEFORE(_xlpm.ep&amp;"|","|",1),_xlpm.ab,SUM(_xlpm.va)=_xlpm.tn,_xlpm.sb,(_xlpm.isf=2)+_xlpm.ab,_xlpm.ts,IF(_xlpm.ab,_xlpm.ed+_xlpm.rt*INDEX(_xlpm.dm,_xlpm.cn,_xlpm.dr),1E+99),_xlpm.fb,_xlpm.ts&lt;_xlpm.bsc,_xlpm.nbs,IF(_xlpm.fb,_xlpm.ts,_xlpm.bsc),_xlpm.nbp,IF(_xlpm.fb,_xlpm.ep&amp;IF(_xlpm.rt,"|"&amp;_xlpm.dr,""),_xlpm.bpt),  _xlpm.lb,IF(_xlpm.sb,0,_xlfn.LET(_xlpm.um,1-_xlpm.va,_xlpm.mm,_xlpm.sm+_xlpm.va*(_xlpm.ns&lt;&gt;_xlpm.dr)*(_xlpm.ns&lt;&gt;_xlpm.cn)*1E+99, _xlpm.hfa,_xlfn.TOROW(_xlfn.BYROW(_xlpm.mm,_xlfn.LAMBDA(_xlpm.r,MIN(_xlpm.r))))/2, _xlpm.hfb,_xlfn.TOROW(_xlfn.BYROW(_xlpm.mm,_xlfn.LAMBDA(_xlpm.r,SMALL(_xlpm.r,2))))/2, _xlpm.sfa,_xlpm.hfa*(_xlpm.hfa&lt;1E+50), _xlpm.sfb,_xlpm.hfb*(_xlpm.hfb&lt;1E+50), _xlpm.ed+SUM((_xlpm.sfa+_xlpm.sfb)*_xlpm.um)+INDEX(_xlpm.sfa,_xlpm.cn)+IF(_xlpm.rt,INDEX(_xlpm.sfa,_xlpm.dr),-MAX(_xlpm.sfb*_xlpm.um)))), _xlpm.sbt,(_xlpm.lb&gt;=_xlpm.bsc)+_xlpm.sb,  _xlpm.nsd,IF(_xlpm.sbt,_xlfn.LET(_xlpm.cp,IFERROR(_xlfn.TEXTBEFORE(_xlpm.ep,"|",-1),""),_xlpm.isr,_xlpm.cp="",_xlpm.sr,AND(_xlpm.isr,_xlpm.ds,_xlpm.cn&lt;_xlpm.tn),_xlpm.np,IF(_xlpm.sr,_xlpm.cn+1,IF(_xlpm.isr,0,IFERROR(_xlfn.XMATCH(0,_xlpm.va+(_xlpm.ns&lt;=_xlpm.cn)),0))), _xlpm.pn,IF(_xlpm.isr,_xlpm.dr,IFERROR(--_xlfn.TEXTAFTER(_xlpm.cp,"|",-1),--_xlpm.cp)), _xlpm.npt,IF(_xlpm.sr,_xlpm.np&amp;"",IF(_xlpm.np&gt;0,_xlpm.cp&amp;"|"&amp;_xlpm.np,_xlpm.cp)), _xlpm.nd,IF(_xlpm.sr,0,IF(_xlpm.isr,0,_xlpm.ed-INDEX(_xlpm.dm,_xlpm.pn,_xlpm.cn))+IF(_xlpm.np&gt;0,INDEX(_xlpm.dm,_xlpm.pn,_xlpm.np),0)), _xlpm.nf,IF(_xlpm.sr+(_xlpm.np&gt;0),0,IF(_xlpm.npt="",1,2)), _xlpm.nn,IF(_xlpm.np&gt;0,_xlpm.np,_xlpm.pn), _xlpm.nv,IF(_xlpm.sr,(_xlpm.ns=_xlpm.np)*1,_xlpm.va-(_xlpm.ns=_xlpm.cn)+(_xlpm.ns=_xlpm.np)), _xlfn.HSTACK(_xlpm.npt,_xlpm.nd,_xlpm.nf,_xlpm.nn,_xlpm.nv)),  _xlfn.LET(_xlpm.ndn,IFERROR(_xlfn.XMATCH(0,_xlpm.va),1),_xlpm.npt,_xlpm.ep&amp;"|"&amp;_xlpm.ndn,_xlpm.nd,_xlpm.ed+INDEX(_xlpm.dm,_xlpm.cn,_xlpm.ndn),_xlpm.nf,0,_xlpm.nn,_xlpm.ndn,_xlpm.nv,_xlpm.va+(_xlpm.ns=_xlpm.ndn),_xlfn.HSTACK(_xlpm.npt,_xlpm.nd,_xlpm.nf,_xlpm.nn,_xlpm.nv))), _xlfn.HSTACK(_xlpm.nbs,_xlpm.nbp,_xlpm.nsd)))))), _xlfn.HSTACK(_xlfn.TAKE(_xlpm.ir,,2),IF(INDEX(_xlpm.ir,5)=1,"DONE","NOT FINISHED, INCREASE STEP LIMIT"))))</definedName>
    <definedName name="TSPGreedy_byHadynWiseman">_xlfn.LAMBDA(_xlpm.DistanceMatrix,_xlop.StartNodeNumber,_xlop.ReturnToStart,     _xlfn.LET(         _xlpm.TotalNodes,ROWS(_xlpm.DistanceMatrix),         _xlpm.FirstNode,IF(_xlfn.ISOMITTED(_xlpm.StartNodeNumber),1,_xlpm.StartNodeNumber),         _xlpm.NodeSeq,_xlfn.SEQUENCE(,_xlpm.TotalNodes),         _xlpm.InitialState,_xlfn.HSTACK(_xlpm.FirstNode,0,_xlpm.FirstNode,--(_xlpm.NodeSeq=_xlpm.FirstNode)),         _xlpm.GreedyRun,_xlfn.REDUCE(_xlpm.InitialState,_xlfn.SEQUENCE(_xlpm.TotalNodes-1),_xlfn.LAMBDA(_xlpm.State,_xlpm.Step,             _xlfn.LET(                 _xlpm.Path,INDEX(_xlpm.State,1),                 _xlpm.TotalDistance,INDEX(_xlpm.State,2),                 _xlpm.LastNode,INDEX(_xlpm.State,3),                 _xlpm.VisitedArray,_xlfn.DROP(_xlpm.State,,3),                 _xlpm.AdjustedRow,_xlfn.CHOOSEROWS(_xlpm.DistanceMatrix,_xlpm.LastNode)+(_xlpm.VisitedArray*1E+99),                 _xlpm.NextDist,MIN(_xlpm.AdjustedRow),                 _xlpm.NextNode,_xlfn.XMATCH(_xlpm.NextDist,_xlpm.AdjustedRow),                 _xlfn.HSTACK(_xlpm.Path&amp;"|"&amp;_xlpm.NextNode,_xlpm.TotalDistance+_xlpm.NextDist,_xlpm.NextNode,_xlpm.VisitedArray+(_xlpm.NodeSeq=_xlpm.NextNode))))),         _xlpm.FinalPath,INDEX(_xlpm.GreedyRun,1),         _xlpm.FinalDist,INDEX(_xlpm.GreedyRun,2),         _xlpm.FinalNode,INDEX(_xlpm.GreedyRun,3),         _xlpm.BBInitialFloor,_xlpm.FinalDist+IF(_xlpm.ReturnToStart,INDEX(_xlpm.DistanceMatrix,_xlpm.FinalNode,_xlpm.FirstNode),0),         _xlpm.BBInitialpath,_xlpm.FinalPath&amp;IF(_xlpm.ReturnToStart,"|"&amp;_xlpm.FirstNode,""),         _xlfn.HSTACK(_xlpm.BBInitialFloor,_xlpm.BBInitialpath)))</definedName>
    <definedName name="UnPivot_byHadynWiseman" comment="Hadyn Wiseman. CREDIT CORRECTED 2026-09-21, was UnPivot_byErikOehm. Two different UnPivot builds exist: Erik's is ~1650 chars with a 5-argument signature and lives in Array Robot Vol 1; this 451-char BiRow build is Hadyn's. An award for the idea does not ">_xlfn.LAMBDA(_xlpm.KeepColumns,_xlpm.UnpivotColumns,_xlop.HasHeaders,_xlop.RemoveBlanks,_xlfn.LET(_xlpm.hh,_xlpm.HasHeaders,_xlpm.rb,_xlpm.RemoveBlanks, _xlpm.r,IF(_xlpm.hh,ROWS(_xlpm.KeepColumns)-1,ROWS(_xlpm.KeepColumns)),_xlpm.c,COLUMNS(_xlpm.UnpivotColumns), _xlpm.k,BiRow_byHadynWiseman(IF(_xlpm.hh,_xlfn.DROP(_xlpm.KeepColumns,1),_xlpm.KeepColumns),_xlfn.LAMBDA(_xlpm.r,_xlfn.IFNA(_xlfn.EXPAND(_xlpm.r,_xlpm.c),_xlpm.r))), _xlpm.h,IF(_xlpm.hh,_xlfn.TOCOL(IFERROR(_xlfn.EXPAND(_xlfn.TAKE(_xlpm.UnpivotColumns,1),_xlpm.r),_xlfn.TAKE(_xlpm.UnpivotColumns,1)))), _xlpm.v,_xlfn.TOCOL(IF(_xlpm.hh,_xlfn.DROP(_xlpm.UnpivotColumns,1),_xlpm.UnpivotColumns)), _xlpm.tbl,IF(_xlpm.hh,_xlfn.HSTACK(_xlpm.k,_xlpm.h,_xlpm.v),_xlfn.HSTACK(_xlpm.k,_xlpm.v)), IF(_xlpm.rb,_xlfn._xlws.FILTER(_xlpm.tbl,_xlpm.v&lt;&gt;""),_xlpm.tbl)))</definedName>
    <definedName name="UnSplivot_byJJ">_xlfn.LAMBDA(_xlpm.table,_xlpm.delim,_xlfn.LET(_xlpm.v,_xlfn.TAKE(_xlpm.table,,1),_xlpm.keep,_xlfn.DROP(_xlpm.table,,1),_xlpm.n,ROWS(_xlpm.v),_xlpm.k,MAX((LEN(_xlpm.v)-LEN(SUBSTITUTE(_xlpm.v,_xlpm.delim,"")))/LEN(_xlpm.delim))+1,_xlpm.tok,_xlfn.MAKEARRAY(_xlpm.n,_xlpm.k,_xlfn.LAMBDA(_xlpm.r,_xlpm.c,IFERROR(TRIM(_xlfn.TEXTBEFORE(_xlfn.TEXTAFTER(_xlpm.delim&amp;INDEX(_xlpm.v,_xlpm.r)&amp;_xlpm.delim,_xlpm.delim,_xlpm.c),_xlpm.delim)),""))),_xlpm.idx,_xlfn.TOCOL(_xlfn.SEQUENCE(_xlpm.n)+_xlfn.SEQUENCE(,_xlpm.k)*0),_xlpm.body,_xlfn.HSTACK(_xlfn.TOCOL(_xlpm.tok),_xlfn.CHOOSEROWS(_xlpm.keep,_xlpm.idx)),_xlfn._xlws.FILTER(_xlpm.body,_xlfn.TAKE(_xlpm.body,,1)&lt;&gt;"")))</definedName>
    <definedName name="uSet_byJaqKennedy" comment="Union: distinct values in either array, array1's first, as a column. Case-insensitive. skip_blanks_zeros (default TRUE) drops blanks, &quot;&quot; and 0; &quot;&quot; if nothing left.">_xlfn.LAMBDA(_xlpm.array1,_xlpm.array2,_xlop.skip_blanks_zeros,_xlfn.LET(_xlpm.skip,IF(_xlfn.ISOMITTED(_xlpm.skip_blanks_zeros),TRUE,_xlpm.skip_blanks_zeros),_xlpm.u,_xlfn.UNIQUE(_xlfn.VSTACK(_xlfn.TOCOL(_xlpm.array1),_xlfn.TOCOL(_xlpm.array2))),IF(_xlpm.skip,_xlfn._xlws.FILTER(_xlpm.u,(_xlpm.u&lt;&gt;"")*(_xlpm.u&lt;&gt;0),""),_xlpm.u)))</definedName>
    <definedName name="VStacks_byHadynWiseman">_xlfn.LAMBDA(_xlpm.Array,_xlpm.NoTimes,_xlop.Hstk,IFERROR(_xlfn.REDUCE(_xlpm.Array, _xlfn.SEQUENCE(_xlpm.NoTimes - 1), _xlfn.LAMBDA(_xlpm.a,_xlpm.v, IF(_xlpm.Hstk, _xlfn.HSTACK(_xlpm.a, _xlpm.Array), _xlfn.VSTACK(_xlpm.a, _xlpm.Array)))), _xlpm.Array))</definedName>
    <definedName name="WhileIterations_byHarryGross">_xlfn.LAMBDA(_xlpm.initialValue,_xlpm.iterativeStep,_xlpm.stopCondition,_xlop.currentIterationCount,_xlfn.LET(_xlpm.v,_xlpm.initialValue,_xlpm.iterationCount,IF(_xlfn.ISOMITTED(_xlpm.currentIterationCount),0,_xlpm.currentIterationCount),IF(_xlpm.stopCondition(_xlpm.v),_xlpm.iterationCount,WhileIterations_byHarryGross(_xlpm.iterativeStep(_xlpm.v),_xlpm.iterativeStep,_xlpm.stopCondition,_xlpm.iterationCount+1))))</definedName>
    <definedName name="WhileLoop_byHarryGross">_xlfn.LAMBDA(_xlpm.initialValue,_xlpm.iterativeStep,_xlpm.stopCondition,_xlfn.LET(_xlpm.v,_xlpm.initialValue,IF(_xlpm.stopCondition(_xlpm.v),_xlpm.v,WhileLoop_byHarryGross(_xlpm.iterativeStep(_xlpm.v),_xlpm.iterativeStep,_xlpm.stopCondition))))</definedName>
    <definedName name="XLOOKUP2D_byBendeLeon">_xlfn.LAMBDA(_xlpm.DataSource,_xlpm.RLU,_xlpm.CLU,_xlop.RowArray,_xlop.ColumnArray,_xlop.MatchMode,_xlop.SearchMode,_xlop.IfNotFound,_xlfn.LET(_xlpm.dropRow,IF(_xlfn.ISOMITTED(_xlpm.ColumnArray),1,0),_xlpm.dropCol,IF(_xlfn.ISOMITTED(_xlpm.RowArray),1,0),_xlpm.vals,_xlfn.DROP(_xlpm.DataSource,_xlpm.dropRow,_xlpm.dropCol),_xlpm.rlab,IF(_xlfn.ISOMITTED(_xlpm.RowArray),_xlfn.DROP(_xlfn.TAKE(_xlpm.DataSource,,1),_xlpm.dropRow),_xlfn.TAKE(_xlpm.RowArray,,1)),_xlpm.clab,IF(_xlfn.ISOMITTED(_xlpm.ColumnArray),_xlfn.DROP(_xlfn.TAKE(_xlpm.DataSource,1),,_xlpm.dropCol),_xlfn.TAKE(_xlpm.ColumnArray,1)),_xlpm.mm,IF(_xlfn.ISOMITTED(_xlpm.MatchMode),0,_xlpm.MatchMode),_xlpm.sm,IF(_xlfn.ISOMITTED(_xlpm.SearchMode),1,_xlpm.SearchMode),IFERROR(INDEX(_xlpm.vals,_xlfn.XMATCH(_xlpm.RLU,_xlpm.rlab,_xlpm.mm,_xlpm.sm),_xlfn.XMATCH(_xlpm.CLU,_xlpm.clab,_xlpm.mm,_xlpm.sm)),IF(_xlfn.ISOMITTED(_xlpm.IfNotFound),NA(),_xlpm.IfNotFound))))</definedName>
    <definedName name="YouAreHere_byLiannaGerrish">_xlfn.LAMBDA(_xlpm.cell,_xlop.sheetname,_xlfn.LET(_xlpm._a,ADDRESS(ROW(_xlpm.cell),COLUMN(_xlpm.cell),4,TRUE),IF(_xlfn.ISOMITTED(_xlpm.sheetname),_xlpm._a,"'"&amp;_xlpm.sheetname&amp;"'!"&amp;_xlpm._a)))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30" l="1" a="1"/>
  <c r="E400" i="23" a="1"/>
  <c r="E397" i="23" a="1"/>
  <c r="E375" i="23" a="1"/>
  <c r="E367" i="23" a="1"/>
  <c r="E358" i="23" a="1"/>
  <c r="E350" i="23" a="1"/>
  <c r="E345" i="23" a="1"/>
  <c r="E337" i="23" a="1"/>
  <c r="E320" i="23" a="1"/>
  <c r="E317" i="23" a="1"/>
  <c r="E314" i="23" a="1"/>
  <c r="E311" i="23" a="1"/>
  <c r="E292" i="23" a="1"/>
  <c r="E284" i="23" a="1"/>
  <c r="E268" i="23" a="1"/>
  <c r="E265" i="23" a="1"/>
  <c r="E246" i="23" a="1"/>
  <c r="E236" i="23" a="1"/>
  <c r="E226" i="23" a="1"/>
  <c r="E216" i="23" a="1"/>
  <c r="E206" i="23" a="1"/>
  <c r="E193" i="23" a="1"/>
  <c r="E188" i="23" a="1"/>
  <c r="E183" i="23" a="1"/>
  <c r="E180" i="23" a="1"/>
  <c r="E161" i="23" a="1"/>
  <c r="E156" i="23" a="1"/>
  <c r="E151" i="23" a="1"/>
  <c r="E129" i="23" a="1"/>
  <c r="E126" i="23" a="1"/>
  <c r="E114" i="23" a="1"/>
  <c r="E109" i="23" a="1"/>
  <c r="E104" i="23" a="1"/>
  <c r="E99" i="23" a="1"/>
  <c r="E94" i="23" a="1"/>
  <c r="E89" i="23" a="1"/>
  <c r="E85" i="23" a="1"/>
  <c r="E64" i="23" a="1"/>
  <c r="E60" i="23" a="1"/>
  <c r="E57" i="23" a="1"/>
  <c r="E38" i="23" a="1"/>
  <c r="E35" i="23" a="1"/>
  <c r="E32" i="23" a="1"/>
  <c r="E29" i="23" a="1"/>
  <c r="E26" i="23" a="1"/>
  <c r="E23" i="23" a="1"/>
  <c r="E20" i="23" a="1"/>
  <c r="E207" i="22" a="1"/>
  <c r="E204" i="22" a="1"/>
  <c r="E201" i="22" a="1"/>
  <c r="E198" i="22" a="1"/>
  <c r="E195" i="22" a="1"/>
  <c r="E192" i="22" a="1"/>
  <c r="E189" i="22" a="1"/>
  <c r="E186" i="22" a="1"/>
  <c r="E161" i="22" a="1"/>
  <c r="E158" i="22" a="1"/>
  <c r="E155" i="22" a="1"/>
  <c r="E152" i="22" a="1"/>
  <c r="E149" i="22" a="1"/>
  <c r="E135" i="22" a="1"/>
  <c r="E121" i="22" a="1"/>
  <c r="E118" i="22"/>
  <c r="E107" i="22"/>
  <c r="E104" i="22"/>
  <c r="E86" i="22" a="1"/>
  <c r="E78" i="22" a="1"/>
  <c r="E70" i="22" a="1"/>
  <c r="E59" i="22" a="1"/>
  <c r="E56" i="22" a="1"/>
  <c r="E53" i="22" a="1"/>
  <c r="E38" i="22" a="1"/>
  <c r="E35" i="22" a="1"/>
  <c r="E22" i="22" a="1"/>
  <c r="E17" i="22" a="1"/>
  <c r="E12" i="22" a="1"/>
  <c r="E93" i="21" a="1"/>
  <c r="E90" i="21" a="1"/>
  <c r="E73" i="21" a="1"/>
  <c r="E70" i="21" a="1"/>
  <c r="E67" i="21" a="1"/>
  <c r="E39" i="21" a="1"/>
  <c r="E32" i="21" a="1"/>
  <c r="E29" i="21" a="1"/>
  <c r="E769" i="20" a="1"/>
  <c r="E766" i="20" a="1"/>
  <c r="E743" i="20" a="1"/>
  <c r="E735" i="20" a="1"/>
  <c r="E727" i="20" a="1"/>
  <c r="E717" i="20" a="1"/>
  <c r="E709" i="20" a="1"/>
  <c r="E682" i="20" a="1"/>
  <c r="E679" i="20" a="1"/>
  <c r="E676" i="20" a="1"/>
  <c r="E673" i="20" a="1"/>
  <c r="E670" i="20" a="1"/>
  <c r="E663" i="20" a="1"/>
  <c r="E656" i="20" a="1"/>
  <c r="E649" i="20" a="1"/>
  <c r="E642" i="20" a="1"/>
  <c r="E615" i="20" a="1"/>
  <c r="E608" i="20" a="1"/>
  <c r="E601" i="20" a="1"/>
  <c r="E598" i="20" a="1"/>
  <c r="E591" i="20" a="1"/>
  <c r="E568" i="20" a="1"/>
  <c r="E565" i="20" a="1"/>
  <c r="E562" i="20" a="1"/>
  <c r="E559" i="20" a="1"/>
  <c r="E553" i="20" a="1"/>
  <c r="E548" i="20" a="1"/>
  <c r="E545" i="20" a="1"/>
  <c r="E525" i="20" a="1"/>
  <c r="E520" i="20" a="1"/>
  <c r="E515" i="20" a="1"/>
  <c r="E510" i="20" a="1"/>
  <c r="E505" i="20" a="1"/>
  <c r="E483" i="20" a="1"/>
  <c r="E476" i="20" a="1"/>
  <c r="E469" i="20" a="1"/>
  <c r="E466" i="20" a="1"/>
  <c r="E459" i="20" a="1"/>
  <c r="E452" i="20" a="1"/>
  <c r="E445" i="20" a="1"/>
  <c r="E416" i="20" a="1"/>
  <c r="E405" i="20" a="1"/>
  <c r="E397" i="20" a="1"/>
  <c r="E389" i="20" a="1"/>
  <c r="E384" i="20" a="1"/>
  <c r="E379" i="20" a="1"/>
  <c r="E376" i="20" a="1"/>
  <c r="E351" i="20" a="1"/>
  <c r="E348" i="20" a="1"/>
  <c r="E345" i="20" a="1"/>
  <c r="E337" i="20" a="1"/>
  <c r="E329" i="20" a="1"/>
  <c r="E304" i="20" a="1"/>
  <c r="E299" i="20" a="1"/>
  <c r="E296" i="20" a="1"/>
  <c r="E292" i="20" a="1"/>
  <c r="E287" i="20" a="1"/>
  <c r="E282" i="20" a="1"/>
  <c r="E260" i="20" a="1"/>
  <c r="E253" i="20" a="1"/>
  <c r="E249" i="20" a="1"/>
  <c r="E244" i="20" a="1"/>
  <c r="E226" i="20" a="1"/>
  <c r="E219" i="20" a="1"/>
  <c r="E216" i="20" a="1"/>
  <c r="E211" i="20" a="1"/>
  <c r="E185" i="20" a="1"/>
  <c r="E178" i="20" a="1"/>
  <c r="E171" i="20" a="1"/>
  <c r="E151" i="20" a="1"/>
  <c r="E148" i="20" a="1"/>
  <c r="E145" i="20" a="1"/>
  <c r="E142" i="20" a="1"/>
  <c r="E139" i="20" a="1"/>
  <c r="E120" i="20" a="1"/>
  <c r="E115" i="20" a="1"/>
  <c r="E112" i="20" a="1"/>
  <c r="E109" i="20" a="1"/>
  <c r="E92" i="20" a="1"/>
  <c r="E77" i="20" a="1"/>
  <c r="E74" i="20" a="1"/>
  <c r="E60" i="20" a="1"/>
  <c r="E57" i="20" a="1"/>
  <c r="E54" i="20" a="1"/>
  <c r="E51" i="20" a="1"/>
  <c r="E40" i="20" a="1"/>
  <c r="E37" i="20" a="1"/>
  <c r="E32" i="20" a="1"/>
  <c r="E29" i="20" a="1"/>
  <c r="E26" i="20" a="1"/>
  <c r="E9" i="17" a="1"/>
  <c r="E427" i="8" a="1"/>
  <c r="E434" i="8" a="1"/>
  <c r="E336" i="19" a="1"/>
  <c r="E206" i="9" a="1"/>
  <c r="E202" i="9" a="1"/>
  <c r="E370" i="19" a="1"/>
  <c r="E365" i="19" a="1"/>
  <c r="E362" i="19" a="1"/>
  <c r="E358" i="19" a="1"/>
  <c r="E353" i="19" a="1"/>
  <c r="E205" i="19" a="1"/>
  <c r="E200" i="19" a="1"/>
  <c r="E197" i="19" a="1"/>
  <c r="E192" i="19" a="1"/>
  <c r="E187" i="19" a="1"/>
  <c r="E169" i="19" a="1"/>
  <c r="E162" i="19" a="1"/>
  <c r="E77" i="19" a="1"/>
  <c r="E50" i="19" a="1"/>
  <c r="E44" i="19" a="1"/>
  <c r="E27" i="19" a="1"/>
  <c r="E23" i="19" a="1"/>
  <c r="E18" i="19" a="1"/>
  <c r="E336" i="18" a="1"/>
  <c r="E332" i="18" a="1"/>
  <c r="E325" i="18" a="1"/>
  <c r="E321" i="18" a="1"/>
  <c r="E297" i="18" a="1"/>
  <c r="E294" i="18"/>
  <c r="E291" i="18" a="1"/>
  <c r="E287" i="18" a="1"/>
  <c r="E267" i="18"/>
  <c r="E264" i="18" a="1"/>
  <c r="E256" i="18" a="1"/>
  <c r="E245" i="18" a="1"/>
  <c r="E224" i="18" a="1"/>
  <c r="E220" i="18" a="1"/>
  <c r="E159" i="18" a="1"/>
  <c r="E156" i="18" a="1"/>
  <c r="E153" i="18" a="1"/>
  <c r="E150" i="18" a="1"/>
  <c r="E147" i="18" a="1"/>
  <c r="E144" i="18" a="1"/>
  <c r="E119" i="18"/>
  <c r="E115" i="18" a="1"/>
  <c r="E94" i="18" a="1"/>
  <c r="E89" i="18" a="1"/>
  <c r="E81" i="18" a="1"/>
  <c r="E71" i="18"/>
  <c r="E63" i="18" a="1"/>
  <c r="E41" i="18" a="1"/>
  <c r="E36" i="18" a="1"/>
  <c r="E30" i="18" a="1"/>
  <c r="E25" i="18" a="1"/>
  <c r="E398" i="19" a="1"/>
  <c r="E393" i="19" a="1"/>
  <c r="E387" i="19" a="1"/>
  <c r="E434" i="19" a="1"/>
  <c r="E430" i="19" a="1"/>
  <c r="E426" i="19" a="1"/>
  <c r="E422" i="19" a="1"/>
  <c r="E418" i="19" a="1"/>
  <c r="E475" i="19" a="1"/>
  <c r="E468" i="19" a="1"/>
  <c r="E461" i="19" a="1"/>
  <c r="E454" i="19" a="1"/>
  <c r="E122" i="18" a="1"/>
  <c r="E74" i="18" a="1"/>
  <c r="E229" i="19" a="1"/>
  <c r="E223" i="19" a="1"/>
  <c r="E296" i="19" a="1"/>
  <c r="E292" i="19" a="1"/>
  <c r="E287" i="19" a="1"/>
  <c r="E332" i="19" a="1"/>
  <c r="E327" i="19" a="1"/>
  <c r="E322" i="19" a="1"/>
  <c r="E318" i="19" a="1"/>
  <c r="E314" i="19" a="1"/>
  <c r="E73" i="19" a="1"/>
  <c r="E77" i="10" a="1"/>
  <c r="E66" i="10" a="1"/>
  <c r="E104" i="10" a="1"/>
  <c r="E220" i="10" a="1"/>
  <c r="E252" i="10" a="1"/>
  <c r="E243" i="10" a="1"/>
  <c r="E339" i="10" a="1"/>
  <c r="E329" i="10" a="1"/>
  <c r="E308" i="10" a="1"/>
  <c r="E133" i="9" a="1"/>
  <c r="E180" i="9" a="1"/>
  <c r="E176" i="9" a="1"/>
  <c r="E265" i="9" a="1"/>
  <c r="E291" i="9" a="1"/>
  <c r="E171" i="8" a="1"/>
  <c r="E166" i="8" a="1"/>
  <c r="E525" i="8" a="1"/>
  <c r="E518" i="8" a="1"/>
  <c r="E497" i="8" a="1"/>
  <c r="E490" i="8" a="1"/>
  <c r="E470" i="8" a="1"/>
  <c r="E463" i="8" a="1"/>
  <c r="E383" i="8" a="1"/>
  <c r="E270" i="19"/>
  <c r="E263" i="19" a="1"/>
  <c r="E257" i="19" a="1"/>
  <c r="E251" i="19" a="1"/>
  <c r="E153" i="19" a="1"/>
  <c r="E146" i="19" a="1"/>
  <c r="E138" i="19" a="1"/>
  <c r="E130" i="19" a="1"/>
  <c r="E122" i="19" a="1"/>
  <c r="E114" i="19" a="1"/>
  <c r="E106" i="19" a="1"/>
  <c r="E98" i="19" a="1"/>
  <c r="E203" i="18"/>
  <c r="E200" i="18"/>
  <c r="E197" i="18" a="1"/>
  <c r="E178" i="18" a="1"/>
  <c r="E175" i="18" a="1"/>
  <c r="E172" i="18" a="1"/>
  <c r="E300" i="10" a="1"/>
  <c r="E282" i="10" a="1"/>
  <c r="E277" i="10" a="1"/>
  <c r="E272" i="10" a="1"/>
  <c r="E268" i="10" a="1"/>
  <c r="E249" i="10"/>
  <c r="E238" i="10" a="1"/>
  <c r="E215" i="10" a="1"/>
  <c r="E208" i="10" a="1"/>
  <c r="E202" i="10" a="1"/>
  <c r="E179" i="10" a="1"/>
  <c r="E171" i="10" a="1"/>
  <c r="E160" i="10" a="1"/>
  <c r="E152" i="10" a="1"/>
  <c r="E125" i="10" a="1"/>
  <c r="E132" i="10" s="1" a="1"/>
  <c r="E97" i="10" a="1"/>
  <c r="E70" i="10" a="1"/>
  <c r="E59" i="10" a="1"/>
  <c r="E318" i="9" a="1"/>
  <c r="E315" i="9"/>
  <c r="E260" i="9" a="1"/>
  <c r="E234" i="9" a="1"/>
  <c r="E228" i="9" a="1"/>
  <c r="E155" i="9" a="1"/>
  <c r="E152" i="9" a="1"/>
  <c r="E128" i="9" a="1"/>
  <c r="E106" i="9" a="1"/>
  <c r="E100" i="9"/>
  <c r="E85" i="9"/>
  <c r="E79" i="9" a="1"/>
  <c r="E60" i="9" a="1"/>
  <c r="E54" i="9" a="1"/>
  <c r="E35" i="9" a="1"/>
  <c r="E29" i="9" a="1"/>
  <c r="E556" i="8" a="1"/>
  <c r="E551" i="8" a="1"/>
  <c r="E406" i="8" a="1"/>
  <c r="E399" i="8" a="1"/>
  <c r="E376" i="8" a="1"/>
  <c r="E361" i="8" a="1"/>
  <c r="E354" i="8" a="1"/>
  <c r="E334" i="8" a="1"/>
  <c r="E327" i="8" a="1"/>
  <c r="E308" i="8" a="1"/>
  <c r="E301" i="8" a="1"/>
  <c r="E280" i="8" a="1"/>
  <c r="E273" i="8" a="1"/>
  <c r="E253" i="8" a="1"/>
  <c r="E246" i="8" a="1"/>
  <c r="E223" i="8" a="1"/>
  <c r="E215" i="8" a="1"/>
  <c r="E195" i="8" a="1"/>
  <c r="E188" i="8" a="1"/>
  <c r="E149" i="8" a="1"/>
  <c r="E144" i="8" a="1"/>
  <c r="E128" i="8" a="1"/>
  <c r="E121" i="8" a="1"/>
  <c r="E101" i="8" a="1"/>
  <c r="E94" i="8" a="1"/>
  <c r="E77" i="8" a="1"/>
  <c r="E70" i="8" a="1"/>
  <c r="E51" i="8" a="1"/>
  <c r="E43" i="8"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<sst xmlns="http://schemas.openxmlformats.org/spreadsheetml/2006/main" count="5561" uniqueCount="3494">
  <si>
    <t>⌂  CompBot Tutorial</t>
  </si>
  <si>
    <t>CompBot Tutorial</t>
  </si>
  <si>
    <t>CONTENTS</t>
  </si>
  <si>
    <t>Two tracks in one workbook: the COMMANDS you press, and the LAMBDAS you type. Work down the tabs in order, or use Find it to jump straight to the thing you want to do.</t>
  </si>
  <si>
    <t>▾  START</t>
  </si>
  <si>
    <t>Is CompBot actually installed?</t>
  </si>
  <si>
    <t>Start here</t>
  </si>
  <si>
    <t>Get set up</t>
  </si>
  <si>
    <t>Find it</t>
  </si>
  <si>
    <t>1.  Press Ctrl+Shift+O.  A search box appears  →  OA Robot is installed.</t>
  </si>
  <si>
    <t>▸  COMMANDS</t>
  </si>
  <si>
    <t>▸  DEMO SHEETS</t>
  </si>
  <si>
    <t>3.  Nothing?  →  the Get set up sheet.</t>
  </si>
  <si>
    <t>▸  LAMBDAS</t>
  </si>
  <si>
    <t>▸  REFERENCE</t>
  </si>
  <si>
    <t>The two halves are not equally self-contained</t>
  </si>
  <si>
    <t>How to read a command lesson</t>
  </si>
  <si>
    <t>Needs first:</t>
  </si>
  <si>
    <t>Run after:</t>
  </si>
  <si>
    <t xml:space="preserve">     what has to already exist in the workbook. A chain, not a button.</t>
  </si>
  <si>
    <t>Do it:</t>
  </si>
  <si>
    <t xml:space="preserve">     the keystrokes.</t>
  </si>
  <si>
    <t>BEFORE / AFTER:</t>
  </si>
  <si>
    <t xml:space="preserve">     for a formula command, both cells are LIVE. The AFTER is built from the command's own definition, so it is exactly what the command writes.</t>
  </si>
  <si>
    <t>The workbook, one screen</t>
  </si>
  <si>
    <t>sheet</t>
  </si>
  <si>
    <t>track</t>
  </si>
  <si>
    <t>what is on it</t>
  </si>
  <si>
    <t>front</t>
  </si>
  <si>
    <t>what this is, and whether CompBot is actually installed</t>
  </si>
  <si>
    <t>the add-in, the six free collections, and which of their launch codes are worth memorising</t>
  </si>
  <si>
    <t>"I want to…" → a launch code, a lambda, or both</t>
  </si>
  <si>
    <t>C1 Your machine</t>
  </si>
  <si>
    <t>commands</t>
  </si>
  <si>
    <t>the shared-machine ritual: GS → US → RVS</t>
  </si>
  <si>
    <t>C2 Open the case</t>
  </si>
  <si>
    <t>backup, level sheets, unmerge, import</t>
  </si>
  <si>
    <t>C3 Read the questions</t>
  </si>
  <si>
    <t>examples, questions and the bonus dock</t>
  </si>
  <si>
    <t>C4 Solve a level</t>
  </si>
  <si>
    <t>C5 Wrap a formula</t>
  </si>
  <si>
    <t>twenty one-key wraps: shape, number, errors</t>
  </si>
  <si>
    <t>C6 Text, codes and lookups</t>
  </si>
  <si>
    <t>splitting, encoding, looking up</t>
  </si>
  <si>
    <t>C7 Maps, grids and sheets</t>
  </si>
  <si>
    <t>the map family, and stacking sheets</t>
  </si>
  <si>
    <t>C8 Housekeeping</t>
  </si>
  <si>
    <t>between cases, not during one</t>
  </si>
  <si>
    <t>Case</t>
  </si>
  <si>
    <t>demo</t>
  </si>
  <si>
    <t>Demo maps</t>
  </si>
  <si>
    <t>maps drawn in fill colour, merged cells, a route to walk</t>
  </si>
  <si>
    <t>Area1 / Area2 / Area3</t>
  </si>
  <si>
    <t>three same-shaped sheets, for Stack Sheets</t>
  </si>
  <si>
    <t>Words</t>
  </si>
  <si>
    <t>lambdas</t>
  </si>
  <si>
    <t>Level 1 Basics</t>
  </si>
  <si>
    <t>small lambdas that come up constantly</t>
  </si>
  <si>
    <t>Level 2 Arrays</t>
  </si>
  <si>
    <t>working on a whole block at once</t>
  </si>
  <si>
    <t>repeating something while carrying state</t>
  </si>
  <si>
    <t>pulling text apart, and ciphers</t>
  </si>
  <si>
    <t>back</t>
  </si>
  <si>
    <t>Command cheat sheet</t>
  </si>
  <si>
    <t>Lambda cheat sheet</t>
  </si>
  <si>
    <t>What changed</t>
  </si>
  <si>
    <t>The add-in, the free collections that are the ground everybody stands on, and then CompBot.</t>
  </si>
  <si>
    <t>1 · The add-in</t>
  </si>
  <si>
    <t>OA Robot is an Excel add-in from oarobot.com, by Erik Oehm. It adds one thing: a command palette on Ctrl+Shift+O. You type two or three letters, it shows you the matching commands, you press Enter. Everything in this workbook's command half is a Robot Command running through that palette.</t>
  </si>
  <si>
    <t>Six collections from Oehm Automation are free and everybody has them: Array Robot Vol 1, Text Robot Vol 1, Formula Robot, Format Robot Vol 1, Getting Started, and Lambda Robot. Install those FIRST. CompBot is scored, designed and written on the assumption that you already have them, and it deliberately does not duplicate what they already do.</t>
  </si>
  <si>
    <t>Their collection codes, for adding them in OA Robot:</t>
  </si>
  <si>
    <t>collection</t>
  </si>
  <si>
    <t>code</t>
  </si>
  <si>
    <t>Formula Robot</t>
  </si>
  <si>
    <t>ZW53HA</t>
  </si>
  <si>
    <t>Format Robot Vol 1</t>
  </si>
  <si>
    <t>VA78CV</t>
  </si>
  <si>
    <t>Text Robot Vol 1</t>
  </si>
  <si>
    <t>FC27VT</t>
  </si>
  <si>
    <t>Array Robot Vol 1</t>
  </si>
  <si>
    <t>CK71QS</t>
  </si>
  <si>
    <t>Lambda Robot</t>
  </si>
  <si>
    <t>NR42EW</t>
  </si>
  <si>
    <t>3 · Install CompBot</t>
  </si>
  <si>
    <t>A collection is just an Excel workbook that OA Robot has been told about. CompBot lives on GitHub, and OA Robot can add it straight from there and keep it in sync, so each new release reaches you without downloading anything.</t>
  </si>
  <si>
    <t>1.  Press Ctrl+Shift+O, and type  +@  into the search box.</t>
  </si>
  <si>
    <t>2.  Choose  "Syncable Github Command Collection".</t>
  </si>
  <si>
    <t>3.  Set the URL to  https://github.com/JaqK23/CompBot/blob/main/CompBot.xlsm</t>
  </si>
  <si>
    <t>4.  Check it: Ctrl+Shift+O, type  SC.  "Full Setup Case" appears  →  CompBot is installed.</t>
  </si>
  <si>
    <t>Rather watch it done?  The install, step by step, on video  →  https://youtu.be/aqeKzC58m84</t>
  </si>
  <si>
    <t>5 · Which Excel</t>
  </si>
  <si>
    <t>6 · The base level's own launch codes, worth memorising</t>
  </si>
  <si>
    <t>command</t>
  </si>
  <si>
    <t>Max Of Array</t>
  </si>
  <si>
    <t>13</t>
  </si>
  <si>
    <t>Paste Lookup</t>
  </si>
  <si>
    <t>8</t>
  </si>
  <si>
    <t>Sum Array  /  Sum Array By Row</t>
  </si>
  <si>
    <t>6  /  4</t>
  </si>
  <si>
    <t>Running Total Of Array</t>
  </si>
  <si>
    <t>5</t>
  </si>
  <si>
    <t>Extract Numbers From Text To Columns</t>
  </si>
  <si>
    <t>Auto Fill Down</t>
  </si>
  <si>
    <t>Is Odd?  /  Is Even?</t>
  </si>
  <si>
    <t>5  /  3</t>
  </si>
  <si>
    <t>Keep First / Last Character</t>
  </si>
  <si>
    <t>4  /  4</t>
  </si>
  <si>
    <t>Reshape To One (1) Column</t>
  </si>
  <si>
    <t>4</t>
  </si>
  <si>
    <t>Keep Text Before / After Specified Text</t>
  </si>
  <si>
    <t>3  /  4</t>
  </si>
  <si>
    <t>STARTING A CASE</t>
  </si>
  <si>
    <t>reach for</t>
  </si>
  <si>
    <t>I've just opened it and I don't know where to begin</t>
  </si>
  <si>
    <t>cells are merged down the rows and nothing will fill down</t>
  </si>
  <si>
    <t>Unmerge Multi-Row Merges</t>
  </si>
  <si>
    <t>the sheet names have spaces in and my formulas are ugly</t>
  </si>
  <si>
    <t>rs   Rename Sheets</t>
  </si>
  <si>
    <t>I want my own copy before I break anything</t>
  </si>
  <si>
    <t>SA   Save Copy of File</t>
  </si>
  <si>
    <t>the lambdas aren't in this case file</t>
  </si>
  <si>
    <t>THE QUESTIONS AND THE BONUSES</t>
  </si>
  <si>
    <t>XE   Exclude Examples</t>
  </si>
  <si>
    <t>select this level's example and all its questions</t>
  </si>
  <si>
    <t>what bonuses have I still not answered?</t>
  </si>
  <si>
    <t>BQ   Show Bonus Dock</t>
  </si>
  <si>
    <t>I'm skipping that bonus, stop showing me it</t>
  </si>
  <si>
    <t>I don't want the task pane open</t>
  </si>
  <si>
    <t>BQN  Next Bonus In Status Bar</t>
  </si>
  <si>
    <t>ANSWERING A WHOLE LEVEL AT ONCE</t>
  </si>
  <si>
    <t>I've solved the example, now do the other nineteen</t>
  </si>
  <si>
    <t>SFE  Save From Example</t>
  </si>
  <si>
    <t>check what one particular game actually does</t>
  </si>
  <si>
    <t>put the answers in the green cells to the left</t>
  </si>
  <si>
    <t>SAL  Save Answers To Left</t>
  </si>
  <si>
    <t>THIS MACHINE ISN'T MINE</t>
  </si>
  <si>
    <t>the separators are wrong and every formula I type fails</t>
  </si>
  <si>
    <t>GS then US</t>
  </si>
  <si>
    <t>give it back the way I found it</t>
  </si>
  <si>
    <t>RVS  Revert Settings</t>
  </si>
  <si>
    <t>it recalculates for twenty seconds every keystroke</t>
  </si>
  <si>
    <t>TC   Toggle Calculation Mode</t>
  </si>
  <si>
    <t>THE DATA IS IN THE FORMATTING</t>
  </si>
  <si>
    <t>the map is colours, there are no values at all</t>
  </si>
  <si>
    <t>FBC  (with a legend)</t>
  </si>
  <si>
    <t>…and there's no legend either</t>
  </si>
  <si>
    <t>PFF, then UNIQUE on the Fill column</t>
  </si>
  <si>
    <t>which of these cells are actually one blob?</t>
  </si>
  <si>
    <t>how many cells are this colour?</t>
  </si>
  <si>
    <t>SBC  Goto Similar Background Color</t>
  </si>
  <si>
    <t>there's a path drawn on it and recorded nowhere</t>
  </si>
  <si>
    <t>MAPS AND GRIDS</t>
  </si>
  <si>
    <t>where is the S on this map?</t>
  </si>
  <si>
    <t>FAM  Find Address Of Value On Map</t>
  </si>
  <si>
    <t>which one is nearest, in a straight line?</t>
  </si>
  <si>
    <t>FNM  Find Nearest On Map</t>
  </si>
  <si>
    <t>the board is the wrong way up</t>
  </si>
  <si>
    <t>this flat row is really a 5x5 board</t>
  </si>
  <si>
    <t>WFG  Wrap Flat List Into Grid</t>
  </si>
  <si>
    <t>IT'S SPREAD OVER MANY SHEETS</t>
  </si>
  <si>
    <t>sixty-four sheets, one table please</t>
  </si>
  <si>
    <t>STK  Stack Sheets From Clipboard</t>
  </si>
  <si>
    <t>…and the empty cells are noise</t>
  </si>
  <si>
    <t>STKH  (but it drops zeros too)</t>
  </si>
  <si>
    <t>EVERYDAY FORMULA WRAPS</t>
  </si>
  <si>
    <t>how many rows pass this test?</t>
  </si>
  <si>
    <t>ST   Sum True</t>
  </si>
  <si>
    <t>turn TRUE/FALSE into 1/0</t>
  </si>
  <si>
    <t>strip the duplicates</t>
  </si>
  <si>
    <t>U    Wrap in UNIQUE</t>
  </si>
  <si>
    <t>this list has gaps in it</t>
  </si>
  <si>
    <t>EB   Exclude Blanks</t>
  </si>
  <si>
    <t>split "3;5;2;6" into four numbers</t>
  </si>
  <si>
    <t>S;   Split Text by Semicolon</t>
  </si>
  <si>
    <t>letters to numbers, and back</t>
  </si>
  <si>
    <t>code  /  char</t>
  </si>
  <si>
    <t>a running total that restarts</t>
  </si>
  <si>
    <t>position on a board that loops round</t>
  </si>
  <si>
    <t>MODA (0-based)  /  MOD1 (1-based)</t>
  </si>
  <si>
    <t>MOVING AROUND A GRID</t>
  </si>
  <si>
    <t>MazeDistance_byHadynWiseman</t>
  </si>
  <si>
    <t>...and I want the number of STEPS, not the cost</t>
  </si>
  <si>
    <t>MazeDistance, [Show_Steps] = 1</t>
  </si>
  <si>
    <t>How far is it, ignoring walls entirely?</t>
  </si>
  <si>
    <t>Distance_byHadynWiseman</t>
  </si>
  <si>
    <t>How far is every cell from the nearest wall / water / exit?</t>
  </si>
  <si>
    <t>DistFrom_byDiarmuidEarly</t>
  </si>
  <si>
    <t>Maze_byHadynWiseman</t>
  </si>
  <si>
    <t>How many separate areas / islands / rooms are there?</t>
  </si>
  <si>
    <t>Regions_byHadynWiseman</t>
  </si>
  <si>
    <t>Walk N steps in a direction, stopping or bouncing at walls</t>
  </si>
  <si>
    <t>MoveOnMap_byHadynWiseman</t>
  </si>
  <si>
    <t>Follow the wall until something happens</t>
  </si>
  <si>
    <t>HugWall_byHadynWiseman</t>
  </si>
  <si>
    <t>What can this cell SEE?</t>
  </si>
  <si>
    <t>LineOfSight / LineOfSightCount_byHadynWiseman</t>
  </si>
  <si>
    <t>Which is the nearest X, and how far?</t>
  </si>
  <si>
    <t>ClosestOnMap_byHadynWiseman</t>
  </si>
  <si>
    <t>Cheapest route over a network of places, not a grid</t>
  </si>
  <si>
    <t>NetworkGraph_byHadynWiseman</t>
  </si>
  <si>
    <t>BoardGameMove_byHadynWiseman</t>
  </si>
  <si>
    <t>LOOKING AT A GRID</t>
  </si>
  <si>
    <t>Score every 2x2 / 3x3 / 1x5 window</t>
  </si>
  <si>
    <t>ByRectangle_byBoRydobon</t>
  </si>
  <si>
    <t>Get the block of cells around this one</t>
  </si>
  <si>
    <t>GetBlock_byJaqKennedy</t>
  </si>
  <si>
    <t>Where is this value on the grid?</t>
  </si>
  <si>
    <t>Turn the grid into a list I can filter and sort</t>
  </si>
  <si>
    <t>GridToCol_byLiannaGerrish</t>
  </si>
  <si>
    <t>...and I want ADDRESSES rather than row/column numbers</t>
  </si>
  <si>
    <t>GridToCol_byLiannaGerrish(grid,1)</t>
  </si>
  <si>
    <t>...and I want to go DOWN the columns, not along the rows</t>
  </si>
  <si>
    <t>GridToCol_byLiannaGerrish(grid,,,,1)</t>
  </si>
  <si>
    <t>Read the grid in snake order</t>
  </si>
  <si>
    <t>Snake_byHadynWiseman</t>
  </si>
  <si>
    <t>Rotate / mirror / fold the grid</t>
  </si>
  <si>
    <t>Rotate, Flip, Fold_byHadynWiseman</t>
  </si>
  <si>
    <t>What is the address of this cell, as text?</t>
  </si>
  <si>
    <t>YouAreHere_byLiannaGerrish</t>
  </si>
  <si>
    <t>What is the address of EVERY cell in this range?</t>
  </si>
  <si>
    <t>Addresses_byDiarmuidEarly</t>
  </si>
  <si>
    <t>TURNING ADDRESSES INTO NUMBERS AND BACK</t>
  </si>
  <si>
    <t>RowNum_byHadynWiseman / ColNum_byHadynWiseman</t>
  </si>
  <si>
    <t>Turn an address into ONE number I can do arithmetic on, and back again</t>
  </si>
  <si>
    <t>RCRefConvert_byHadynWiseman</t>
  </si>
  <si>
    <t>What move does this arrow mean?</t>
  </si>
  <si>
    <t>RCRefConvert_byHadynWiseman (arrow in, step out)</t>
  </si>
  <si>
    <t>The case writes directions as 'NE' and I want the arrow, or the other way round</t>
  </si>
  <si>
    <t>ArrowsLookup_byHadynWiseman</t>
  </si>
  <si>
    <t>A-Z as a list</t>
  </si>
  <si>
    <t>Alphabet_byHadynWiseman</t>
  </si>
  <si>
    <t>LISTS AND TABLES</t>
  </si>
  <si>
    <t>Which values appear more than once?</t>
  </si>
  <si>
    <t>Duplicates_byHadynWiseman</t>
  </si>
  <si>
    <t>Which appear EXACTLY once?</t>
  </si>
  <si>
    <t>ExactUnique_byHadynWiseman, [exactly_once] = 1</t>
  </si>
  <si>
    <t>Which is the most common, and how many times?</t>
  </si>
  <si>
    <t>ModeSuper_byLiannaGerrish</t>
  </si>
  <si>
    <t>Biggest_byHadynWiseman</t>
  </si>
  <si>
    <t>...and two of them tie</t>
  </si>
  <si>
    <t>Biggest, with a [TieKey]</t>
  </si>
  <si>
    <t>How long is the current run of the same value?</t>
  </si>
  <si>
    <t>Consecutives_byHadynWiseman</t>
  </si>
  <si>
    <t>Which occurrence of its own value is each item?</t>
  </si>
  <si>
    <t>RunningCount_byHadynWiseman</t>
  </si>
  <si>
    <t>Compare each row with the one above it</t>
  </si>
  <si>
    <t>Prev</t>
  </si>
  <si>
    <t>Keep a number inside a range</t>
  </si>
  <si>
    <t>Clamp_byBoRydobon</t>
  </si>
  <si>
    <t>Turn a wide table into a tall one</t>
  </si>
  <si>
    <t>UnPivot_byHadynWiseman</t>
  </si>
  <si>
    <t>...and the column has several values crammed into one cell</t>
  </si>
  <si>
    <t>UnSplivot_byJJ</t>
  </si>
  <si>
    <t>Look something up by ROW and COLUMN together</t>
  </si>
  <si>
    <t>Is this in that list?</t>
  </si>
  <si>
    <t>IsInList_byErikOehm or Exists_byHadynWiseman</t>
  </si>
  <si>
    <t>...and which ones are NOT in it?</t>
  </si>
  <si>
    <t>NotInList_byJaqKennedy</t>
  </si>
  <si>
    <t>Get 60 sheets into one table I can filter</t>
  </si>
  <si>
    <t>StackSheets_byJaqKennedy</t>
  </si>
  <si>
    <t>Which LETTERS are missing?</t>
  </si>
  <si>
    <t>MissingLetters_byJaqKennedy</t>
  </si>
  <si>
    <t>Drop some columns</t>
  </si>
  <si>
    <t>ExcludeCols_byHadynWiseman</t>
  </si>
  <si>
    <t>Shift a list up or down, or cut a deck</t>
  </si>
  <si>
    <t>ArrayShift_byHadynWiseman</t>
  </si>
  <si>
    <t>Repeat a block several times</t>
  </si>
  <si>
    <t>VStacks_byHadynWiseman</t>
  </si>
  <si>
    <t>TEXT</t>
  </si>
  <si>
    <t>Split text into characters</t>
  </si>
  <si>
    <t>SplitText_byHadynWiseman</t>
  </si>
  <si>
    <t>...into overlapping pairs or triples</t>
  </si>
  <si>
    <t>SplitText, [Overlap] = 1</t>
  </si>
  <si>
    <t>Pull out the numbers</t>
  </si>
  <si>
    <t>ExtractNumbers_byHadynWiseman</t>
  </si>
  <si>
    <t>Pull out the letters</t>
  </si>
  <si>
    <t>ExtractLetters_byJaqKennedy</t>
  </si>
  <si>
    <t>Which letters were CAPITALISED?</t>
  </si>
  <si>
    <t>ExtractUpperLetters / ExtractLowerLetters_byJaqKennedy</t>
  </si>
  <si>
    <t>Count how many times something appears in a string</t>
  </si>
  <si>
    <t>CountOcc_byHadynWiseman</t>
  </si>
  <si>
    <t>Shift every letter along the alphabet (a cipher)</t>
  </si>
  <si>
    <t>ShiftText_byHadynWiseman</t>
  </si>
  <si>
    <t>Do a whole list of find-and-replaces at once</t>
  </si>
  <si>
    <t>MassSubstitute_byHadynWiseman</t>
  </si>
  <si>
    <t>Build a pattern that matches any word in a list</t>
  </si>
  <si>
    <t>RegPattern_byHadynWiseman</t>
  </si>
  <si>
    <t>LetterType_byHadynWiseman</t>
  </si>
  <si>
    <t>REPEATING AND SEARCHING</t>
  </si>
  <si>
    <t>Keep going until something becomes true</t>
  </si>
  <si>
    <t>WhileLoop_byHarryGross</t>
  </si>
  <si>
    <t>...and I want to know HOW MANY steps it took</t>
  </si>
  <si>
    <t>WhileIterations_byHarryGross</t>
  </si>
  <si>
    <t>Apply a function to every row, where it returns more than one value</t>
  </si>
  <si>
    <t>BiRow_byHadynWiseman</t>
  </si>
  <si>
    <t>...to every column</t>
  </si>
  <si>
    <t>BiCol_byHadynWiseman</t>
  </si>
  <si>
    <t>List every way of choosing n things</t>
  </si>
  <si>
    <t>Combinations_byHadynWiseman or PerCom_byBoRydobon</t>
  </si>
  <si>
    <t>Shortest round trip visiting everywhere</t>
  </si>
  <si>
    <t>TSPFull / TSPGreedy_byHadynWiseman</t>
  </si>
  <si>
    <t>...and I want to improve a quick greedy answer</t>
  </si>
  <si>
    <t>OptimiseTSP_byHadynWiseman</t>
  </si>
  <si>
    <t>Best value that fits in a limited bag</t>
  </si>
  <si>
    <t>KnapSackInteger_byHadynWiseman</t>
  </si>
  <si>
    <t>Fewest coins to make an amount</t>
  </si>
  <si>
    <t>Coins_byHadynWiseman</t>
  </si>
  <si>
    <t>Find sets or runs in a hand of cards</t>
  </si>
  <si>
    <t>CardSets_byHadynWiseman</t>
  </si>
  <si>
    <t>Read dice glyphs</t>
  </si>
  <si>
    <t>Dice_byHadynWiseman</t>
  </si>
  <si>
    <t>Bounce_byBoRydobon</t>
  </si>
  <si>
    <t>OFFSET without the volatility</t>
  </si>
  <si>
    <t>OffsetA_byPeterScharl</t>
  </si>
  <si>
    <t>C1 · Your machine</t>
  </si>
  <si>
    <t>▸  START</t>
  </si>
  <si>
    <t>The ritual, and why it is a ritual</t>
  </si>
  <si>
    <t>▾  COMMANDS</t>
  </si>
  <si>
    <t>Run GS FIRST or RVS has nothing correct to restore. The lesson below is written in that order on purpose: by the time you press US, the machine's own settings are already captured, so the whole thing is reversible by construction.</t>
  </si>
  <si>
    <t>▸  Get Current Settings</t>
  </si>
  <si>
    <t>GS</t>
  </si>
  <si>
    <t>CompBot says:  Get current settings for this computer.</t>
  </si>
  <si>
    <t>Do it:         Ctrl+Shift+O   →   GS   →   Enter</t>
  </si>
  <si>
    <t>Reach for it when:  The moment you sit down at a machine that is not yours. Arrive, press GS, before you touch anything else.</t>
  </si>
  <si>
    <t>▸  Update Settings</t>
  </si>
  <si>
    <t>US</t>
  </si>
  <si>
    <t>Run after:     Get Current Settings (GS). Always. Running US first is the one way to make this sheet unrecoverable.</t>
  </si>
  <si>
    <t>Do it:         Ctrl+Shift+O   →   US   →   Enter</t>
  </si>
  <si>
    <t>Reach for it when:  Once, before the case starts, on a borrowed machine.</t>
  </si>
  <si>
    <t>▸  Revert Settings</t>
  </si>
  <si>
    <t>RVS</t>
  </si>
  <si>
    <t>CompBot says:  Reverts settings to those loaded into the Loaded column.</t>
  </si>
  <si>
    <t>Do it:         Ctrl+Shift+O   →   RVS   →   Enter</t>
  </si>
  <si>
    <t>▸  Toggle Calculation Mode</t>
  </si>
  <si>
    <t>TC</t>
  </si>
  <si>
    <t>Flips Excel between Automatic and Manual calculation, and says which it just switched to on the status bar.</t>
  </si>
  <si>
    <t>CompBot says:  Toggles calculation mode and places current mode notice in StatusBar</t>
  </si>
  <si>
    <t>Do it:         Ctrl+Shift+O   →   TC   →   Enter</t>
  </si>
  <si>
    <t>Reach for it when:  A heavy case that recalculates for seconds on every keystroke. Go manual, build, then F9 when you want an answer.</t>
  </si>
  <si>
    <t>▸  Toggle Iterative Calculation</t>
  </si>
  <si>
    <t>IC</t>
  </si>
  <si>
    <t>CompBot says:  Toggles iterative calculation and sets status in status bar</t>
  </si>
  <si>
    <t>Do it:         Ctrl+Shift+O   →   IC   →   Enter</t>
  </si>
  <si>
    <t>Reach for it when:  A case that genuinely needs a feedback loop, and for turning it off again afterwards so a real accidental circular reference still gets caught.</t>
  </si>
  <si>
    <t>C2 · Open the case</t>
  </si>
  <si>
    <t>▸  Save Copy of File</t>
  </si>
  <si>
    <t>SA</t>
  </si>
  <si>
    <t>CompBot says:  Enable editing and save copy of file with suffix based on active cell (otherwise Working)</t>
  </si>
  <si>
    <t>Needs first:   the active cell's VALUE is used (often as a name)</t>
  </si>
  <si>
    <t>Do it:         Ctrl+Shift+O   →   SA   →   Enter</t>
  </si>
  <si>
    <t>Reach for it when:  First thing on a downloaded case file, before you type anything into it.</t>
  </si>
  <si>
    <t>▸  Backup Sheets in Workbook</t>
  </si>
  <si>
    <t>BU</t>
  </si>
  <si>
    <t>CompBot says:  Copy all sheets in workbook for backup</t>
  </si>
  <si>
    <t>Do it:         Ctrl+Shift+O   →   BU   →   Enter</t>
  </si>
  <si>
    <t>▸  Unmerge Multi-Row Merges</t>
  </si>
  <si>
    <t>Do it:         Ctrl+Shift+O   →   type "Unmerge Multi-Row Merges"   →   Enter</t>
  </si>
  <si>
    <t>▸  Rename Sheets</t>
  </si>
  <si>
    <t>rs</t>
  </si>
  <si>
    <t>Do it:         Ctrl+Shift+O   →   rs   →   Enter</t>
  </si>
  <si>
    <t>▸  Full Setup Case</t>
  </si>
  <si>
    <t>▸  Create Level Sheets</t>
  </si>
  <si>
    <t>CL  ·  CLS</t>
  </si>
  <si>
    <t>CompBot says:  Creates a sheet for each level in the Case sheet</t>
  </si>
  <si>
    <t>Do it:         Ctrl+Shift+O   →   CL   →   Enter</t>
  </si>
  <si>
    <t>Reach for it when:  On the usual competition layout, where L1 to L7 sit on top of each other on one sheet and every formula has to dodge the level above.</t>
  </si>
  <si>
    <t>▸  Create Case Inputs Sheet</t>
  </si>
  <si>
    <t>CIS  ·  IS</t>
  </si>
  <si>
    <t>Do it:         Ctrl+Shift+O   →   CIS   →   Enter</t>
  </si>
  <si>
    <t>▸  Create Blank Sheet</t>
  </si>
  <si>
    <t>BS  ·  CBS  ·  S</t>
  </si>
  <si>
    <t>Adds one empty sheet, named after whatever the active cell holds (or 'Sht' if it is empty).</t>
  </si>
  <si>
    <t>CompBot says:  Creates a blank sheet named based on cell value (Sht otherwise)</t>
  </si>
  <si>
    <t>Do it:         Ctrl+Shift+O   →   BS   →   Enter</t>
  </si>
  <si>
    <t>Try it on:     Type a word into any empty cell, stand on it, and run BS.</t>
  </si>
  <si>
    <t>Reach for it when:  Scratch space mid-solve, without leaving the keyboard for the tab bar.</t>
  </si>
  <si>
    <t>▸  Import Lambda Library</t>
  </si>
  <si>
    <t>C3 · Read the questions</t>
  </si>
  <si>
    <t>SEQ</t>
  </si>
  <si>
    <t>▸  Exclude Examples</t>
  </si>
  <si>
    <t>XE</t>
  </si>
  <si>
    <t>CompBot says:  Trims the worked-example rows off the top of the selection, leaving just the real questions</t>
  </si>
  <si>
    <t>Do it:         Ctrl+Shift+O   →   XE   →   Enter</t>
  </si>
  <si>
    <t>Try it on:     Case sheet. Select the whole Level 1 block including the Example1 row, then run XE.</t>
  </si>
  <si>
    <t>Reach for it when:  Any time you are about to aggregate or fill over a level and the worked row would poison it.</t>
  </si>
  <si>
    <t>▸  Create Bonus Sheet</t>
  </si>
  <si>
    <t>BQC  ·  CB</t>
  </si>
  <si>
    <t>CompBot says:  Creates bonus sheet "B" with bonus questions</t>
  </si>
  <si>
    <t>Do it:         Ctrl+Shift+O   →   BQC   →   Enter</t>
  </si>
  <si>
    <t>Reach for it when:  Early, on a case whose bonuses are worth real points and are easy to forget.</t>
  </si>
  <si>
    <t>▸  Show Bonus Dock</t>
  </si>
  <si>
    <t>BQ</t>
  </si>
  <si>
    <t>Do it:         Ctrl+Shift+O   →   BQ   →   Enter</t>
  </si>
  <si>
    <t>Reach for it when:  Bonuses are where cases are won and lost, and they are the thing you forget. Run this once at the start and again whenever you want the remaining list.</t>
  </si>
  <si>
    <t>▸  Clear Bonus From Dock</t>
  </si>
  <si>
    <t>BQX</t>
  </si>
  <si>
    <t>CompBot says:  Hides one bonus from the dock by hand (type 2, B4, B or Bonus 2)</t>
  </si>
  <si>
    <t>Needs first:   it will ASK you for 1 value</t>
  </si>
  <si>
    <t>Run after:     Show Bonus Dock (BQ). It refreshes the dock for you afterwards.</t>
  </si>
  <si>
    <t>Do it:         Ctrl+Shift+O   →   BQX   →   Enter</t>
  </si>
  <si>
    <t>Reach for it when:  A bonus you have decided to skip, or one you answered somewhere the dock cannot see.</t>
  </si>
  <si>
    <t>▸  Restore Cleared Bonuses</t>
  </si>
  <si>
    <t>BQR</t>
  </si>
  <si>
    <t>Brings every hand-cleared bonus back into the dock.</t>
  </si>
  <si>
    <t>CompBot says:  Brings every hand-cleared bonus back into the dock</t>
  </si>
  <si>
    <t>Run after:     Show Bonus Dock (BQ).</t>
  </si>
  <si>
    <t>Do it:         Ctrl+Shift+O   →   BQR   →   Enter</t>
  </si>
  <si>
    <t>Reach for it when:  You cleared one too many, or you are coming back to the ones you skipped.</t>
  </si>
  <si>
    <t>▸  Next Bonus In Status Bar</t>
  </si>
  <si>
    <t>BQN</t>
  </si>
  <si>
    <t>CompBot says:  Shows the next open bonus question on the status bar (no-dock fallback)</t>
  </si>
  <si>
    <t>Do it:         Ctrl+Shift+O   →   BQN   →   Enter</t>
  </si>
  <si>
    <t>Reach for it when:  You want the bonus in front of you without giving up screen width to the task pane.</t>
  </si>
  <si>
    <t>▸  Previous Bonus In Status Bar</t>
  </si>
  <si>
    <t>BQP</t>
  </si>
  <si>
    <t>The same, stepping backwards.</t>
  </si>
  <si>
    <t>CompBot says:  Shows the previous open bonus question on the status bar</t>
  </si>
  <si>
    <t>Do it:         Ctrl+Shift+O   →   BQP   →   Enter</t>
  </si>
  <si>
    <t>Reach for it when:  You stepped past the one you wanted.</t>
  </si>
  <si>
    <t>C4 · Solve a level</t>
  </si>
  <si>
    <t>The move</t>
  </si>
  <si>
    <t>▸  Create Data Table</t>
  </si>
  <si>
    <t>CDT  ·  DT</t>
  </si>
  <si>
    <t>Do it:         Ctrl+Shift+O   →   CDT   →   Enter</t>
  </si>
  <si>
    <t>Reach for it when:  Any level with no closed form: a simulation, a state machine, anything where the answer has to be WORKED rather than calculated.</t>
  </si>
  <si>
    <t>▸  Run Data Table</t>
  </si>
  <si>
    <t>RDT</t>
  </si>
  <si>
    <t>CompBot says:  Fills a Create Data Table block with static results game by game, recalculating only when run</t>
  </si>
  <si>
    <t>Do it:         Ctrl+Shift+O   →   RDT   →   Enter</t>
  </si>
  <si>
    <t>Reach for it when:  Once your example works. This is the move that turns one solved row into a whole level.</t>
  </si>
  <si>
    <t>▸  Load Game Into Calculation</t>
  </si>
  <si>
    <t>Drops one particular game's inputs into the example calculation, so you can watch what that game actually does.</t>
  </si>
  <si>
    <t>CompBot says:  Loads the selected data table game into the example calculation, or restores the example</t>
  </si>
  <si>
    <t>Run after:     a Create Data Table block exists on the sheet.</t>
  </si>
  <si>
    <t>Reach for it when:  A row comes back with an answer you do not believe. Load it and step through the working with real numbers in front of you.</t>
  </si>
  <si>
    <t>▸  Save From Example</t>
  </si>
  <si>
    <t>SFE</t>
  </si>
  <si>
    <t>Solve the level once on the worked example row, then hand that solve to every other question in the level and save the answers.</t>
  </si>
  <si>
    <t>Do it:         Ctrl+Shift+O   →   SFE   →   Enter</t>
  </si>
  <si>
    <t>▸  Save Answers To Left</t>
  </si>
  <si>
    <t>SAL</t>
  </si>
  <si>
    <t>Saves references to the cells you have selected into the green answer cells to their left, on the same row.</t>
  </si>
  <si>
    <t>CompBot says:  Saves references to the selected cells in the green answer cells to the left on the same row.</t>
  </si>
  <si>
    <t>Do it:         Ctrl+Shift+O   →   SAL   →   Enter</t>
  </si>
  <si>
    <t>C5 · Wrap a formula</t>
  </si>
  <si>
    <t>Twenty one-key wraps. Stand on a formula, press two or three letters, and it is wrapped in place.</t>
  </si>
  <si>
    <t>The BEFORE cell and the AFTER cell are both live, and the AFTER is generated from the command's own definition, so it is exactly what the command writes.</t>
  </si>
  <si>
    <t>Value</t>
  </si>
  <si>
    <t>Test</t>
  </si>
  <si>
    <t>Word</t>
  </si>
  <si>
    <t>Gappy</t>
  </si>
  <si>
    <t>Laps</t>
  </si>
  <si>
    <t>alpha</t>
  </si>
  <si>
    <t>x</t>
  </si>
  <si>
    <t>beta</t>
  </si>
  <si>
    <t>z</t>
  </si>
  <si>
    <t>gamma</t>
  </si>
  <si>
    <t>w</t>
  </si>
  <si>
    <t>A three-column block, for the lessons that take or keep part of one.</t>
  </si>
  <si>
    <t>▸  Wrap in Drop First Row</t>
  </si>
  <si>
    <t>DF</t>
  </si>
  <si>
    <t>CompBot says:  Wraps the active formula in DROP(...,1) to remove a header row from a spilled array</t>
  </si>
  <si>
    <t>Needs first:   stand on the formula you want to wrap</t>
  </si>
  <si>
    <t>Do it:         Ctrl+Shift+O   →   DF   →   Enter</t>
  </si>
  <si>
    <t>BEFORE   =$E$13:$E$18</t>
  </si>
  <si>
    <t>a column that starts with its own header</t>
  </si>
  <si>
    <t>AFTER     =DROP($E$13:$E$18,1)</t>
  </si>
  <si>
    <t>Reach for it when:  A spill that arrived with its header attached and you only want the body.</t>
  </si>
  <si>
    <t>▸  Wrap in UNIQUE</t>
  </si>
  <si>
    <t>U</t>
  </si>
  <si>
    <t>Wraps it in UNIQUE() to strip duplicates.</t>
  </si>
  <si>
    <t>Do it:         Ctrl+Shift+O   →   U   →   Enter</t>
  </si>
  <si>
    <t>BEFORE   =$G$14:$G$18</t>
  </si>
  <si>
    <t>five words, three of them distinct</t>
  </si>
  <si>
    <t>AFTER     =UNIQUE($G$14:$G$18)</t>
  </si>
  <si>
    <t>▸  Sequence of Row Count</t>
  </si>
  <si>
    <t>src</t>
  </si>
  <si>
    <t>Replaces what you are standing on with 1, 2, 3 ... as long as it is.</t>
  </si>
  <si>
    <t>CompBot says:  Sequence of row count of array variable</t>
  </si>
  <si>
    <t>Do it:         Ctrl+Shift+O   →   src   →   Enter</t>
  </si>
  <si>
    <t>BEFORE   =$E$14:$E$18</t>
  </si>
  <si>
    <t>a five-row block becomes 1..5</t>
  </si>
  <si>
    <t>AFTER     =SEQUENCE(ROWS($E$14:$E$18),1,1,1)</t>
  </si>
  <si>
    <t>Reach for it when:  You need a step number, a row index or a position column beside an array whose length you do not want to count by hand.</t>
  </si>
  <si>
    <t>▸  Keep Cell of Array</t>
  </si>
  <si>
    <t>KTC</t>
  </si>
  <si>
    <t>Cuts a spilled array down to just the cell you clicked on, so one value can be inspected or reused on its own.</t>
  </si>
  <si>
    <t>CompBot says:  Reduces a spilled array to just the one cell you selected, so a single value can be inspected or reused</t>
  </si>
  <si>
    <t>Needs first:   stand on a SPILLED array (any cell of it)</t>
  </si>
  <si>
    <t>Do it:         Ctrl+Shift+O   →   KTC   →   Enter</t>
  </si>
  <si>
    <t>BEFORE   =$E$21:$G$25</t>
  </si>
  <si>
    <t>row 3, column 2 of the block</t>
  </si>
  <si>
    <t>AFTER     =CHOOSEROWS(CHOOSECOLS($E$21:$G$25,{2}),{3})</t>
  </si>
  <si>
    <t>Reach for it when:  A big spill where only one number is the answer, and you want that number as a cell you can reference.</t>
  </si>
  <si>
    <t>▸  Align Array to Right</t>
  </si>
  <si>
    <t>ar</t>
  </si>
  <si>
    <t>Pushes every row's values to the RIGHT-hand end, filling the left with blanks.</t>
  </si>
  <si>
    <t>CompBot says:  Aligns array to the right with blanks to left</t>
  </si>
  <si>
    <t>Do it:         Ctrl+Shift+O   →   ar   →   Enter</t>
  </si>
  <si>
    <t>BEFORE   =$E$28:$G$30</t>
  </si>
  <si>
    <t>a ragged block, aligned right</t>
  </si>
  <si>
    <t>AFTER     =RightAlignedArray_byJaqKennedy(IFBLANK($E$28:$G$30,""))</t>
  </si>
  <si>
    <t>▸  Exclude Blanks</t>
  </si>
  <si>
    <t>EB</t>
  </si>
  <si>
    <t>Filters the blanks out, leaving only the cells that hold something.</t>
  </si>
  <si>
    <t>CompBot says:  Filters blank cells out of the active array, leaving only cells that hold something</t>
  </si>
  <si>
    <t>Do it:         Ctrl+Shift+O   →   EB   →   Enter</t>
  </si>
  <si>
    <t>BEFORE   =$H$14:$H$18</t>
  </si>
  <si>
    <t>a column with two gaps in it</t>
  </si>
  <si>
    <t>AFTER     =FILTER($H$14:$H$18,$H$14:$H$18&lt;&gt;"")</t>
  </si>
  <si>
    <t>▸  Wrap in Take by Copied Cell Columns</t>
  </si>
  <si>
    <t>TCC</t>
  </si>
  <si>
    <t>CompBot says:  Wrap in take by copied cell columns.</t>
  </si>
  <si>
    <t>Needs first:   COPY something first (the command reads the clipboard); stand on the formula you want to wrap</t>
  </si>
  <si>
    <t>Do it:         Ctrl+Shift+O   →   TCC   →   Enter</t>
  </si>
  <si>
    <t>the first 2 columns of a 3-column block (2 was copied)</t>
  </si>
  <si>
    <t>AFTER     =TAKE($E$21:$G$25,,2)</t>
  </si>
  <si>
    <t>Reach for it when:  A wide spill where only the first few columns matter and you would rather not count them into the formula.</t>
  </si>
  <si>
    <t>▸  Wrap in ABS</t>
  </si>
  <si>
    <t>ABS</t>
  </si>
  <si>
    <t>Wraps it in ABS() so the result is positive.</t>
  </si>
  <si>
    <t>Do it:         Ctrl+Shift+O   →   ABS   →   Enter</t>
  </si>
  <si>
    <t>the negative becomes positive</t>
  </si>
  <si>
    <t>AFTER     =ABS($E$14:$E$18)</t>
  </si>
  <si>
    <t>▸  Round to 0</t>
  </si>
  <si>
    <t>r0</t>
  </si>
  <si>
    <t>Wraps it in ROUND(...,0) for a whole number.</t>
  </si>
  <si>
    <t>Do it:         Ctrl+Shift+O   →   r0   →   Enter</t>
  </si>
  <si>
    <t>BEFORE   =$E$14:$E$18/3</t>
  </si>
  <si>
    <t>thirds, rounded to whole numbers</t>
  </si>
  <si>
    <t>AFTER     =ROUND($E$14:$E$18/3,0)</t>
  </si>
  <si>
    <t>▸  Negative Values</t>
  </si>
  <si>
    <t>neg</t>
  </si>
  <si>
    <t>Flips the sign of everything, and turns any error into a blank on the way.</t>
  </si>
  <si>
    <t>CompBot says:  Negative values. with errors as blank</t>
  </si>
  <si>
    <t>Do it:         Ctrl+Shift+O   →   neg   →   Enter</t>
  </si>
  <si>
    <t>every value flips sign</t>
  </si>
  <si>
    <t>AFTER     =IFERROR(-($E$14:$E$18),"")</t>
  </si>
  <si>
    <t>Reach for it when:  A block of gains that has to become losses, or a direction that has to be reversed.</t>
  </si>
  <si>
    <t>▸  MM</t>
  </si>
  <si>
    <t>MM</t>
  </si>
  <si>
    <t>Applies the double-minus to an array, turning TRUE/FALSE into 1/0 so it can be summed or multiplied.</t>
  </si>
  <si>
    <t>CompBot says:  Applies -- to an array, turning TRUE/FALSE into 1/0 so it can be summed or multiplied</t>
  </si>
  <si>
    <t>Do it:         Ctrl+Shift+O   →   MM   →   Enter</t>
  </si>
  <si>
    <t>BEFORE   =$F$14:$F$18</t>
  </si>
  <si>
    <t>TRUE/FALSE becomes 1/0</t>
  </si>
  <si>
    <t>AFTER     =MM_byHaDang($F$14:$F$18)</t>
  </si>
  <si>
    <t>Reach for it when:  The step between a test and a count. Any time you have a column of TRUEs and need them to behave like numbers.</t>
  </si>
  <si>
    <t>how many of the five are TRUE</t>
  </si>
  <si>
    <t>AFTER     =MM_byHaDang($F$14:$F$18,1)</t>
  </si>
  <si>
    <t>▸  Sum True</t>
  </si>
  <si>
    <t>Do it:         Ctrl+Shift+O   →   ST   →   Enter</t>
  </si>
  <si>
    <t>BEFORE   =$E$14:$E$18&gt;4</t>
  </si>
  <si>
    <t>▸  Modulo Array</t>
  </si>
  <si>
    <t>MODA</t>
  </si>
  <si>
    <t>Needs first:   select ONE cell; stand on the TOP-LEFT cell of the spill; stand on the formula you want to wrap; it will ASK you for 1 value</t>
  </si>
  <si>
    <t>Do it:         Ctrl+Shift+O   →   MODA   →   Enter</t>
  </si>
  <si>
    <t>BEFORE   =$I$14:$I$18</t>
  </si>
  <si>
    <t>positions on a 0..11 board</t>
  </si>
  <si>
    <t>AFTER     =MOD($I$14:$I$18,12)</t>
  </si>
  <si>
    <t>Reach for it when:  Spaces numbered 0 to N-1, where a full lap returns you to 0.</t>
  </si>
  <si>
    <t>▸  Modulo Array 1-Based</t>
  </si>
  <si>
    <t>MOD1</t>
  </si>
  <si>
    <t>The same wrap, but 1-based: an exact multiple lands on the divisor rather than on 0.</t>
  </si>
  <si>
    <t>Do it:         Ctrl+Shift+O   →   MOD1   →   Enter</t>
  </si>
  <si>
    <t>the same numbers on a 1..12 board</t>
  </si>
  <si>
    <t>Laps: distance, and 1 on a pit lap</t>
  </si>
  <si>
    <t>Lap</t>
  </si>
  <si>
    <t>Metres</t>
  </si>
  <si>
    <t>Pit?</t>
  </si>
  <si>
    <t>distance since the last pit stop</t>
  </si>
  <si>
    <t>▸  Difference of Array Columns by Row</t>
  </si>
  <si>
    <t>diff  ·  dbr</t>
  </si>
  <si>
    <t>First column minus last column, row by row.</t>
  </si>
  <si>
    <t>Do it:         Ctrl+Shift+O   →   diff   →   Enter</t>
  </si>
  <si>
    <t>Two columns:</t>
  </si>
  <si>
    <t>Start</t>
  </si>
  <si>
    <t>End</t>
  </si>
  <si>
    <t>start minus end, per row</t>
  </si>
  <si>
    <t>C6 · Text, codes and lookups</t>
  </si>
  <si>
    <t>The demo data for this sheet.</t>
  </si>
  <si>
    <t>Letter</t>
  </si>
  <si>
    <t>Code</t>
  </si>
  <si>
    <t>Phrase</t>
  </si>
  <si>
    <t>C</t>
  </si>
  <si>
    <t>one;two;three</t>
  </si>
  <si>
    <t>o</t>
  </si>
  <si>
    <t>red;green;blue</t>
  </si>
  <si>
    <t>d</t>
  </si>
  <si>
    <t>4;8;15;16</t>
  </si>
  <si>
    <t>e</t>
  </si>
  <si>
    <t>▸  Wrap in UNICODE</t>
  </si>
  <si>
    <t>Turns characters into their code numbers.</t>
  </si>
  <si>
    <t>Do it:         Ctrl+Shift+O   →   code   →   Enter</t>
  </si>
  <si>
    <t>BEFORE   =$E$12:$E$15</t>
  </si>
  <si>
    <t>four letters become four numbers</t>
  </si>
  <si>
    <t>AFTER     =UNICODE($E$12:$E$15)</t>
  </si>
  <si>
    <t>Reach for it when:  The first step in almost every cipher and glyph puzzle. Once letters are numbers you can add, shift and wrap them.</t>
  </si>
  <si>
    <t>▸  Wrap in UNICHAR</t>
  </si>
  <si>
    <t>char</t>
  </si>
  <si>
    <t>The way back: code numbers become characters again.</t>
  </si>
  <si>
    <t>Do it:         Ctrl+Shift+O   →   char   →   Enter</t>
  </si>
  <si>
    <t>BEFORE   =$F$12:$F$15</t>
  </si>
  <si>
    <t>the numbers come back as letters</t>
  </si>
  <si>
    <t>AFTER     =UNICHAR($F$12:$F$15)</t>
  </si>
  <si>
    <t>Reach for it when:  The last step of the same puzzle, and for decoding glyphs, emoji or dice faces straight out of a case file.</t>
  </si>
  <si>
    <t>▸  Wrap in Concat</t>
  </si>
  <si>
    <t>con</t>
  </si>
  <si>
    <t>Joins an array into one string, with nothing between the pieces.</t>
  </si>
  <si>
    <t>Do it:         Ctrl+Shift+O   →   con   →   Enter</t>
  </si>
  <si>
    <t>four letters become one word</t>
  </si>
  <si>
    <t>AFTER     =CONCAT($E$12:$E$15)</t>
  </si>
  <si>
    <t>Reach for it when:  Rebuilding a word from its letters after you have shifted, filtered or sorted them.</t>
  </si>
  <si>
    <t>▸  Extract Characters</t>
  </si>
  <si>
    <t>Splits the active cell's text into its individual characters, one per row.</t>
  </si>
  <si>
    <t>CompBot says:  Split the active cell's text into its individual characters, one per row. Keeps line breaks, accented letters and emoji intact.</t>
  </si>
  <si>
    <t>Do it:         Ctrl+Shift+O   →   type "Extract Characters"   →   Enter</t>
  </si>
  <si>
    <t>BEFORE   ="Café"</t>
  </si>
  <si>
    <t>a word, one letter per row</t>
  </si>
  <si>
    <t>AFTER     =SplitText_byHadynWiseman("Café")</t>
  </si>
  <si>
    <t>Reach for it when:  Any per-letter puzzle. It is the doorway into the whole cipher family.</t>
  </si>
  <si>
    <t>▸  Split Text by Delimiter Above</t>
  </si>
  <si>
    <t>Needs first:   the cell ABOVE must hold something; stand on the formula you want to wrap</t>
  </si>
  <si>
    <t>BEFORE   =$G$12:$G$12</t>
  </si>
  <si>
    <t>Reach for it when:  The delimiter changes from case to case, or from column to column, and you want it visible on the sheet rather than buried in a formula.</t>
  </si>
  <si>
    <t>▸  Split Text by Semicolon</t>
  </si>
  <si>
    <t>S;</t>
  </si>
  <si>
    <t>CompBot says:  Splits the active cell's text on semicolons into an array, trimming each piece</t>
  </si>
  <si>
    <t>Do it:         Ctrl+Shift+O   →   S;   →   Enter</t>
  </si>
  <si>
    <t>one cell becomes three</t>
  </si>
  <si>
    <t>AFTER     =TRIM(TEXTSPLIT($G$12:$G$12,";",,TRUE))</t>
  </si>
  <si>
    <t>▸  Wrap with IFERROR TEXTBEFORE space</t>
  </si>
  <si>
    <t>tbse</t>
  </si>
  <si>
    <t>CompBot says:  Wraps current formula with TEXTBEFORE space with IFERROR in case space doesn't exist</t>
  </si>
  <si>
    <t>Do it:         Ctrl+Shift+O   →   tbse   →   Enter</t>
  </si>
  <si>
    <t>Reach for it when:  First names out of full names, the number out of '12 points', the word out of 'North 4'.</t>
  </si>
  <si>
    <t>▸  Lookup Value by Row</t>
  </si>
  <si>
    <t>lkp</t>
  </si>
  <si>
    <t>CompBot says:  Returns RC location of a list of values in a range</t>
  </si>
  <si>
    <t>Do it:         Ctrl+Shift+O   →   lkp   →   Enter</t>
  </si>
  <si>
    <t>q</t>
  </si>
  <si>
    <t>r</t>
  </si>
  <si>
    <t>t</t>
  </si>
  <si>
    <t>y</t>
  </si>
  <si>
    <t>u</t>
  </si>
  <si>
    <t>i</t>
  </si>
  <si>
    <t>where are t and i?</t>
  </si>
  <si>
    <t>Reach for it when:  'Which cell holds each of these' on a board, a map or a seating plan.</t>
  </si>
  <si>
    <t>▸  Lookup Array from Column N</t>
  </si>
  <si>
    <t>LKN</t>
  </si>
  <si>
    <t>Looks every value of the active array up in a named range or table, and returns whichever column you ask for.</t>
  </si>
  <si>
    <t>CompBot says:  Looks every value of the active array up in a named range or table and returns the column you choose</t>
  </si>
  <si>
    <t>Needs first:   select ONE cell; stand on the TOP-LEFT cell of the spill; stand on the formula you want to wrap; it will ASK you for 2 values</t>
  </si>
  <si>
    <t>Do it:         Ctrl+Shift+O   →   LKN   →   Enter</t>
  </si>
  <si>
    <t>A stats table, named DemoStats:</t>
  </si>
  <si>
    <t>red</t>
  </si>
  <si>
    <t>green</t>
  </si>
  <si>
    <t>blue</t>
  </si>
  <si>
    <t>BEFORE   =$H$12:$H$15</t>
  </si>
  <si>
    <t>look three words up in DemoStats</t>
  </si>
  <si>
    <t>AFTER     =VLOOKUP($H$12:$H$15,DemoStats,2,FALSE)</t>
  </si>
  <si>
    <t>▸  First Match By Row</t>
  </si>
  <si>
    <t>FMR</t>
  </si>
  <si>
    <t>Do it:         Ctrl+Shift+O   →   FMR   →   Enter</t>
  </si>
  <si>
    <t>Three rows, four steps each:</t>
  </si>
  <si>
    <t>a</t>
  </si>
  <si>
    <t>b</t>
  </si>
  <si>
    <t>c</t>
  </si>
  <si>
    <t>first 'x' per row; row 3 never has one</t>
  </si>
  <si>
    <t>▸  Find Above In Left</t>
  </si>
  <si>
    <t>fal</t>
  </si>
  <si>
    <t>Do it:         Ctrl+Shift+O   →   fal   →   Enter</t>
  </si>
  <si>
    <t>cat</t>
  </si>
  <si>
    <t>dog</t>
  </si>
  <si>
    <t>cow</t>
  </si>
  <si>
    <t>Reach for it when:  A cross-tabulation you want to build by hand: which players were in which rounds, which letters appear in which words.</t>
  </si>
  <si>
    <t>▸  Apply ARROWSHIFT_byEmilieWilliams Lambda</t>
  </si>
  <si>
    <t>ARR</t>
  </si>
  <si>
    <t>CompBot says:  Apply ARROWSHIFT_byEmilieWilliams lambda function to active cell, using direction in clipboard.</t>
  </si>
  <si>
    <t>Do it:         Ctrl+Shift+O   →   ARR   →   Enter</t>
  </si>
  <si>
    <t>BEFORE   ="C4"</t>
  </si>
  <si>
    <t>one step east from C4</t>
  </si>
  <si>
    <t>AFTER     =ARROWSHIFT_byEmilieWilliams("C4", "→")</t>
  </si>
  <si>
    <t>Reach for it when:  A case where the moves are drawn as arrows on the sheet and you need them as positions.</t>
  </si>
  <si>
    <t>C7 · Maps, grids and sheets</t>
  </si>
  <si>
    <t>The advanced half, and almost all of it new in this release. Read it as a CHAIN, not a list.</t>
  </si>
  <si>
    <t>The chain</t>
  </si>
  <si>
    <t>S</t>
  </si>
  <si>
    <t>.</t>
  </si>
  <si>
    <t>#</t>
  </si>
  <si>
    <t>A grid to turn and mirror, and a flat list to fold back up.</t>
  </si>
  <si>
    <t>f</t>
  </si>
  <si>
    <t>g</t>
  </si>
  <si>
    <t>h</t>
  </si>
  <si>
    <t>j</t>
  </si>
  <si>
    <t>k</t>
  </si>
  <si>
    <t>l</t>
  </si>
  <si>
    <t>Six tokens in a row, and three numbers.</t>
  </si>
  <si>
    <t>▸  Find Address Of Value On Map</t>
  </si>
  <si>
    <t>FAM</t>
  </si>
  <si>
    <t>Tells you WHERE the things you are looking for are on a map, as addresses like "H12".</t>
  </si>
  <si>
    <t>Needs first:   select ONE cell; stand on the formula you want to wrap; it will ASK you for 1 value</t>
  </si>
  <si>
    <t>Do it:         Ctrl+Shift+O   →   FAM   →   Enter</t>
  </si>
  <si>
    <t>BEFORE   =$E$19:$I$23</t>
  </si>
  <si>
    <t>where is the S?</t>
  </si>
  <si>
    <t>where are all the o's?</t>
  </si>
  <si>
    <t>▸  Map Distance From Cell</t>
  </si>
  <si>
    <t>BEFORE   =$E$26:$I$30</t>
  </si>
  <si>
    <t>Reach for it when:  'How many moves to get there', 'can I even reach it', 'which route is shortest'.</t>
  </si>
  <si>
    <t>▸  Find Nearest On Map</t>
  </si>
  <si>
    <t>FNM</t>
  </si>
  <si>
    <t>Do it:         Ctrl+Shift+O   →   FNM   →   Enter</t>
  </si>
  <si>
    <t>Reach for it when:  'Which portal is nearest', 'what is the closest resource', 'how far to the nearest wall'. The first row of the result IS the answer.</t>
  </si>
  <si>
    <t>▸  Label Connected Regions</t>
  </si>
  <si>
    <t>BEFORE   =$E$33:$I$37</t>
  </si>
  <si>
    <t>AFTER     =Regions_byHadynWiseman($E$33:$I$37,1)</t>
  </si>
  <si>
    <t>AFTER     =Regions_byHadynWiseman($E$33:$I$37,0)</t>
  </si>
  <si>
    <t>Reach for it when:  'How many separate islands are there', 'which cells belong to the same block', 'is this area actually one region or two'.</t>
  </si>
  <si>
    <t>▸  Rotate Array</t>
  </si>
  <si>
    <t>ROT</t>
  </si>
  <si>
    <t>Do it:         Ctrl+Shift+O   →   ROT   →   Enter</t>
  </si>
  <si>
    <t>BEFORE   =$E$40:$H$42</t>
  </si>
  <si>
    <t>a quarter turn clockwise</t>
  </si>
  <si>
    <t>AFTER     =Rotate_byHadynWiseman($E$40:$H$42,1)</t>
  </si>
  <si>
    <t>Reach for it when:  The board is shown one way up and read another: isometric grids, boards seen from the opposite player's side, tiles that must be turned to fit.</t>
  </si>
  <si>
    <t>▸  Flip Array</t>
  </si>
  <si>
    <t>FLP</t>
  </si>
  <si>
    <t>BEFORE   ="stressed"</t>
  </si>
  <si>
    <t>Reach for it when:  A board read from the other side, a reflected path, a mirrored tile.</t>
  </si>
  <si>
    <t>▸  Wrap Flat List Into Grid</t>
  </si>
  <si>
    <t>WFG</t>
  </si>
  <si>
    <t>Folds a single row or column back into a grid of the width you ask for.</t>
  </si>
  <si>
    <t>Do it:         Ctrl+Shift+O   →   WFG   →   Enter</t>
  </si>
  <si>
    <t>BEFORE   =$E$45:$J$45</t>
  </si>
  <si>
    <t>six tokens become a 2x3 board</t>
  </si>
  <si>
    <t>AFTER     =WRAPROWS(TOCOL($E$45:$J$45,3),3,"")</t>
  </si>
  <si>
    <t>the same six, two per row instead</t>
  </si>
  <si>
    <t>AFTER     =WRAPROWS(TOCOL($E$45:$J$45,3),2,"")</t>
  </si>
  <si>
    <t>Reach for it when:  A flat block that is really a board: 50 columns that are 5 reels by 10 turns, a 9-token row that is really a 3x3 board.</t>
  </si>
  <si>
    <t>▸  List Combinations Of Array</t>
  </si>
  <si>
    <t>LCA</t>
  </si>
  <si>
    <t>Do it:         Ctrl+Shift+O   →   LCA   →   Enter</t>
  </si>
  <si>
    <t>BEFORE   =$E$46:$G$46</t>
  </si>
  <si>
    <t>▸  Stack Sheets From Clipboard</t>
  </si>
  <si>
    <t>STK</t>
  </si>
  <si>
    <t>Stacks the same block from many sheets into one table, driven by a sheet-name list you copied.</t>
  </si>
  <si>
    <t>CompBot says:  Stacks the same block from many sheets into one table, driven by a sheet-name list in the clipboard</t>
  </si>
  <si>
    <t>Do it:         Ctrl+Shift+O   →   STK   →   Enter</t>
  </si>
  <si>
    <t>Area1</t>
  </si>
  <si>
    <t>Area3</t>
  </si>
  <si>
    <t>Reach for it when:  A case that splits its data one sheet per area, region or round. The 2024 MEWC Portal case has 64 of them, and nothing at all can be answered until they are one table.</t>
  </si>
  <si>
    <t>▸  Stack Sheets From Clipboard, Hide Blanks</t>
  </si>
  <si>
    <t>STKH</t>
  </si>
  <si>
    <t>The same, but it drops the empty cells.</t>
  </si>
  <si>
    <t>Do it:         Ctrl+Shift+O   →   STKH   →   Enter</t>
  </si>
  <si>
    <t>Reach for it when:  The sheets are a sparse map and the blanks are noise.</t>
  </si>
  <si>
    <t>▸  Paste Flattened List With Formatting</t>
  </si>
  <si>
    <t>PFF</t>
  </si>
  <si>
    <t>Turns a copied range into a list, one row per cell, carrying fill colour, font colour and border flags with it.</t>
  </si>
  <si>
    <t>Do it:         Ctrl+Shift+O   →   PFF   →   Enter</t>
  </si>
  <si>
    <t>▸  Record Walk Route</t>
  </si>
  <si>
    <t>RWR</t>
  </si>
  <si>
    <t>CompBot says:  Start recording a route: every orthogonal move adds the cells you pass over. Diagonal click finishes</t>
  </si>
  <si>
    <t>Do it:         Ctrl+Shift+O   →   RWR   →   Enter</t>
  </si>
  <si>
    <t>▸  Stop Walk Route</t>
  </si>
  <si>
    <t>SWR</t>
  </si>
  <si>
    <t>CompBot says:  Ends a walk route by hand and writes it out, for when a diagonal click is awkward to reach</t>
  </si>
  <si>
    <t>Do it:         Ctrl+Shift+O   →   SWR   →   Enter</t>
  </si>
  <si>
    <t>Reach for it when:  The route ends at the edge of the map and there is nowhere diagonal to click.</t>
  </si>
  <si>
    <t>▸  Fill Similar Background Color</t>
  </si>
  <si>
    <t>FBC</t>
  </si>
  <si>
    <t>Do it:         Ctrl+Shift+O   →   FBC   →   Enter</t>
  </si>
  <si>
    <t>Reach for it when:  A map drawn in colour WITH a legend. Put the values into the legend cells, select the legend, run this once, and the whole map is values.</t>
  </si>
  <si>
    <t>▸  Goto Similar Background Color</t>
  </si>
  <si>
    <t>SBC</t>
  </si>
  <si>
    <t>Do it:         Ctrl+Shift+O   →   SBC   →   Enter</t>
  </si>
  <si>
    <t>C8 · Housekeeping</t>
  </si>
  <si>
    <t>▸  List Lambdas Used</t>
  </si>
  <si>
    <t>Lists every lambda the active workbook's formulas actually CALL, on a new sheet.</t>
  </si>
  <si>
    <t>Do it:         Ctrl+Shift+O   →   type "List Lambdas Used"   →   Enter</t>
  </si>
  <si>
    <t>Try it on:     Run it here and look at what this tutorial's own examples depend on.</t>
  </si>
  <si>
    <t>Reach for it when:  Before you clear anything. This is the evidence; the Clear commands are the action.</t>
  </si>
  <si>
    <t>▸  Clear Unused Lambdas</t>
  </si>
  <si>
    <t>Deletes every lambda in the ACTIVE workbook that nothing refers to.</t>
  </si>
  <si>
    <t>Do it:         Ctrl+Shift+O   →   type "Clear Unused Lambdas"   →   Enter</t>
  </si>
  <si>
    <t>▸  Clear Unused Lambdas with Report</t>
  </si>
  <si>
    <t>The same, but it writes out what it removed and what it kept.</t>
  </si>
  <si>
    <t>Do it:         Ctrl+Shift+O   →   type "Clear Unused Lambdas with Report"   →   Enter</t>
  </si>
  <si>
    <t>Reach for it when:  Use this one first, always. Read the report, then trust the other.</t>
  </si>
  <si>
    <t>▸  Name All Used Ranges</t>
  </si>
  <si>
    <t>NA  ·  NAUR</t>
  </si>
  <si>
    <t>CompBot says:  Renames used range in all sheets</t>
  </si>
  <si>
    <t>Do it:         Ctrl+Shift+O   →   NA   →   Enter</t>
  </si>
  <si>
    <t>▸  Name Used Ranges</t>
  </si>
  <si>
    <t>NURS</t>
  </si>
  <si>
    <t>CompBot says:  Names used range in all sheets starting with the prefix as provided in the active cell</t>
  </si>
  <si>
    <t>Do it:         Ctrl+Shift+O   →   NURS   →   Enter</t>
  </si>
  <si>
    <t>A competition case in miniature: three levels, a worked example row each, empty green answer cells, and three bonus questions. Small enough to see all at once, and shaped exactly like the real thing, so every setup, question and solve command has something real to run against.</t>
  </si>
  <si>
    <t>Level 1</t>
  </si>
  <si>
    <t>Game</t>
  </si>
  <si>
    <t>First</t>
  </si>
  <si>
    <t>Second</t>
  </si>
  <si>
    <t>Answer</t>
  </si>
  <si>
    <t>Example1</t>
  </si>
  <si>
    <t>Level 2</t>
  </si>
  <si>
    <t>Total the dice rolls in the Rolls cell. Split Text by Semicolon (S;) does the hard part. Standard shape again.</t>
  </si>
  <si>
    <t>Rolls</t>
  </si>
  <si>
    <t>Example2</t>
  </si>
  <si>
    <t>3;5;2;6</t>
  </si>
  <si>
    <t>4;4;1</t>
  </si>
  <si>
    <t>6;2;5;5</t>
  </si>
  <si>
    <t>1;1;1;1</t>
  </si>
  <si>
    <t>6;6</t>
  </si>
  <si>
    <t>2;3;4;5;6</t>
  </si>
  <si>
    <t>Level 3</t>
  </si>
  <si>
    <t>Moves</t>
  </si>
  <si>
    <t>Board</t>
  </si>
  <si>
    <t>Example3a</t>
  </si>
  <si>
    <t>3;4;5</t>
  </si>
  <si>
    <t>Example3b</t>
  </si>
  <si>
    <t>2;2</t>
  </si>
  <si>
    <t>6;6;6</t>
  </si>
  <si>
    <t>1;2;3;4</t>
  </si>
  <si>
    <t>11</t>
  </si>
  <si>
    <t>5;5;5;5</t>
  </si>
  <si>
    <t>12;12</t>
  </si>
  <si>
    <t>Bonus Questions</t>
  </si>
  <si>
    <t>Bonus</t>
  </si>
  <si>
    <t>Points</t>
  </si>
  <si>
    <t>Question</t>
  </si>
  <si>
    <t>Bonus 1</t>
  </si>
  <si>
    <t>Which level has the highest total answer?</t>
  </si>
  <si>
    <t>Bonus 2</t>
  </si>
  <si>
    <t>How many question rows are there altogether, not counting the worked examples?</t>
  </si>
  <si>
    <t>Bonus 3</t>
  </si>
  <si>
    <t>What is the largest single roll anywhere in Level 2?</t>
  </si>
  <si>
    <t>1 · With a legend   →   Fill Similar Background Color (FBC)</t>
  </si>
  <si>
    <t>▾  DEMO SHEETS</t>
  </si>
  <si>
    <t>The map is colour and nothing else. The legend below it has one swatch per colour with the meaning beside it. Select the four SWATCH cells (the coloured, empty ones) and run FBC: every cell of each colour gets that value written into it.</t>
  </si>
  <si>
    <t>Area2</t>
  </si>
  <si>
    <t>grass, costs 1</t>
  </si>
  <si>
    <t>sand, costs 2</t>
  </si>
  <si>
    <t>water, costs 9</t>
  </si>
  <si>
    <t>rock, costs 4</t>
  </si>
  <si>
    <t>2 · No legend at all   →   Paste Flattened List With Formatting (PFF)</t>
  </si>
  <si>
    <t>Item</t>
  </si>
  <si>
    <t>Qty</t>
  </si>
  <si>
    <t>Score</t>
  </si>
  <si>
    <t>apple</t>
  </si>
  <si>
    <t>pear</t>
  </si>
  <si>
    <t>plum</t>
  </si>
  <si>
    <t>Argmax / argmin</t>
  </si>
  <si>
    <t>Search for a word</t>
  </si>
  <si>
    <t>Array</t>
  </si>
  <si>
    <t>BFS  (breadth-first search)</t>
  </si>
  <si>
    <t>Billiard / reflect walk</t>
  </si>
  <si>
    <t>▾  LAMBDAS</t>
  </si>
  <si>
    <t>Block around a cell</t>
  </si>
  <si>
    <t>Blocker</t>
  </si>
  <si>
    <t>Board walk with jumps</t>
  </si>
  <si>
    <t>Bounce</t>
  </si>
  <si>
    <t>Callback</t>
  </si>
  <si>
    <t>Cells within range of a cell</t>
  </si>
  <si>
    <t>Chebyshev distance</t>
  </si>
  <si>
    <t>Connected component / region</t>
  </si>
  <si>
    <t>Custom directions</t>
  </si>
  <si>
    <t>Distance field</t>
  </si>
  <si>
    <t>Distance map to nearest match</t>
  </si>
  <si>
    <t>Early exit</t>
  </si>
  <si>
    <t>Find address of value in a grid</t>
  </si>
  <si>
    <t>Flood fill</t>
  </si>
  <si>
    <t>Glide</t>
  </si>
  <si>
    <t>Graph</t>
  </si>
  <si>
    <t>Greedy</t>
  </si>
  <si>
    <t>Greedy nearest-unvisited walk</t>
  </si>
  <si>
    <t>K nearest neighbours</t>
  </si>
  <si>
    <t>Knapsack</t>
  </si>
  <si>
    <t>Knight move</t>
  </si>
  <si>
    <t>Line of sight</t>
  </si>
  <si>
    <t>Manhattan distance</t>
  </si>
  <si>
    <t>Maze trace / path follow</t>
  </si>
  <si>
    <t>Multi-source</t>
  </si>
  <si>
    <t>N-hop / transitive closure</t>
  </si>
  <si>
    <t>Nearest target cell</t>
  </si>
  <si>
    <t>Optional argument</t>
  </si>
  <si>
    <t>Packed coordinates</t>
  </si>
  <si>
    <t>Passability mask</t>
  </si>
  <si>
    <t>Pythagorean distance</t>
  </si>
  <si>
    <t>Range</t>
  </si>
  <si>
    <t>Reachability</t>
  </si>
  <si>
    <t>Serpentine / boustrophedon</t>
  </si>
  <si>
    <t>Sliding window</t>
  </si>
  <si>
    <t>Spill</t>
  </si>
  <si>
    <t>When one formula's answer flows out across several cells.</t>
  </si>
  <si>
    <t>Steps vs cost</t>
  </si>
  <si>
    <t>Teleport edge</t>
  </si>
  <si>
    <t>Tie-break</t>
  </si>
  <si>
    <t>Travelling salesman (TSP)</t>
  </si>
  <si>
    <t>Unpivot</t>
  </si>
  <si>
    <t>Volatile</t>
  </si>
  <si>
    <t>Walk until blocked</t>
  </si>
  <si>
    <t>Walk with budget</t>
  </si>
  <si>
    <t>Wall following / hug the wall</t>
  </si>
  <si>
    <t>Weighted vs unweighted</t>
  </si>
  <si>
    <t>Wrap around</t>
  </si>
  <si>
    <t>Level 1 · Basics</t>
  </si>
  <si>
    <t>▸  Clamp_byBoRydobon</t>
  </si>
  <si>
    <t>Keeps a number inside a lower and upper limit. Too big becomes the limit, too small becomes the limit, anything in between is left alone.</t>
  </si>
  <si>
    <t>You give it:  Clamp_byBoRydobon(number, [lowest allowed], [highest allowed])</t>
  </si>
  <si>
    <t>=Clamp_byBoRydobon(15,1,10)</t>
  </si>
  <si>
    <t>Reach for it when:  A score can't go below zero. A position can't leave the board. Anywhere the rules say 'but no more than' or 'but not less than'.</t>
  </si>
  <si>
    <t>▸  Prev</t>
  </si>
  <si>
    <t>Shifts a list down by one, so each row can see the value that came before it.</t>
  </si>
  <si>
    <t>You give it:  Prev(list, how many places, [what to use for the gap])</t>
  </si>
  <si>
    <t>A list:</t>
  </si>
  <si>
    <t>shift down one, so every row can see the value above it</t>
  </si>
  <si>
    <t>it is row-or-column aware: give it a ROW and it shifts sideways</t>
  </si>
  <si>
    <t>Reach for it when:  Comparing each row to the one above it: did the value change? did it go up?</t>
  </si>
  <si>
    <t>▸  Consecutives_byHadynWiseman</t>
  </si>
  <si>
    <t>Counts how long the current run of identical values is, at every position.</t>
  </si>
  <si>
    <t>You give it:  Consecutives_byHadynWiseman(list, [groups])</t>
  </si>
  <si>
    <t>the longest streak is then just MAX of that</t>
  </si>
  <si>
    <t>hand it ONE piece of text and it works on the letters</t>
  </si>
  <si>
    <t>give it a row and you get a row back, so it drops in beside the data</t>
  </si>
  <si>
    <t>Reach for it when:  Longest streak. 'How many in a row?' Four-in-a-row style win checks.</t>
  </si>
  <si>
    <t>▸  Duplicates_byHadynWiseman</t>
  </si>
  <si>
    <t>Gives you the values that appear more than once.</t>
  </si>
  <si>
    <t>You give it:  Duplicates_byHadynWiseman(list)</t>
  </si>
  <si>
    <t>the values that appear more than once</t>
  </si>
  <si>
    <t>Reach for it when:  'Which card was dealt twice?' 'Which square was visited again?'</t>
  </si>
  <si>
    <t>▸  Biggest_byHadynWiseman</t>
  </si>
  <si>
    <t>Returns the LABEL belonging to the biggest number, not the number itself.</t>
  </si>
  <si>
    <t>You give it:  Biggest_byHadynWiseman(numbers, labels, smallest?, [Nth], [tie-break key], [tie-break order])</t>
  </si>
  <si>
    <t>the label belonging to the biggest number</t>
  </si>
  <si>
    <t>Smallest = 1 flips it to the smallest</t>
  </si>
  <si>
    <t>[N] = 2 gives the SECOND biggest, not the biggest</t>
  </si>
  <si>
    <t>a TIE, with no tie-break key: two people on 30 and you silently get the first</t>
  </si>
  <si>
    <t>[TieOrder] = -1 reverses the tie-break, so the other one wins</t>
  </si>
  <si>
    <t>▸  CountOcc_byHadynWiseman</t>
  </si>
  <si>
    <t>Counts how many times something appears inside a piece of text.</t>
  </si>
  <si>
    <t>=CountOcc_byHadynWiseman("a","banana")</t>
  </si>
  <si>
    <t>how many a's in banana</t>
  </si>
  <si>
    <t>=CountOcc_byHadynWiseman("A","Banana",1)</t>
  </si>
  <si>
    <t>=CountOcc_byHadynWiseman("an","banana")</t>
  </si>
  <si>
    <t>it counts SUBSTRINGS, not just single characters</t>
  </si>
  <si>
    <t>Reach for it when:  Counting a symbol in a coded string. Tallying glyphs in a cell.</t>
  </si>
  <si>
    <t>▸  ModeSuper_byLiannaGerrish</t>
  </si>
  <si>
    <t>The most common value AND how many times it appeared, together.</t>
  </si>
  <si>
    <t>You give it:  MODESUPER(list)</t>
  </si>
  <si>
    <t>Some values:</t>
  </si>
  <si>
    <t>just the value, if that is all you wanted</t>
  </si>
  <si>
    <t>just the count</t>
  </si>
  <si>
    <t>▸  IsInList_byErikOehm</t>
  </si>
  <si>
    <t>TRUE or FALSE: is this value somewhere in that list?</t>
  </si>
  <si>
    <t>You give it:  IsInList_byErikOehm(value, list)</t>
  </si>
  <si>
    <t>TRUE/FALSE per item: is it somewhere in the list?</t>
  </si>
  <si>
    <t>one value at a time works too</t>
  </si>
  <si>
    <t>Reach for it when:  Filtering to 'only the ones that are on the approved list'. Trivial, but wanted constantly.</t>
  </si>
  <si>
    <t>▸  StackSheets_byJaqKennedy</t>
  </si>
  <si>
    <t>You give it:  StackSheets_byJaqKennedy(the stacked sheets, the sheet names, [where the block starts], [hide blanks?])</t>
  </si>
  <si>
    <t>nut</t>
  </si>
  <si>
    <t>cog</t>
  </si>
  <si>
    <t>pin</t>
  </si>
  <si>
    <t>every cell of every sheet as one row: which sheet, the value, where it is three different ways</t>
  </si>
  <si>
    <t>the RCRef column is the packed row*10^6+col the grid lambdas speak, so positions are ready for arithmetic without re-parsing</t>
  </si>
  <si>
    <t>▸  NotInList_byJaqKennedy</t>
  </si>
  <si>
    <t>You give it:  NotInList_byJaqKennedy(the list you are checking, the list to check against)</t>
  </si>
  <si>
    <t>which of these are NOT in that? The other half of IsInList, which tells you what IS there</t>
  </si>
  <si>
    <t>a list lying ACROSS rather than down works just the same</t>
  </si>
  <si>
    <t>Reach for it when:  'Which of these did we miss?' Approved lists, checklists, which codes went unused, which terrain type never appears. Whenever the interesting answer is the absence rather than the presence.</t>
  </si>
  <si>
    <t>Level 2 · Arrays</t>
  </si>
  <si>
    <t>Working on a whole block of cells at once, instead of one at a time.</t>
  </si>
  <si>
    <t>▸  ExactUnique_byHadynWiseman</t>
  </si>
  <si>
    <t>UNIQUE, plus the mode Excel does not give you: values that appear EXACTLY once.</t>
  </si>
  <si>
    <t>You give it:  ExactUnique_byHadynWiseman(list, [by column?], [exactly once?])</t>
  </si>
  <si>
    <t>[exactly_once] = 1: now 'a' is GONE, because it appears twice. Only the values seen exactly once survive.</t>
  </si>
  <si>
    <t>[by_col] = 1 works across columns instead of down rows</t>
  </si>
  <si>
    <t>Reach for it when:  'Which letter appears only once?' 'Which player scored on exactly one day?' Cases ask this constantly and native UNIQUE cannot express it.</t>
  </si>
  <si>
    <t>▸  RunningCount_byHadynWiseman</t>
  </si>
  <si>
    <t>For each item, how many times that value has been seen SO FAR, including this one.</t>
  </si>
  <si>
    <t>You give it:  RunningCount_byHadynWiseman(list)</t>
  </si>
  <si>
    <t>the nth time each value has been seen, going down the list</t>
  </si>
  <si>
    <t>numbers work the same way</t>
  </si>
  <si>
    <t>Reach for it when:  'Label each repeat.' 'Which visit to this square is this?' 'Number the duplicates.' It is the missing partner to Duplicates and Consecutives: they say WHICH values repeat and HOW LONG a run is, this says WHICH OCCURRENCE you are looking at.</t>
  </si>
  <si>
    <t>You give it:  ExcludeCols_byHadynWiseman(array, which columns to drop)</t>
  </si>
  <si>
    <t>Reach for it when:  Dropping an index column, a total column, or whichever columns a case tells you to ignore. CHOOSECOLS makes you list what to KEEP, which is the tedious way round when you are dropping one of twelve.</t>
  </si>
  <si>
    <t>▸  GridToCol_byLiannaGerrish</t>
  </si>
  <si>
    <t>You give it:  GridToCol_byLiannaGerrish(grid, [address?], [row/col?], [rcref?], [by column?], [hide zeros?], [show blanks?])</t>
  </si>
  <si>
    <t>A small grid, with a hole in it and a zero:</t>
  </si>
  <si>
    <t>▸  ArrayShift_byHadynWiseman</t>
  </si>
  <si>
    <t>Slides a block of values along, optionally wrapping the ones that fall off the end back round to the front.</t>
  </si>
  <si>
    <t>shift down one, filling the gap with a dash</t>
  </si>
  <si>
    <t>the same shift with WrapAround = 1: nothing is lost, the 3 comes round to the top. This IS the card-deck cut.</t>
  </si>
  <si>
    <t>a NEGATIVE shift moves the other way</t>
  </si>
  <si>
    <t>Reach for it when:  Cutting a deck of cards is exactly this. So is any 'everyone moves round one place' rule.</t>
  </si>
  <si>
    <t>▸  UnSplivot_byJJ</t>
  </si>
  <si>
    <t>Splits one column by a delimiter AND unpivots at the same time: each piece gets its own row, and the other columns come along for the ride.</t>
  </si>
  <si>
    <t>A/B/C</t>
  </si>
  <si>
    <t>Gaming</t>
  </si>
  <si>
    <t>D</t>
  </si>
  <si>
    <t>Writing</t>
  </si>
  <si>
    <t>Reach for it when:  Any time a cell holds a list. 'Followers: F-1/F-2/F-3'. Orders. Move sequences. Get it tall and everything afterwards is easier.</t>
  </si>
  <si>
    <t>▸  ByRectangle_byBoRydobon</t>
  </si>
  <si>
    <t>Runs a function of your choosing over EVERY window of a given size in a grid.</t>
  </si>
  <si>
    <t>You give it:  ByRectangle_byBoRydobon(range, the function to apply, rows, [columns])</t>
  </si>
  <si>
    <t>the SUM of every 2x2 window, one number per window position</t>
  </si>
  <si>
    <t>the best 2x2 window anywhere on the map is then just MAX of the whole thing</t>
  </si>
  <si>
    <t>Reach for it when:  'The best 3x3 block.' 'How many 2x2 squares are all the same colour?' Anything that slides a shape across a grid looking at each position.</t>
  </si>
  <si>
    <t>▸  Rotate_byHadynWiseman</t>
  </si>
  <si>
    <t>Turns a block of cells through a quarter turn.</t>
  </si>
  <si>
    <t>You give it:  Rotate_byHadynWiseman(array, how many quarter turns, [addresses too?])</t>
  </si>
  <si>
    <t>[Rotation] = 2, a half turn</t>
  </si>
  <si>
    <t>[Rotation] = 3, three quarters</t>
  </si>
  <si>
    <t>Reach for it when:  A board that gets rotated between turns. Matching a shape against a grid when the shape may be rotated.</t>
  </si>
  <si>
    <t>▸  Flip_byHadynWiseman</t>
  </si>
  <si>
    <t>You give it:  Flip_byHadynWiseman(array, horizontal?, vertical?, diagonal?, other diagonal?)</t>
  </si>
  <si>
    <t>Reach for it when:  Mirrored shapes. A second player whose board runs the other way round.</t>
  </si>
  <si>
    <t>▸  OffsetA_byPeterScharl</t>
  </si>
  <si>
    <t>You give it:  OffsetA_byPeterScharl(array, rows down, cols across, [height], [width], [pad with])</t>
  </si>
  <si>
    <t>[h] = 2 limits it to two rows</t>
  </si>
  <si>
    <t>[cols] moves sideways</t>
  </si>
  <si>
    <t>[w] limits how many COLUMNS come back, the way [h] limits rows</t>
  </si>
  <si>
    <t>▸  UnPivot_byHadynWiseman</t>
  </si>
  <si>
    <t>Turns a wide table tall: twelve month columns become twelve rows.</t>
  </si>
  <si>
    <t>You give it:  UnPivot_byHadynWiseman(KeepColumns, UnpivotColumns, [HasHeaders], [RemoveBlanks])</t>
  </si>
  <si>
    <t>▸  Fold_byHadynWiseman</t>
  </si>
  <si>
    <t>Folds an array over on itself along an arrow, like folding paper.</t>
  </si>
  <si>
    <t>You give it:  Fold_byHadynWiseman(array, arrow, [passthrough characters], [lines], [addresses])</t>
  </si>
  <si>
    <t>Reach for it when:  Origami-style levels, and any 'the sheet is folded in half' mechanic.</t>
  </si>
  <si>
    <t>Metres per lap, and a 1 on the laps that end in the pits:</t>
  </si>
  <si>
    <t>Reach for it when:  Distance since the last pit stop. Score since the last life lost. Fuel used before the tank runs dry. Array Robot's free Running Total Of Array only ever adds, so anything with a restart or a ceiling in it needs this.</t>
  </si>
  <si>
    <t>▸  LineOfSight_byHadynWiseman  and  LineOfSightCount_byHadynWiseman</t>
  </si>
  <si>
    <t>▸  HugWall_byHadynWiseman</t>
  </si>
  <si>
    <t>▸  RowNum_byHadynWiseman  and  ColNum_byHadynWiseman</t>
  </si>
  <si>
    <t>=RowNum_byHadynWiseman("C5")</t>
  </si>
  <si>
    <t>=ColNum_byHadynWiseman("C5")</t>
  </si>
  <si>
    <t>=ColNum_byHadynWiseman(5000003)</t>
  </si>
  <si>
    <t>=ColNum_byHadynWiseman("XFD1")</t>
  </si>
  <si>
    <t>▸  RCRefConvert_byHadynWiseman</t>
  </si>
  <si>
    <t>=RCRefConvert_byHadynWiseman("C5")</t>
  </si>
  <si>
    <t>=RCRefConvert_byHadynWiseman(5000003)</t>
  </si>
  <si>
    <t>=RCRefConvert_byHadynWiseman("→")</t>
  </si>
  <si>
    <t>=RCRefConvert_byHadynWiseman("↘")</t>
  </si>
  <si>
    <t>▸  YouAreHere_byLiannaGerrish</t>
  </si>
  <si>
    <t>You give it:  YouAreHere_byLiannaGerrish(cell, [sheet name])</t>
  </si>
  <si>
    <t>here</t>
  </si>
  <si>
    <t>▸  Distance_byHadynWiseman</t>
  </si>
  <si>
    <t>▸  Regions_byHadynWiseman</t>
  </si>
  <si>
    <t>Reach for it when:  'How many islands?' 'How many ships?' 'Which cells are part of this room?'</t>
  </si>
  <si>
    <t>▸  Maze_byHadynWiseman</t>
  </si>
  <si>
    <t>▸  MazeDistance_byHadynWiseman</t>
  </si>
  <si>
    <t>▸  DistFrom_byDiarmuidEarly</t>
  </si>
  <si>
    <t>▸  ClosestOnMap_byHadynWiseman</t>
  </si>
  <si>
    <t>▸  MoveOnMap_byHadynWiseman</t>
  </si>
  <si>
    <t>▸  FindInMap_byHadynWiseman</t>
  </si>
  <si>
    <t>▸  BoardGameMove_byHadynWiseman</t>
  </si>
  <si>
    <t>=BoardGameMove_byHadynWiseman(15,12)</t>
  </si>
  <si>
    <t>▸  NetworkGraph_byHadynWiseman</t>
  </si>
  <si>
    <t>▸  GetBlock_byJaqKennedy</t>
  </si>
  <si>
    <t>You give it:  GetBlock_byJaqKennedy(grid, anchor cell, rows, [cols], [where the anchor sits], [fill], [wrap?])</t>
  </si>
  <si>
    <t>▸  Snake_byHadynWiseman</t>
  </si>
  <si>
    <t>=TEXTJOIN("",1,Alphabet_byHadynWiseman())</t>
  </si>
  <si>
    <t>=INDEX(Alphabet_byHadynWiseman(),3)</t>
  </si>
  <si>
    <t>▸  MissingLetters_byJaqKennedy</t>
  </si>
  <si>
    <t>▸  Addresses_byDiarmuidEarly</t>
  </si>
  <si>
    <t>You give it:  Addresses_byDiarmuidEarly(range)</t>
  </si>
  <si>
    <t>▸  WhileLoop_byHarryGross</t>
  </si>
  <si>
    <t>You give it:  WhileLoop_byHarryGross(starting value, the step to repeat, when to stop)</t>
  </si>
  <si>
    <t>=WhileLoop_byHarryGross(1,LAMBDA(v,v*2),LAMBDA(v,v&gt;100))</t>
  </si>
  <si>
    <t>Reach for it when:  Anything that runs until something happens. A game played to its end. A walk that continues until it hits a wall.</t>
  </si>
  <si>
    <t>▸  WhileIterations_byHarryGross</t>
  </si>
  <si>
    <t>You give it:  WhileIterations_byHarryGross(starting value, the step to repeat, when to stop)</t>
  </si>
  <si>
    <t>=WhileIterations_byHarryGross(1,LAMBDA(v,v*2),LAMBDA(v,v&gt;100))</t>
  </si>
  <si>
    <t>▸  BiRow_byHadynWiseman  and  BiCol_byHadynWiseman</t>
  </si>
  <si>
    <t>▸  MassSubstitute_byHadynWiseman  and  RegPattern_byHadynWiseman</t>
  </si>
  <si>
    <t>Many find-and-replaces in one pass, instead of SUBSTITUTE inside SUBSTITUTE inside SUBSTITUTE.</t>
  </si>
  <si>
    <t>=MassSubstitute_byHadynWiseman("a1b2",{"[0-9]"},{"#"},0,,1)</t>
  </si>
  <si>
    <t>Reach for it when:  Ciphers, decoding, cleaning a column of messy text, applying a whole substitution table at once.</t>
  </si>
  <si>
    <t>▸  SplitText_byHadynWiseman</t>
  </si>
  <si>
    <t>▸  ExtractNumbers_byHadynWiseman</t>
  </si>
  <si>
    <t>Pulls the numbers out of mixed text.</t>
  </si>
  <si>
    <t>the numbers, each as its own item</t>
  </si>
  <si>
    <t>▸  LetterType_byHadynWiseman</t>
  </si>
  <si>
    <t>▸  ShiftText_byHadynWiseman</t>
  </si>
  <si>
    <t>=ShiftText_byHadynWiseman("abc",1)</t>
  </si>
  <si>
    <t>a plain Caesar shift of 1</t>
  </si>
  <si>
    <t>=ShiftText_byHadynWiseman("abc",1,1)</t>
  </si>
  <si>
    <t>=ShiftText_byHadynWiseman("xyz",3)</t>
  </si>
  <si>
    <t>=ShiftText_byHadynWiseman("xyz",3,0,0,1)</t>
  </si>
  <si>
    <t>=ShiftText_byHadynWiseman("ab cd",1,1,1)</t>
  </si>
  <si>
    <t>▸  Consecutives_byHadynWiseman  (again, on text)</t>
  </si>
  <si>
    <t>Reach for it when:  'What is the shortest route that collects all the parcels?' 'Visit every city once and come home.' Anything that is a tour rather than a single journey.</t>
  </si>
  <si>
    <t>▸  KnapSackInteger_byHadynWiseman</t>
  </si>
  <si>
    <t>Picks the most valuable set of things that still fits in the bag.</t>
  </si>
  <si>
    <t>You give it:  KnapSackInteger_byHadynWiseman(capacity, weights, values, [item labels])</t>
  </si>
  <si>
    <t>▸  CardSets_byHadynWiseman</t>
  </si>
  <si>
    <t>Reach for it when:  Any card-scoring level. The ace-high/ace-low switches matter because cases differ on whether A-2-3 counts as a run.</t>
  </si>
  <si>
    <t>▸  Dice_byHadynWiseman</t>
  </si>
  <si>
    <t>You give it:  Dice_byHadynWiseman(dice text, [add], [join])</t>
  </si>
  <si>
    <t>=Dice_byHadynWiseman("⚂⚄")</t>
  </si>
  <si>
    <t>=Dice_byHadynWiseman("⚂⚄",1)</t>
  </si>
  <si>
    <t>▸  Bounce_byBoRydobon</t>
  </si>
  <si>
    <t>▸  VStacks_byHadynWiseman</t>
  </si>
  <si>
    <t>p</t>
  </si>
  <si>
    <t>▸  XLOOKUP2D_byBendeLeon</t>
  </si>
  <si>
    <t>Reach for it when:  Price tables. Distance charts. Anything read off a grid with headings down the side and along the top.</t>
  </si>
  <si>
    <t>▸  Coins_byHadynWiseman</t>
  </si>
  <si>
    <t>Breaks an amount into the fewest coins, largest first.</t>
  </si>
  <si>
    <t>You give it:  Coins_byHadynWiseman(target, the coin values)</t>
  </si>
  <si>
    <t>how many of each coin makes 7, biggest first: one 5, one 2, no 1s</t>
  </si>
  <si>
    <t>a target that needs the small coins</t>
  </si>
  <si>
    <t>Reach for it when:  Change-making, and anything shaped like it: fitting items into the largest available containers first.</t>
  </si>
  <si>
    <t>▸  Combinations_byHadynWiseman  and  PerCom_byBoRydobon</t>
  </si>
  <si>
    <t>▾  REFERENCE</t>
  </si>
  <si>
    <t>needs first</t>
  </si>
  <si>
    <t>what it does</t>
  </si>
  <si>
    <t>taught on</t>
  </si>
  <si>
    <t>Align Array to Right</t>
  </si>
  <si>
    <t>stand on the formula you want to wrap</t>
  </si>
  <si>
    <t>Aligns array to the right with blanks to left</t>
  </si>
  <si>
    <t>Apply ARROWSHIFT_byEmilieWilliams Lambda</t>
  </si>
  <si>
    <t>COPY something first (the command reads the clipboard); stand on the formula you want to wrap</t>
  </si>
  <si>
    <t>Apply ARROWSHIFT_byEmilieWilliams lambda function to active cell, using direction in clipboard.</t>
  </si>
  <si>
    <t>Backup Sheets in Workbook</t>
  </si>
  <si>
    <t>Copy all sheets in workbook for backup</t>
  </si>
  <si>
    <t>Clear Bonus From Dock</t>
  </si>
  <si>
    <t>it will ASK you for 1 value</t>
  </si>
  <si>
    <t>Hides one bonus from the dock by hand (type 2, B4, B or Bonus 2)</t>
  </si>
  <si>
    <t>Clear Unused Lambdas</t>
  </si>
  <si>
    <t>Clear Unused Lambdas with Report</t>
  </si>
  <si>
    <t>Create Blank Sheet</t>
  </si>
  <si>
    <t>BS, CBS, S</t>
  </si>
  <si>
    <t>the active cell's VALUE is used (often as a name)</t>
  </si>
  <si>
    <t>Creates a blank sheet named based on cell value (Sht otherwise)</t>
  </si>
  <si>
    <t>Create Bonus Sheet</t>
  </si>
  <si>
    <t>BQC, CB</t>
  </si>
  <si>
    <t>Creates bonus sheet "B" with bonus questions</t>
  </si>
  <si>
    <t>Create Case Inputs Sheet</t>
  </si>
  <si>
    <t>CIS, IS</t>
  </si>
  <si>
    <t>Create Data Table</t>
  </si>
  <si>
    <t>CDT, DT</t>
  </si>
  <si>
    <t>Create Level Sheets</t>
  </si>
  <si>
    <t>CL, CLS</t>
  </si>
  <si>
    <t>Creates a sheet for each level in the Case sheet</t>
  </si>
  <si>
    <t>Difference of Array Columns by Row</t>
  </si>
  <si>
    <t>diff, dbr</t>
  </si>
  <si>
    <t>Eggy</t>
  </si>
  <si>
    <t>Exclude Blanks</t>
  </si>
  <si>
    <t>Filters blank cells out of the active array, leaving only cells that hold something</t>
  </si>
  <si>
    <t>Exclude Examples</t>
  </si>
  <si>
    <t>Trims the worked-example rows off the top of the selection, leaving just the real questions</t>
  </si>
  <si>
    <t>Extract Characters</t>
  </si>
  <si>
    <t>Split the active cell's text into its individual characters, one per row. Keeps line breaks, accented letters and emoji intact.</t>
  </si>
  <si>
    <t>Fill Similar Background Color</t>
  </si>
  <si>
    <t>Find Above In Left</t>
  </si>
  <si>
    <t>Find Address Of Value On Map</t>
  </si>
  <si>
    <t>select ONE cell; stand on the formula you want to wrap; it will ASK you for 1 value</t>
  </si>
  <si>
    <t>Find Nearest On Map</t>
  </si>
  <si>
    <t>First Match By Row</t>
  </si>
  <si>
    <t>select ONE cell; stand on the TOP-LEFT cell of the spill; stand on the formula you want to wrap; it will ASK you for 2 values</t>
  </si>
  <si>
    <t>Flip Array</t>
  </si>
  <si>
    <t>Full Setup Case</t>
  </si>
  <si>
    <t>Get Current Settings</t>
  </si>
  <si>
    <t>Get current settings for this computer.</t>
  </si>
  <si>
    <t>Goto Similar Background Color</t>
  </si>
  <si>
    <t>Import Lambda Library</t>
  </si>
  <si>
    <t>Keep Cell of Array</t>
  </si>
  <si>
    <t>stand on a SPILLED array (any cell of it)</t>
  </si>
  <si>
    <t>Reduces a spilled array to just the one cell you selected, so a single value can be inspected or reused</t>
  </si>
  <si>
    <t>List Combinations Of Array</t>
  </si>
  <si>
    <t>List Lambdas Used</t>
  </si>
  <si>
    <t>Load Game Into Calculation</t>
  </si>
  <si>
    <t>Loads the selected data table game into the example calculation, or restores the example</t>
  </si>
  <si>
    <t>Lookup Array from Column N</t>
  </si>
  <si>
    <t>Looks every value of the active array up in a named range or table and returns the column you choose</t>
  </si>
  <si>
    <t>Lookup Value by Row</t>
  </si>
  <si>
    <t>Returns RC location of a list of values in a range</t>
  </si>
  <si>
    <t>Applies -- to an array, turning TRUE/FALSE into 1/0 so it can be summed or multiplied</t>
  </si>
  <si>
    <t>Modulo Array</t>
  </si>
  <si>
    <t>select ONE cell; stand on the TOP-LEFT cell of the spill; stand on the formula you want to wrap; it will ASK you for 1 value</t>
  </si>
  <si>
    <t>Modulo Array 1-Based</t>
  </si>
  <si>
    <t>Name All Used Ranges</t>
  </si>
  <si>
    <t>NA, NAUR</t>
  </si>
  <si>
    <t>Renames used range in all sheets</t>
  </si>
  <si>
    <t>Name Used Ranges</t>
  </si>
  <si>
    <t>Names used range in all sheets starting with the prefix as provided in the active cell</t>
  </si>
  <si>
    <t>Negative Values</t>
  </si>
  <si>
    <t>Negative values. with errors as blank</t>
  </si>
  <si>
    <t>Next Bonus In Status Bar</t>
  </si>
  <si>
    <t>Shows the next open bonus question on the status bar (no-dock fallback)</t>
  </si>
  <si>
    <t>Paste Flattened List With Formatting</t>
  </si>
  <si>
    <t>Previous Bonus In Status Bar</t>
  </si>
  <si>
    <t>Shows the previous open bonus question on the status bar</t>
  </si>
  <si>
    <t>Record Walk Route</t>
  </si>
  <si>
    <t>Start recording a route: every orthogonal move adds the cells you pass over. Diagonal click finishes</t>
  </si>
  <si>
    <t>Rename Sheets</t>
  </si>
  <si>
    <t>Restore Cleared Bonuses</t>
  </si>
  <si>
    <t>Brings every hand-cleared bonus back into the dock</t>
  </si>
  <si>
    <t>Revert Settings</t>
  </si>
  <si>
    <t>Reverts settings to those loaded into the Loaded column.</t>
  </si>
  <si>
    <t>Rotate Array</t>
  </si>
  <si>
    <t>Round to 0</t>
  </si>
  <si>
    <t>Run Data Table</t>
  </si>
  <si>
    <t>Fills a Create Data Table block with static results game by game, recalculating only when run</t>
  </si>
  <si>
    <t>Save Answers To Left</t>
  </si>
  <si>
    <t>Saves references to the selected cells in the green answer cells to the left on the same row.</t>
  </si>
  <si>
    <t>Save Copy of File</t>
  </si>
  <si>
    <t>Enable editing and save copy of file with suffix based on active cell (otherwise Working)</t>
  </si>
  <si>
    <t>Save From Example</t>
  </si>
  <si>
    <t>Sequence of Row Count</t>
  </si>
  <si>
    <t>Sequence of row count of array variable</t>
  </si>
  <si>
    <t>Show Bonus Dock</t>
  </si>
  <si>
    <t>Split Text by Delimiter Above</t>
  </si>
  <si>
    <t>ST</t>
  </si>
  <si>
    <t>Split Text by Semicolon</t>
  </si>
  <si>
    <t>Splits the active cell's text on semicolons into an array, trimming each piece</t>
  </si>
  <si>
    <t>Stack Sheets From Clipboard</t>
  </si>
  <si>
    <t>Stacks the same block from many sheets into one table, driven by a sheet-name list in the clipboard</t>
  </si>
  <si>
    <t>Stack Sheets From Clipboard, Hide Blanks</t>
  </si>
  <si>
    <t>Stop Walk Route</t>
  </si>
  <si>
    <t>Ends a walk route by hand and writes it out, for when a diagonal click is awkward to reach</t>
  </si>
  <si>
    <t>Sum True</t>
  </si>
  <si>
    <t>Toggle Calculation Mode</t>
  </si>
  <si>
    <t>Toggles calculation mode and places current mode notice in StatusBar</t>
  </si>
  <si>
    <t>Toggle Iterative Calculation</t>
  </si>
  <si>
    <t>Toggles iterative calculation and sets status in status bar</t>
  </si>
  <si>
    <t>Update Settings</t>
  </si>
  <si>
    <t>Wrap Flat List Into Grid</t>
  </si>
  <si>
    <t>Wrap in ABS</t>
  </si>
  <si>
    <t>Wrap in Concat</t>
  </si>
  <si>
    <t>Wrap in Drop First Row</t>
  </si>
  <si>
    <t>Wraps the active formula in DROP(...,1) to remove a header row from a spilled array</t>
  </si>
  <si>
    <t>Wrap in Take by Copied Cell Columns</t>
  </si>
  <si>
    <t>Wrap in take by copied cell columns.</t>
  </si>
  <si>
    <t>Wrap in UNICHAR</t>
  </si>
  <si>
    <t>Wrap in UNICODE</t>
  </si>
  <si>
    <t>Wrap in UNIQUE</t>
  </si>
  <si>
    <t>Wrap with IFERROR TEXTBEFORE space</t>
  </si>
  <si>
    <t>Wraps current formula with TEXTBEFORE space with IFERROR in case space doesn't exist</t>
  </si>
  <si>
    <t>Every lambda in the recommended set, one line each. For when you know what they do and just need the name. The last column answers the question that costs the most time when it is guessed wrong: will this one take a calculated ARRAY, or does it insist on a real RANGE on the sheet?</t>
  </si>
  <si>
    <t>Family</t>
  </si>
  <si>
    <t>Lambda</t>
  </si>
  <si>
    <t>Creator</t>
  </si>
  <si>
    <t>What it does</t>
  </si>
  <si>
    <t>Array or range?</t>
  </si>
  <si>
    <t>ROOT</t>
  </si>
  <si>
    <t>Hadyn Wiseman</t>
  </si>
  <si>
    <t>Returns A to Z as a 26-row array</t>
  </si>
  <si>
    <t>Yes</t>
  </si>
  <si>
    <t>ColNum_byHadynWiseman</t>
  </si>
  <si>
    <t>Converts an A1 address, or a packed row/column number, to its column number</t>
  </si>
  <si>
    <t>RowNum_byHadynWiseman</t>
  </si>
  <si>
    <t>Converts an A1 address, or a packed row/column number, to its row number</t>
  </si>
  <si>
    <t>Converts between an A1 address and a packed row/column number, and decodes an arrow glyph into the packed step it means</t>
  </si>
  <si>
    <t>Exists_byHadynWiseman</t>
  </si>
  <si>
    <t>Returns TRUE where an item is found in a list, with an optional substring mode</t>
  </si>
  <si>
    <t>Diarmuid Early</t>
  </si>
  <si>
    <t>Returns the A1 address of every cell in a range</t>
  </si>
  <si>
    <t>Normalises an arrow glyph or compass abbreviation into one consistent form</t>
  </si>
  <si>
    <t>GRID</t>
  </si>
  <si>
    <t>LineOfSight_byHadynWiseman</t>
  </si>
  <si>
    <t>Returns what a cell can see across a grid, with blockers stopping the view</t>
  </si>
  <si>
    <t>LineOfSightCount_byHadynWiseman</t>
  </si>
  <si>
    <t>Counts how many of a given item are visible from a cell</t>
  </si>
  <si>
    <t>Follows a wall around a grid by the left-hand or right-hand rule</t>
  </si>
  <si>
    <t>Labels each connected region of a grid, so separate areas can be counted or told apart</t>
  </si>
  <si>
    <t>Returns which cells can be reached from a starting cell, obeying walls</t>
  </si>
  <si>
    <t>Returns the nearest matching item on a grid with its value, address and distance</t>
  </si>
  <si>
    <t>Returns how far every cell is from the nearest cell holding a given VALUE, under any metric you supply</t>
  </si>
  <si>
    <t>Walks a direction across a grid, stopping, gliding, bouncing or wrapping at obstacles, and optionally returning the whole path</t>
  </si>
  <si>
    <t>Bo Rydobon</t>
  </si>
  <si>
    <t>Applies a function to every rectangular window of a range</t>
  </si>
  <si>
    <t>Jaq Kennedy</t>
  </si>
  <si>
    <t>Gets a block of cells in a range or array based on an address and block size</t>
  </si>
  <si>
    <t>FindInMap_byHadynWiseman</t>
  </si>
  <si>
    <t>Returns the A1 address of every cell in a grid holding a given value</t>
  </si>
  <si>
    <t>Returns the cheapest (or dearest) route over an origin/destination edge table, with its cost or its route</t>
  </si>
  <si>
    <t>LOOP</t>
  </si>
  <si>
    <t>Harry Gross</t>
  </si>
  <si>
    <t>Repeats a step until a condition holds and returns the final state</t>
  </si>
  <si>
    <t>Repeats a step until a condition holds and returns how many steps it took</t>
  </si>
  <si>
    <t>RANK</t>
  </si>
  <si>
    <t>Returns the LABEL belonging to the nth largest or smallest number, with an optional tie-break key</t>
  </si>
  <si>
    <t>Lianna Gerrish</t>
  </si>
  <si>
    <t>Returns the most frequent value AND how many times it appears</t>
  </si>
  <si>
    <t>COORD</t>
  </si>
  <si>
    <t>Converts a grid to a single column with the row number, column number, address and packed coordinate of each cell, or just the columns asked for, reading along the rows or down the columns</t>
  </si>
  <si>
    <t>Reads a grid in serpentine order, reversing direction on alternate lines</t>
  </si>
  <si>
    <t>Converts a wide block into a long one, repeating the key columns once per value</t>
  </si>
  <si>
    <t>Repeats a block n times, stacked or side by side</t>
  </si>
  <si>
    <t>Converts a cell to its A1 address as text, optionally sheet-qualified</t>
  </si>
  <si>
    <t>No</t>
  </si>
  <si>
    <t>JJ</t>
  </si>
  <si>
    <t>Splits a delimited column and unpivots it in one step, repeating the other columns for each token</t>
  </si>
  <si>
    <t>Returns the letters of the alphabet, or of any other complete set, that do not appear in a list</t>
  </si>
  <si>
    <t>Shifts each letter along the alphabet, optionally by an amount that grows with its position</t>
  </si>
  <si>
    <t>Splits text into characters, or into fixed or overlapping groups of characters</t>
  </si>
  <si>
    <t>Splits out the numbers in mixed text, optionally keeping decimals whole</t>
  </si>
  <si>
    <t>Splits out the letters in mixed text, joined up or as separate runs</t>
  </si>
  <si>
    <t>ExtractUpperLetters_byJaqKennedy</t>
  </si>
  <si>
    <t>Splits out only the capital letters in mixed text, joined up or as separate runs</t>
  </si>
  <si>
    <t>ExtractLowerLetters_byJaqKennedy</t>
  </si>
  <si>
    <t>Splits out only the lower-case letters in mixed text, joined up or as separate runs</t>
  </si>
  <si>
    <t>Applies a whole list of substitutions to text in one pass, with regex and case-sensitive modes</t>
  </si>
  <si>
    <t>Builds a regular expression that matches any word in a list, longest first</t>
  </si>
  <si>
    <t>Counts occurrences of a character or substring within text, optionally case-sensitive</t>
  </si>
  <si>
    <t>Returns how long the current run of identical values is, at every position</t>
  </si>
  <si>
    <t>LOOKUP</t>
  </si>
  <si>
    <t>XLOOKUP2D_byBendeLeon</t>
  </si>
  <si>
    <t>Ben de Leon</t>
  </si>
  <si>
    <t>Looks up a value by row key and column key together</t>
  </si>
  <si>
    <t>IsInList_byErikOehm</t>
  </si>
  <si>
    <t>Erik Oehm</t>
  </si>
  <si>
    <t>Returns a boolean for matches in an array to a list</t>
  </si>
  <si>
    <t>Returns the items of a list that do not appear in another list</t>
  </si>
  <si>
    <t>Turns many same-shaped sheets into one table, one row per cell, carrying the sheet name and the cell's address, row, column and packed coordinate</t>
  </si>
  <si>
    <t>ARRAY</t>
  </si>
  <si>
    <t>ExactUnique_byHadynWiseman</t>
  </si>
  <si>
    <t>Returns the distinct values, or only those appearing exactly once</t>
  </si>
  <si>
    <t>Returns which occurrence of its own value each item is</t>
  </si>
  <si>
    <t>Shifts an array by rows and columns, either filling the gap or wrapping it round</t>
  </si>
  <si>
    <t>Rotate_byHadynWiseman</t>
  </si>
  <si>
    <t>Turns an array through quarter turns, optionally carrying addresses through the same rotation</t>
  </si>
  <si>
    <t>Flip_byHadynWiseman</t>
  </si>
  <si>
    <t>Mirrors an array left-to-right, top-to-bottom or in either diagonal, optionally carrying addresses through the same flip</t>
  </si>
  <si>
    <t>Fold_byHadynWiseman</t>
  </si>
  <si>
    <t>Folds an array along an arrow, with characters that pass through instead of colliding</t>
  </si>
  <si>
    <t>Peter Scharl</t>
  </si>
  <si>
    <t>SEARCH</t>
  </si>
  <si>
    <t>TSPFull_byHadynWiseman</t>
  </si>
  <si>
    <t>Returns the cost of the exact shortest tour over a distance matrix</t>
  </si>
  <si>
    <t>TSPGreedy_byHadynWiseman</t>
  </si>
  <si>
    <t>Returns the cost of a nearest-neighbour tour over a distance matrix</t>
  </si>
  <si>
    <t>Improves a greedy tour and returns its cost and route</t>
  </si>
  <si>
    <t>Returns the best total value that fits a weight capacity, or which items to take</t>
  </si>
  <si>
    <t>Combinations_byHadynWiseman</t>
  </si>
  <si>
    <t>Lists the ways of choosing c items from a set, ordered or unordered, with or without repeats</t>
  </si>
  <si>
    <t>PerCom_byBoRydobon</t>
  </si>
  <si>
    <t>Lists the permutations or combinations of c items chosen from n</t>
  </si>
  <si>
    <t>Returns how many of each denomination greedily makes up a target, largest first</t>
  </si>
  <si>
    <t>Returns the values that appear more than once, or the repeated letters of a single piece of text</t>
  </si>
  <si>
    <t>Shifts a list by n places so each row can see an earlier one, filling the gap it opens</t>
  </si>
  <si>
    <t>GAME</t>
  </si>
  <si>
    <t>Finds sets or runs in a hand, with ace-high, ace-low, wrap-around and custom rank orders</t>
  </si>
  <si>
    <t>Decodes dice glyphs into their pip values, listed or totalled</t>
  </si>
  <si>
    <t>NUM</t>
  </si>
  <si>
    <t>Keeps a number, or every number in an array, between an optional lower and upper bound</t>
  </si>
  <si>
    <t>Returns a run of positions that reflect off a lower and upper wall</t>
  </si>
  <si>
    <t>Café</t>
  </si>
  <si>
    <t>Ada Lovelace</t>
  </si>
  <si>
    <t>Ada</t>
  </si>
  <si>
    <t>C4</t>
  </si>
  <si>
    <t>D4</t>
  </si>
  <si>
    <t>E19</t>
  </si>
  <si>
    <t>stressed</t>
  </si>
  <si>
    <t>desserts</t>
  </si>
  <si>
    <t>none</t>
  </si>
  <si>
    <t>Bob</t>
  </si>
  <si>
    <t>Ann</t>
  </si>
  <si>
    <t>Cat</t>
  </si>
  <si>
    <t>nothing missing</t>
  </si>
  <si>
    <t>C5</t>
  </si>
  <si>
    <t>Not Found</t>
  </si>
  <si>
    <t>ABCDEFGHIJKLMNOPQRSTUVWXYZ</t>
  </si>
  <si>
    <t>→</t>
  </si>
  <si>
    <t>XYc</t>
  </si>
  <si>
    <t>a#b#</t>
  </si>
  <si>
    <t>\b\Qcatalog\E\b|\b\Qcat\E\b</t>
  </si>
  <si>
    <t>\Qcatalog\E|\Qcat\E</t>
  </si>
  <si>
    <t>bcd</t>
  </si>
  <si>
    <t>bdf</t>
  </si>
  <si>
    <t>abc</t>
  </si>
  <si>
    <t>{|}</t>
  </si>
  <si>
    <t>bd fh</t>
  </si>
  <si>
    <t>B</t>
  </si>
  <si>
    <t>Do not take this workbook's word for it. Check, it takes ten seconds.</t>
  </si>
  <si>
    <t>The LAMBDA half works with no CompBot at all: every lambda the examples call is defined inside this workbook, so the formulas answer whatever you have installed. The COMMAND half cannot be: a command is a keystroke into OA Robot's palette, and without OA Robot and CompBot there is nothing to press. That asymmetry is worth knowing before you wonder why half the book works.</t>
  </si>
  <si>
    <t xml:space="preserve">     what has to be true before you press the keys. This is the commonest reason a command appears to do nothing: nothing was copied, or the wrong cell was selected. It is generated from what the command actually reads, so it cannot drift.</t>
  </si>
  <si>
    <t>the batch-solve engine, the most valuable sheet here</t>
  </si>
  <si>
    <t>a whole competition case in miniature; run C3 and C4 on it</t>
  </si>
  <si>
    <t>2 · The free collections: the base level</t>
  </si>
  <si>
    <t>The library leans on TEXTSPLIT, WRAPROWS, TOCOL, GROUPBY and (in SplitText_byHadynWiseman, which Extract Characters calls) REGEXEXTRACT. Those are Microsoft 365 functions and the newest of them are recent even there, so on an older build some lessons come back #NAME? through no fault of yours. No minimum version is printed here because it would be a guess; check it against the oldest build you care about.</t>
  </si>
  <si>
    <t>Find it by what you want to do</t>
  </si>
  <si>
    <t>You will not always know the name. Look down the left for the question you are actually asking. The answer is a LAUNCH CODE where a command exists, and a LAMBDA NAME where one does not, and a row whose answer is a bare lambda name is, by construction, a command waiting to be written.</t>
  </si>
  <si>
    <t>"C7": which row is that? which column?</t>
  </si>
  <si>
    <t>Who scored most? I want the NAME, not the score</t>
  </si>
  <si>
    <t>Needs first:   nothing, it runs from wherever you are</t>
  </si>
  <si>
    <t>Turns Excel's iterative calculation on or off: the setting that lets a deliberate circular reference resolve instead of erroring.</t>
  </si>
  <si>
    <t>no launch code: type the name</t>
  </si>
  <si>
    <t>Hides one bonus from the dock by hand: type 2, B4, B or Bonus 2.</t>
  </si>
  <si>
    <t>Shows the next open bonus on the status bar instead of in a panel: the no-dock fallback.</t>
  </si>
  <si>
    <t>Every one of these REPLACES the formula in the cell you are standing on. That would wreck the example, so each lesson prints the formula as TEXT on the row above the live one. The text row IS the restore instructions. Wreck the live cells freely.</t>
  </si>
  <si>
    <t>A ragged block: different numbers of values per row.</t>
  </si>
  <si>
    <t>Wraps what you are standing on in DROP(...,1), which throws away the first row, normally a header that came along with the data.</t>
  </si>
  <si>
    <t>Try it ↓   The BEFORE cell is live. Stand on it, run the command, and you get the AFTER cell.</t>
  </si>
  <si>
    <t>Reach for it when:  Distinct values, distinct colours, distinct answers, and as the poor competitor's legend: UNIQUE on a flattened Fill column tells you what colours a map actually uses.</t>
  </si>
  <si>
    <t>Reach for it when:  Ragged rows that have to line up at their ends rather than their starts: digits of different-length numbers, the last N moves of a game, anything read from the right.</t>
  </si>
  <si>
    <t>Reach for it when:  A sparse column (answers scattered down a block, a map flattened into a list) where the gaps are noise.</t>
  </si>
  <si>
    <t>Wraps it in TAKE(...,,n), keeping the first n columns, where n is whatever number you copied.</t>
  </si>
  <si>
    <t>Reach for it when:  Distances, differences, gaps, reflections: anywhere the sign is an artefact of which way round you subtracted.</t>
  </si>
  <si>
    <t>Wraps the array in MOD, turning cumulative movement into a position on a board that loops back round.</t>
  </si>
  <si>
    <t>Reach for it when:  Spaces numbered 1 to N, where a full lap lands on N. Compare the two lessons' answers on the same numbers; that is the whole difference.</t>
  </si>
  <si>
    <t>Reach for it when:  Before and after in two columns: start and finish, opening and closing, bought and sold.</t>
  </si>
  <si>
    <t>Nearly every cipher level in the library is: split it into characters, turn them into numbers, do arithmetic, turn them back. That is Extract Characters, code, and char: three commands and the whole family.</t>
  </si>
  <si>
    <t>Reach for it when:  Constantly. Semicolons are far and away the commonest delimiter in the case library: racer numbers, dice rolls, move sequences, team rosters.</t>
  </si>
  <si>
    <t>Keeps the text before the first space, and hands back the whole string unchanged if there is no space.</t>
  </si>
  <si>
    <t>Takes a list of values and tells you WHERE each one sits in a grid you have copied, as a row/column reference.</t>
  </si>
  <si>
    <t>Reach for it when:  Joining a split list back to a stats table: 20 racer numbers to their speeds, glyphs to a legend, codes to names.</t>
  </si>
  <si>
    <t>For each row, the position of the first cell equal to a value, or a fallback where that row never matches.</t>
  </si>
  <si>
    <t>Reach for it when:  'On which step did this row first hit X': a set completed, a target reached, a state entered.</t>
  </si>
  <si>
    <t>Moves a cell address one step in the direction you copied: an arrow glyph, or a compass letter.</t>
  </si>
  <si>
    <t>MAP A: markers. S is where you start, o is what you are looking for, . is open ground.</t>
  </si>
  <si>
    <t>MAP B: walkable cells hold a NUMBER (the cost of entering them); the text cells are walls.</t>
  </si>
  <si>
    <t>MAP C: the open cells are BLANK and the walls are #. Three blobs, or one, depending on whether corners count.</t>
  </si>
  <si>
    <t>Reach for it when:  First, almost always. The other two map commands need a starting ADDRESS as text, and on a real case you never know it by eye: the start is 'wherever the S is'.</t>
  </si>
  <si>
    <t>Reach for it when:  The map is drawn in FORMATTING rather than written in values: colour-coded terrain, walls drawn as borders, a legend you have to decode.</t>
  </si>
  <si>
    <t>Reach for it when:  A path that exists only visually (drawn on a map in fills or glyphs and recorded nowhere) that you need as data you can measure.</t>
  </si>
  <si>
    <t>Ends the walk by hand and writes it out, for when a diagonal click is awkward to reach.</t>
  </si>
  <si>
    <t>Copies the selected cells' values over every other cell on the sheet that shares their fill colour, turning a colour-coded map into data in one run.</t>
  </si>
  <si>
    <t>Reach for it when:  'How many of these are red': select the map, stand on a red one, run it, and read the count off the status bar.</t>
  </si>
  <si>
    <t>Case: the demo case</t>
  </si>
  <si>
    <t>Add the two numbers. No engine needed: this is the level that shows Save From Example on its own. Standard shape: one worked row, one blank spacer, then the questions.</t>
  </si>
  <si>
    <t>Start on space 1 of a board numbered 1 to 12. Apply each move in turn and say where you finish. No closed form, so this is the Create Data Table / Run Data Table level, AND it is deliberately the awkward shape: TWO worked rows and no spacer.</t>
  </si>
  <si>
    <t>Bonus 2 already has an answer, so Show Bonus Dock (BQ) lists only 1 and 3. Type anything into Bonus 1's answer cell and run BQ again; it drops off.</t>
  </si>
  <si>
    <t>Demo maps: the formatting ones</t>
  </si>
  <si>
    <t>Legend (select the swatches, not the words):</t>
  </si>
  <si>
    <t>Small lambdas that come up constantly. Nothing here needs any background: start at the top and work down.</t>
  </si>
  <si>
    <t>both limits given: 15 is over the top, so it becomes the top</t>
  </si>
  <si>
    <t>shift down TWO: 'the value two rows back'</t>
  </si>
  <si>
    <t>[fill] omitted: the gap is filled with "X", which is a deliberate marker rather than a blank you might not notice</t>
  </si>
  <si>
    <t>the run length at every position; it restarts each time the value changes</t>
  </si>
  <si>
    <t>[groups] = 1 gives every element the SIZE of the run it is in, not the count so far, so every member of a run carries the same number</t>
  </si>
  <si>
    <t>which is the one you FILTER on: keep only the values sitting in a run of 3+</t>
  </si>
  <si>
    <t>Seen in a real case:  Community 2025 'Scary Speedsters': L3, L4, L5 and L7 are all 'is this run of p cells one piece'.</t>
  </si>
  <si>
    <t>NOTHING REPEATS, and it does not come back empty: it comes back as an ERROR, because FILTER with no matches errors. Wrap it if a case might have no duplicates.</t>
  </si>
  <si>
    <t>hand it ONE piece of text and it splits it into characters first: repeated LETTERS, not repeated cells</t>
  </si>
  <si>
    <t>Seen in a real case:  RTLV 2026 'Memory Game': L7 tracks a memory dictionary over a fixed reveal order.</t>
  </si>
  <si>
    <t>[TieKey]: the same tie, broken deliberately by a second column. This is the parameter this review added, and it is the one that stops a silent wrong answer.</t>
  </si>
  <si>
    <t>Reach for it when:  'Who scored most?' 'Which route was cheapest?' The formal name for this is ARGMAX (see Words).</t>
  </si>
  <si>
    <t>Seen in a real case:  MEWC 2024 'Mortal Wombat' Bonus 5: argmax on wins, then argmin on a second measure restricted to the tied set. 2021 Open 'Lumberjack' L6: ties break to the earliest row-major position, and the survey note says getting the order wrong gives a wrong answer in BOTH directions.</t>
  </si>
  <si>
    <t>You give it:  CountOcc_byHadynWiseman(what to look for, text, [case sensitive?]). Note the thing you are looking for comes FIRST, which is the opposite way round from most of Excel</t>
  </si>
  <si>
    <t>[Case] = 1: now a capital A is NOT found among lower-case ones</t>
  </si>
  <si>
    <t>the most common value AND how many times it appears; the count is the half Excel's own MODE throws away</t>
  </si>
  <si>
    <t>Turns many same-shaped sheets into ONE table: one row per cell, carrying which sheet it came from.</t>
  </si>
  <si>
    <t>Two sheets' worth of 2x2, stacked. The top half is Area1, the bottom Area2:</t>
  </si>
  <si>
    <t>Reach for it when:  Any case that splits one dataset across tabs: 64 map areas, 25 player tabs, 12 recipe sheets. Get it into one table first and every question afterwards is an ordinary filter or lookup.</t>
  </si>
  <si>
    <t>The other half of IsInList: the items that are NOT in the other list.</t>
  </si>
  <si>
    <t>a GRID has to be flattened first: FILTER needs a single column to work along</t>
  </si>
  <si>
    <t>the distinct values, the same as plain UNIQUE so far</t>
  </si>
  <si>
    <t>Flattens any grid into a plain list: the value, its row number, its column number, its address and its packed coordinate. Five columns, one row per cell, and you can ask for just the columns you want.</t>
  </si>
  <si>
    <t>every cell as a row: the value, its row and column number, its ADDRESS and its PACKED coordinate, with a header row on top. The EMPTY cell is not listed; that is the default, and it is what makes this readable on a big sparse map. The ZERO is listed, because a zero is a value</t>
  </si>
  <si>
    <t>[Address]: just the value and where it lives, which is the whole of what the retired Flatten used to return</t>
  </si>
  <si>
    <t>[RowCol]: the value with its row and column NUMBERS, which is what you want when you are going to do arithmetic on the coordinates</t>
  </si>
  <si>
    <t>[RCRef]: just the packed coordinate. Note the two skipped arguments: this is the trailing-skip spelling</t>
  </si>
  <si>
    <t>the SAME call written with explicit zeros instead of skips: identical result, and worth seeing once so the group rule is obvious</t>
  </si>
  <si>
    <t>[ByColumn] = 1: down the columns instead of along the rows. Compare the order of the Items column with the first example</t>
  </si>
  <si>
    <t>[HideZeros] = 1: the zero goes too, leaving only the cells with something in them. This is the sparse-map view</t>
  </si>
  <si>
    <t>[ShowBlanks] = 1: now every cell of the grid is listed, holes included. The hole's Items entry is EMPTY, not zero</t>
  </si>
  <si>
    <t>the RCRef column is the packed row*10^6+col the rest of the toolbox speaks, so you can look a cell up BY COORDINATE: here, whatever sits at row 2, column 1</t>
  </si>
  <si>
    <t>Reach for it when:  THE debugging tool. When a clever lambda is misbehaving, run this on your data and actually look at what you have. Also useful on its own: once positions are numbers in a column you can filter and sort them.</t>
  </si>
  <si>
    <t>Seen in a real case:  MEWC 2025 'Bigger Portals': every area's scattered 'x' cells have to become discrete 3x3 portals before anything else is well-defined.</t>
  </si>
  <si>
    <t>You give it:  ArrayShift_byHadynWiseman(array, rows, columns, fill, wrap?). Note the FILL comes before the wrap flag, so to skip it you type the comma and nothing else</t>
  </si>
  <si>
    <t>ColumnShift instead: the same idea sideways</t>
  </si>
  <si>
    <t>[Fill] is what you see wherever the shift opened a gap. Change it and the gap changes</t>
  </si>
  <si>
    <t>Seen in a real case:  2026 UK 'Every Day I'm Shuffling': cutting the deck is a rotate-by-N.</t>
  </si>
  <si>
    <t>You give it:  UnSplivot_byJJ(table, the delimiter). Column 1 is the one that gets split</t>
  </si>
  <si>
    <t>The map (1 is open, 0 is a wall):</t>
  </si>
  <si>
    <t>change the function, not the lambda: the biggest value in each window</t>
  </si>
  <si>
    <t>[Columns]: a window that is not square, here 1 row by 3 columns</t>
  </si>
  <si>
    <t>Seen in a real case:  MEWC 2023 'Lana Banana' Bonus 1: count r x c windows whose sum meets a threshold. MEWC 2025 'Origami' Bonus 5: scan every 3x3 for 'contains 1-9 exactly once'.</t>
  </si>
  <si>
    <t>Seen in a real case:  MEWC 2025 'Knife Thrower': rotate a sparse point set by q x 90° about its centre.</t>
  </si>
  <si>
    <t>Mirrors a block: left-right, top-bottom, or along either diagonal.</t>
  </si>
  <si>
    <t>[Horizontal]: left-to-right mirror</t>
  </si>
  <si>
    <t>[DiagonalTopRight]: the other diagonal</t>
  </si>
  <si>
    <t>start one row down: the whole array, shifted</t>
  </si>
  <si>
    <t>stepping off the end gives [pad_with], not an error, and not the neighbouring cell either, which is what OFFSET would have done</t>
  </si>
  <si>
    <t>Reach for it when:  Almost everything is easier once the data is tall. Filtering, looking up, grouping: all of it.</t>
  </si>
  <si>
    <t>Seen in a real case:  SA 2023 'Mzansi Hotel': 34 identically-shaped sheets where every question is a filter over the union.</t>
  </si>
  <si>
    <t>Seen in a real case:  MEWC 2025 'Origami': the whole case. Resolve a query cell after N chained folds.</t>
  </si>
  <si>
    <t>no options: an ordinary running total</t>
  </si>
  <si>
    <t>Seen in a real case:  2023 At the Races: distance since the last pit stop, resetting to 2400m on a pit lap. That case is the worked example in the command's own note.</t>
  </si>
  <si>
    <t>Seen in a real case:  RTLV 2024 'Deep Sea Diving': 3/4/5 metres per vertical/horizontal/diagonal step, diagonal-first. UK 2026 'Mind the Gap' L6: Pythagorean walk time between two literal cell references.</t>
  </si>
  <si>
    <t>Seen in a real case:  2021 Open 'Battleship': a ship is a contiguous run of filled cells. MEWC 2023 'The Numbers Game' L7 and Bonus 5: 8-way flood fill.</t>
  </si>
  <si>
    <t>Seen in a real case:  RTLV 2024 'Ship the World': one BFS from Port Excel gives a distance grid that every L5/L6 answer is just a lookup into. MEWC 2024 Qualification S1: 850 cells with per-cell entry costs and 8-way moves, which is the weighted case.</t>
  </si>
  <si>
    <t>Seen in a real case:  MEWC 2024 'Portal': returns distance AND address for a position within one area, and serves L5, L6 and every leg of L7.</t>
  </si>
  <si>
    <t>Seen in a real case:  MEWC 2025 'Vlookie-teur' L6: a sequence of moves, each itself a 'walk until wall'.</t>
  </si>
  <si>
    <t>Seen in a real case:  RTLV 2024 'Ship the World' L7: adds a 150 canal toll and a ship-class passability mask over the same grid, which is when a grid becomes a graph.</t>
  </si>
  <si>
    <t>Seen in a real case:  MEWC 2022 Qualification L9: minesweeper adjacency. MEWC 2023 'Flower Power': flip every cell within distance n, skipping blocked cells.</t>
  </si>
  <si>
    <t>Seen in a real case:  RTLV 2023 'At the Races' L3-L5: lap ORDER, not terrain counts; the track is a spiral with gaps.</t>
  </si>
  <si>
    <t>Repeating something until a condition is met, and carrying state while you do it.</t>
  </si>
  <si>
    <t>Seen in a real case:  2021 Open 'The Odds for Mr Odd': two-actor round loop, return the round index at which one side hits 0. MEWC 2024 'Mortal Wombat' L5-L7: first turn at which a running total reaches a threshold.</t>
  </si>
  <si>
    <t>Reach for it when:  '2 burgers and 3 fries': you want the 2 and the 3.</t>
  </si>
  <si>
    <t>Seen in a real case:  RTLV 'The Formula Bar and Grill': every level from L2 onward needed this.</t>
  </si>
  <si>
    <t>Shifts letters along the alphabet: a Caesar cipher, including the kind where the shift grows as you go.</t>
  </si>
  <si>
    <t>Seen in a real case:  RTLV 'Whodunnit' called that variant its one genuinely invented mechanic, and this lambda already had it.</t>
  </si>
  <si>
    <t>Seen in a real case:  MEWC 2023 'Cribbage': one row per card per game with rank/value/suit is far easier than parsing inline five times.</t>
  </si>
  <si>
    <t>Seen in a real case:  MEWC 2023 'Backgammon': decode die faces U+2680..U+2685 to 1..6, two glyphs per cell.</t>
  </si>
  <si>
    <t>[start] and [step]: begin at 3 and move 2 at a time</t>
  </si>
  <si>
    <t>[Hstk] = 1: side by side instead</t>
  </si>
  <si>
    <t>Seen in a real case:  Community 2026 'Ben-evolent': 'smallest table depth &gt;= given depth, then read down the column', used twice over.</t>
  </si>
  <si>
    <t>Seen in a real case:  RTLV 2023 'Grocery Store Cleanup': greedy unit-cost knapsack; equal time per unit makes highest-price-first optimal.</t>
  </si>
  <si>
    <t>[AllowRepeatItems] = 1: an item may be chosen twice</t>
  </si>
  <si>
    <t>nothing, it runs from wherever you are</t>
  </si>
  <si>
    <t>Yes: it is arithmetic on a packed number or an address</t>
  </si>
  <si>
    <t>No: needs a real RANGE</t>
  </si>
  <si>
    <t>Yes: dual mode, PASS AN ARRAY (the range path uses implicit intersection and only works alongside the map)</t>
  </si>
  <si>
    <t>Yes: with an array, its top-left counts as A1</t>
  </si>
  <si>
    <t>Yes: it takes a list, from a range or an array</t>
  </si>
  <si>
    <t>n/a: takes text, not a block</t>
  </si>
  <si>
    <t>Yes: but a LIST, not a grid; flatten a 2-D block with TOCOL</t>
  </si>
  <si>
    <t>Yes: and VSTACK of a 3D reference is how you feed it</t>
  </si>
  <si>
    <t>n/a: takes numbers, not a block</t>
  </si>
  <si>
    <t>the release notes</t>
  </si>
  <si>
    <t>CompBot says:  Wraps the active formula in ABS() to make the result positive: distances, differences, gaps, reflections</t>
  </si>
  <si>
    <t>CompBot says:  Wraps the active formula in ROUND(...,0) for a whole number. Round once at the END of a chain; rounding each step compounds the error</t>
  </si>
  <si>
    <t>CompBot says:  Wraps the active array with MOD; turns cumulative movement into a position on a looping board</t>
  </si>
  <si>
    <t>CompBot says:  Returns first column minus last column in array</t>
  </si>
  <si>
    <t>CompBot says:  Wraps the active formula in UNICODE() to turn characters into their code numbers, the first step in most cipher and glyph puzzles</t>
  </si>
  <si>
    <t>CompBot says:  Wraps the active formula in UNICHAR() to turn code numbers back into characters: decoding glyphs, emoji or dice faces</t>
  </si>
  <si>
    <t>CompBot says:  Wraps the active formula in CONCAT() to join an array into one string with no separator, rebuilding a word from its letters</t>
  </si>
  <si>
    <t>CompBot says:  Returns the cell ADDRESS of each value you are looking for on a map, the start point the distance commands need</t>
  </si>
  <si>
    <t>CompBot says:  Folds a single row or column back into a grid of a chosen width, the missing half of Reshape To One Row/Column</t>
  </si>
  <si>
    <t>CompBot says:  As Stack Sheets From Clipboard, but drops empty cells. WARNING: it drops zeros too</t>
  </si>
  <si>
    <t>CompBot says:  Lists every lambda the active workbook's formulas actually call; worth running before clearing anything</t>
  </si>
  <si>
    <t>CompBot says:  As Clear Unused Lambdas, but writes out what it removed and what it kept; use this one when you want to check before trusting it</t>
  </si>
  <si>
    <t>As Clear Unused Lambdas, but writes out what it removed and what it kept; use this one when you want to check before trusting it</t>
  </si>
  <si>
    <t>Returns first column minus last column in array</t>
  </si>
  <si>
    <t>Returns the cell ADDRESS of each value you are looking for on a map, the start point the distance commands need</t>
  </si>
  <si>
    <t>Lists every lambda the active workbook's formulas actually call; worth running before clearing anything</t>
  </si>
  <si>
    <t>Wraps the active array with MOD; turns cumulative movement into a position on a looping board</t>
  </si>
  <si>
    <t>Wraps the active formula in ROUND(...,0) for a whole number. Round once at the END of a chain; rounding each step compounds the error</t>
  </si>
  <si>
    <t>As Stack Sheets From Clipboard, but drops empty cells. WARNING: it drops zeros too</t>
  </si>
  <si>
    <t>Folds a single row or column back into a grid of a chosen width, the missing half of Reshape To One Row/Column</t>
  </si>
  <si>
    <t>Wraps the active formula in ABS() to make the result positive: distances, differences, gaps, reflections</t>
  </si>
  <si>
    <t>Wraps the active formula in CONCAT() to join an array into one string with no separator, rebuilding a word from its letters</t>
  </si>
  <si>
    <t>Wraps the active formula in UNICHAR() to turn code numbers back into characters: decoding glyphs, emoji or dice faces</t>
  </si>
  <si>
    <t>Wraps the active formula in UNICODE() to turn characters into their code numbers, the first step in most cipher and glyph puzzles</t>
  </si>
  <si>
    <t>Returns the shortest distance across a grid, obeying walls. Weighted, so it takes the cheapest route rather than the fewest steps</t>
  </si>
  <si>
    <t>Returns the distance between two cells with independent horizontal, vertical and diagonal step costs, or as straight-line or knight moves; it ignores the map</t>
  </si>
  <si>
    <t>Applies a function to each row, allowing it to return an array (BYROW that tolerates arrays)</t>
  </si>
  <si>
    <t>Applies a function to each column, allowing it to return an array (BYCOL that tolerates arrays)</t>
  </si>
  <si>
    <t>Returns an array with the named columns removed (CHOOSECOLS by exclusion)</t>
  </si>
  <si>
    <t>Returns a block offset within an array, padding rather than stepping outside it (a non-volatile OFFSET)</t>
  </si>
  <si>
    <t>4 · Your lambdas, and CompBot's</t>
  </si>
  <si>
    <t>cases needing it</t>
  </si>
  <si>
    <t>▸  Import Lambdas From CompBot</t>
  </si>
  <si>
    <t>ILC</t>
  </si>
  <si>
    <t>Do it:         Ctrl+Shift+O   →   ILC   →   Enter</t>
  </si>
  <si>
    <t>ILL</t>
  </si>
  <si>
    <t>Do it:         Ctrl+Shift+O   →   ILL   →   Enter</t>
  </si>
  <si>
    <t>Reach for it when:  Your own lambdas are not in a case file. Once SLL is set, Full Setup Case loads them for you, so this is for a file set up some other way.</t>
  </si>
  <si>
    <t>▸  Clear Status Bar</t>
  </si>
  <si>
    <t>CSB</t>
  </si>
  <si>
    <t>Do it:         Ctrl+Shift+O   →   CSB   →   Enter</t>
  </si>
  <si>
    <t>ILC  Import Lambdas From CompBot   (ILL for your own)</t>
  </si>
  <si>
    <t>Clear Lambda Library</t>
  </si>
  <si>
    <t>CLL</t>
  </si>
  <si>
    <t>Forgets your saved lambda library, so ILL and Full Setup Case stop loading it</t>
  </si>
  <si>
    <t>Clear Status Bar</t>
  </si>
  <si>
    <t>SLL, run once, pointing at your library</t>
  </si>
  <si>
    <t>Import Lambdas From CompBot</t>
  </si>
  <si>
    <t>Set Lambda Library</t>
  </si>
  <si>
    <t>SLL</t>
  </si>
  <si>
    <t>nothing: it opens a file picker, pick YOUR library workbook</t>
  </si>
  <si>
    <t>Points CompBot at YOUR lambda library workbook, once; ILL and Full Setup Case then load it</t>
  </si>
  <si>
    <t>not taught</t>
  </si>
  <si>
    <t>Command review: the free collections' commands, checked against 67 past cases. Top 10 by number of cases that needed them.</t>
  </si>
  <si>
    <r>
      <t xml:space="preserve">The two most-needed commands of all are not in the free collections. Look for an Easter </t>
    </r>
    <r>
      <rPr>
        <i/>
        <sz val="10"/>
        <color rgb="FFB07219"/>
        <rFont val="Verdana"/>
        <family val="2"/>
      </rPr>
      <t>egg</t>
    </r>
    <r>
      <rPr>
        <sz val="10"/>
        <color rgb="FF1F2933"/>
        <rFont val="Verdana"/>
        <family val="2"/>
      </rPr>
      <t xml:space="preserve"> in CompBot's command list to find where they live. CompBot now has its own take on both: Save From Example (SFE) and Save Answers To Left (SAL). See C4.</t>
    </r>
  </si>
  <si>
    <t>Bounce back and forth between two walls (on a grid: bounce row and column separately)</t>
  </si>
  <si>
    <t>Move a counter round a board that loops (43 on a 40-square board is square 3)</t>
  </si>
  <si>
    <t>Where can I get to from here at all?</t>
  </si>
  <si>
    <t>How far is it from here to there, going round anything in the way?</t>
  </si>
  <si>
    <t>how many moves from here to there, going round anything in the way?</t>
  </si>
  <si>
    <t>my formula refers to itself (a circular reference)</t>
  </si>
  <si>
    <t>IC   Toggle Iterative Calculation</t>
  </si>
  <si>
    <t>take the examples out of my selection</t>
  </si>
  <si>
    <t>BQX  Clear Bonus From Dock (asks which one)</t>
  </si>
  <si>
    <t>bring back the bonuses I cleared</t>
  </si>
  <si>
    <t>BQR  Restore Cleared Bonuses</t>
  </si>
  <si>
    <t>…and back to the one before</t>
  </si>
  <si>
    <t>BQP  Previous Bonus In Status Bar</t>
  </si>
  <si>
    <t>the status bar is still showing an old message</t>
  </si>
  <si>
    <t>CSB  Clear Status Bar</t>
  </si>
  <si>
    <t>stand anywhere in the level, or on its Example label</t>
  </si>
  <si>
    <t>Builds (or finds) the data table block for the level you are in, beside its inputs, and lands on the last input; fill it with Run Data Table (RDT)</t>
  </si>
  <si>
    <t>CompBot says:  Builds (or finds) the data table block for the level you are in, beside its inputs, and lands on the last input; fill it with Run Data Table (RDT)</t>
  </si>
  <si>
    <t>LDT  ·  LG</t>
  </si>
  <si>
    <t>Do it:         Ctrl+Shift+O   →   LDT   →   Enter</t>
  </si>
  <si>
    <t>a data-table layout to solve the whole level, without What-If table bugs</t>
  </si>
  <si>
    <t>LDT  Load Game Into Calculation</t>
  </si>
  <si>
    <t>Reach for it when:  The end of your session on the machine, after US, before you walk away.</t>
  </si>
  <si>
    <t>Run after:     Update Settings (US), at the end of your session on the machine. GS must have run at the start.</t>
  </si>
  <si>
    <t>Puts the Loaded column (dark blue) back: the machine's own settings, as you found them.</t>
  </si>
  <si>
    <t>Applies the Inputted Settings column (yellow) to Excel: your decimal point, your thousands separator, your list separator.</t>
  </si>
  <si>
    <t>Use System Separators  TRUE
Decimal Separator      .
Thousands Separator    ,
List Separator         ,
Language               English (United States)
Language ID            1033</t>
  </si>
  <si>
    <t>after GS on a competition machine set up for the UK or USA</t>
  </si>
  <si>
    <t>English (United States) settings</t>
  </si>
  <si>
    <t>ARRIVE  →  GS  Get Current Settings   reads the machine's settings into Loaded (dark blue)
SET     →  US  Update Settings        applies YOURS, from Inputted Settings (yellow)
LEAVE   →  RVS Revert Settings        puts Loaded back, at the end of your session</t>
  </si>
  <si>
    <t>If your own list separator is ';', the competition machines are set to ',' as in the UK and USA, so every =SUM(a;b) you type from muscle memory is a syntax error, and under the clock you will blame your formula rather than the machine. Three commands fix that, in this order.</t>
  </si>
  <si>
    <t>Before the case even opens. Five commands for sitting down at a machine that is not yours, say in the Vegas arena.</t>
  </si>
  <si>
    <t>The opening moves. Most of these restructure a workbook, so try them on a real case file. The ones marked RUN IT HERE work in your own copy of this tutorial: make one with SA, below.</t>
  </si>
  <si>
    <t>Full Setup Case (SC, or just Ctrl+Shift+G) is the one-key version of most of this sheet, and it is the highest-scoring of Jaq's own commands across the reviewed cases. Setup Case Settings (SCS) chooses what it does. The rest are here for when you want one piece of it on its own.</t>
  </si>
  <si>
    <t>SC  ·  Ctrl+Shift+G</t>
  </si>
  <si>
    <t>Run after:     nothing, this IS the first move. It loads the lambdas by itself: your own library (if SLL is set) and CompBot's.</t>
  </si>
  <si>
    <t>Do it:         Ctrl+Shift+G,  or  Ctrl+Shift+O   →   SC   →   Enter</t>
  </si>
  <si>
    <t>Reach for it when:  The moment a case is open; it makes your own copy for you.</t>
  </si>
  <si>
    <t>▸  Setup Case Settings</t>
  </si>
  <si>
    <t>SCS</t>
  </si>
  <si>
    <t>Opens CompBot's Setup Settings sheet, where you choose what Full Setup Case does: switch any step off, and choose whose lambdas win when CompBot and your own library share a name. It also shows which lambda library SLL is pointing at.</t>
  </si>
  <si>
    <t>CompBot says:  Opens CompBot's Setup Settings sheet: choose which steps Full Setup Case runs, and whose lambdas win a name clash</t>
  </si>
  <si>
    <t>Do it:         Ctrl+Shift+O   →   SCS   →   Enter</t>
  </si>
  <si>
    <t>Try it on:     This tutorial. Type your name in an empty cell, stand on it, run SA, and carry on in the copy it opens.</t>
  </si>
  <si>
    <t>Reach for it when:  Straight after opening a case, before any command that restructures it. If you overwrite something by mistake mid-solve, the backup still has the original.</t>
  </si>
  <si>
    <t>Try it on:     Run it, then open the Name Box (left of the formula bar): every sheet now has a Sht_ name. Pick Sht_Case and the Case sheet's data is selected.</t>
  </si>
  <si>
    <t>The same, but only for the sheets whose names START with the text in the active cell.</t>
  </si>
  <si>
    <t>Try it on:     Type Level in an empty cell, stand on it and run NURS: only the Level sheets get Sht_ names.</t>
  </si>
  <si>
    <t>Reach for it when:  You want names for some sheets only, say the level sheets and not the backups.</t>
  </si>
  <si>
    <t>Unmerges every merged block that spans more than one ROW, leaving each value in its top-left cell. Select a block first and it does just that block; stand on one ordinary cell and it does the whole sheet.</t>
  </si>
  <si>
    <t>CompBot says:  Unmerges every merged area spanning more than one row (the selection, or the whole sheet), leaving the value in the top-left cell</t>
  </si>
  <si>
    <t>Needs first:   the merged cells selected (one ordinary cell = the whole sheet)</t>
  </si>
  <si>
    <t>Try it on:     The demo block below. Anna and Ben come apart into single cells; the one-row merges stay.</t>
  </si>
  <si>
    <t>Demo block: select it all (or just click Anna), then run the command.</t>
  </si>
  <si>
    <t>Player</t>
  </si>
  <si>
    <t>Round</t>
  </si>
  <si>
    <t>Anna</t>
  </si>
  <si>
    <t>R1</t>
  </si>
  <si>
    <t>R2</t>
  </si>
  <si>
    <t>R3</t>
  </si>
  <si>
    <t>Ben</t>
  </si>
  <si>
    <t>Reach for it when:  Before anything else on a case that arrives with merged cells down the rows.</t>
  </si>
  <si>
    <t>▸  Merged To Centre Across Selection</t>
  </si>
  <si>
    <t>M2C  ·  Unmerge</t>
  </si>
  <si>
    <t>Turns every one-row merge into ordinary cells, with the text centred across the same width (Centre Across Selection): it looks the same, but you can select, fill and spill through it. Same rule: the selection, or the whole sheet.</t>
  </si>
  <si>
    <t>CompBot says:  Merged Cells changed to Centre Across Selection</t>
  </si>
  <si>
    <t>Do it:         Ctrl+Shift+O   →   M2C   →   Enter</t>
  </si>
  <si>
    <t>Try it on:     The demo block above. Player, Round and Points look unchanged; click one and it is a single cell now.</t>
  </si>
  <si>
    <t>Reach for it when:  A case laid out with headings merged across the columns, before you select, fill or spill across them.</t>
  </si>
  <si>
    <t>Shortens every multi-word sheet name to its initials, keeping any numbers: Level 1 Data and Level1 Data both become L1D.</t>
  </si>
  <si>
    <t>CompBot says:  Shortens multi-word sheet names to their initials, keeping numbers (Level 1 Data becomes L1D); backups keep their names</t>
  </si>
  <si>
    <t>Reach for it when:  A case with long tab names: L1D!B4 is much quicker to type than 'Level 1 Data'!B4, and needs no quotes.</t>
  </si>
  <si>
    <t>Reach for it when:  You want a place to work on the inputs alone, without the examples in the way: bonus calculations on the inputs, for instance.</t>
  </si>
  <si>
    <t>CompBot says:  Loads CompBot's own lambdas into the active workbook, replacing older copies unless SCS says your library wins</t>
  </si>
  <si>
    <t>▸  Set Lambda Library  ·  Clear Lambda Library</t>
  </si>
  <si>
    <t>SLL  ·  CLL</t>
  </si>
  <si>
    <t>CompBot says:  SLL: Points CompBot at YOUR lambda library workbook, once; ILL and Full Setup Case then load it. CLL: Forgets your saved lambda library, so ILL and Full Setup Case stop loading it</t>
  </si>
  <si>
    <t>Needs first:   a workbook holding your own lambdas</t>
  </si>
  <si>
    <t>Do it:         Ctrl+Shift+O   →   SLL   →   Enter, then choose your library file</t>
  </si>
  <si>
    <t>Try it on:     Your own library, now. SCS then shows its name on CompBot's Setup Settings sheet.</t>
  </si>
  <si>
    <t>Reach for it when:  Once per computer, before your first case. After that ILL and Full Setup Case load your library by themselves.</t>
  </si>
  <si>
    <t>Needs first:   SLL, once, on this computer</t>
  </si>
  <si>
    <t>This came up in 2/67 cases, including 2026 UK · The Humble MVP Returns The World Tour.</t>
  </si>
  <si>
    <t>This came up in 2/67 cases, including 2021 Open · R6 SF Tripeaks.</t>
  </si>
  <si>
    <t>This came up in 5/67 cases, including 2026 UK · Every Day Im Shuffling.</t>
  </si>
  <si>
    <t>This came up in 4/67 cases, including 2023 RTLV · At the Races.</t>
  </si>
  <si>
    <t>This came up in 2/67 cases, including 2026 UK · Mind the Gap.</t>
  </si>
  <si>
    <t>This came up in 7/67 cases, including 2026 UK · The First Lady of Brazilian Botany.</t>
  </si>
  <si>
    <t>This came up in 7/67 cases, including 2023 RTLV · Table Soccer.</t>
  </si>
  <si>
    <t>This came up in 7/67 cases, including 2025 CHI · 2025 Excel Esports Chile The Excel-ent Joint.</t>
  </si>
  <si>
    <t>This came up in 9/67 cases, including 2025 CHI · 2025 Excel Esports Chile The Excel-ent Joint.</t>
  </si>
  <si>
    <t>This came up in 6/67 cases, including 2026 RTLV · Sunlight Peter Scharl.</t>
  </si>
  <si>
    <t>This came up in 1/67 cases, including 2021 Battle of 16 · R1 Chess with No Stress.</t>
  </si>
  <si>
    <t>This came up in 5/67 cases, including 2023 SA · SAEC Case Steppies en Pofadders.</t>
  </si>
  <si>
    <t>This came up in 8/67 cases, including 2026 RTLV · Tower Defense The Version Vanquisher Jack Franken.</t>
  </si>
  <si>
    <t>SC, Ctrl+Shift+G</t>
  </si>
  <si>
    <t>Loads CompBot's own lambdas into the active workbook, replacing older copies unless SCS says your library wins</t>
  </si>
  <si>
    <t>Shortens multi-word sheet names to their initials, keeping numbers (Level 1 Data becomes L1D); backups keep their names</t>
  </si>
  <si>
    <t>select the merged cells (one ordinary cell = the whole sheet)</t>
  </si>
  <si>
    <t>Unmerges every merged area spanning more than one row (the selection, or the whole sheet), leaving the value in the top-left cell</t>
  </si>
  <si>
    <t>Merged To Centre Across Selection</t>
  </si>
  <si>
    <t>Merged Cells changed to Centre Across Selection</t>
  </si>
  <si>
    <t>Setup Case Settings</t>
  </si>
  <si>
    <t>Opens CompBot's Setup Settings sheet: choose which steps Full Setup Case runs, and whose lambdas win a name clash</t>
  </si>
  <si>
    <t>Everyone has their own lambda collection. Keep it in a workbook of your own, NOT inside CompBot: every CompBot update replaces CompBot completely, so anything saved inside it is lost.
Set Lambda Library (SLL), once: pick that workbook. CompBot remembers where it is, and an update does not change that. Clear Lambda Library (CLL) forgets it.
Full Setup Case (SC, or Ctrl+Shift+G) then loads your lambdas and CompBot's into the case for you. If one of yours has the same name as one of CompBot's, CompBot's version is kept, unless you choose otherwise in Setup Case Settings (SCS). To do it by hand: ILC loads CompBot's, and ILL loads yours.
When you are finished with a case, Clear Unused Lambdas removes every lambda the file does not use, and keeps anything those lambdas call in turn. Use Clear Unused Lambdas with Report the first time: it lists what it removed, with the definitions, so you can put one back. Neither will run on CompBot or on your own library.</t>
  </si>
  <si>
    <t>⚠️ Watch out:</t>
  </si>
  <si>
    <t>Clears the status bar.</t>
  </si>
  <si>
    <t>CompBot says:  Clears the status bar</t>
  </si>
  <si>
    <t>Try it on:     Run CSB after BQN.</t>
  </si>
  <si>
    <t>Reach for it when:  After BQN/BQP, or any command that reports on the status bar (Full Setup Case, ILC, ILL, Run Data Table).</t>
  </si>
  <si>
    <t>Try it on:     Run BQN a few times, then BQP.</t>
  </si>
  <si>
    <t>Try it on:     Run BQN twice and watch the bottom-left of the window.</t>
  </si>
  <si>
    <t>Try it on:     Run BQR after BQX and Bonus 1 comes back.</t>
  </si>
  <si>
    <t>Try it on:     Run BQX and type 1.</t>
  </si>
  <si>
    <t>Try it on:     Run BQ and look at the task pane on the right: Bonus 1 and Bonus 3 are listed, Bonus 2 is not, because Bonus 2 already has an answer.</t>
  </si>
  <si>
    <t>Drops the worked-example rows (one or two of them) from the top of your selection, leaving only the real questions.</t>
  </si>
  <si>
    <t>▸  Go To Example</t>
  </si>
  <si>
    <t>GE</t>
  </si>
  <si>
    <t>From anywhere in a level, jumps to the level's example row, two cells right of its last input: where you start building the solve.</t>
  </si>
  <si>
    <t>CompBot says:  Goes to the level's example row, two cells right of its last input, ready to solve</t>
  </si>
  <si>
    <t>Needs first:   stand anywhere in a level (Case sheet or an L## sheet), or on its Example label</t>
  </si>
  <si>
    <t>Do it:         Ctrl+Shift+O   →   GE   →   Enter</t>
  </si>
  <si>
    <t>Reach for it when:  The start of every level: land on the example row, build the calculation there, then Save From Example.</t>
  </si>
  <si>
    <t>Finding the real questions among the worked examples, and not forgetting the bonuses. GE and XE work on the Case sheet; the bonus commands run from anywhere in the workbook.</t>
  </si>
  <si>
    <t>💼 CASE TEST.  Best tried in a real case file: here it would save this workbook as a _Solve copy, back up every sheet and add level sheets.</t>
  </si>
  <si>
    <t>💼 CASE TEST.  Best tried in a real case, or a new workbook with a tab called Level 1 Data: renaming this workbook's tabs would break the menu links on the left.</t>
  </si>
  <si>
    <t>💼 CASE TEST.  Best tried in a case file: it refuses to run here anyway, because this workbook has CompBot in its name.</t>
  </si>
  <si>
    <t>💼 CASE TEST.  Best tried in a case file, for the same reason.</t>
  </si>
  <si>
    <t>GE  Go To Example</t>
  </si>
  <si>
    <t>Clears the status bar</t>
  </si>
  <si>
    <t>Go To Example</t>
  </si>
  <si>
    <t>stand anywhere in a level, or on its Example label</t>
  </si>
  <si>
    <t>Goes to the level's example row, two cells right of its last input, ready to solve</t>
  </si>
  <si>
    <t>▸  Link Answer Cell</t>
  </si>
  <si>
    <t>ANS</t>
  </si>
  <si>
    <t>Points the level's data table ANSWER cell at the cell you are standing on: your example calculation's output. The step between CDT and RDT.</t>
  </si>
  <si>
    <t>CompBot says:  Points the level's data table ANSWER cell at the active cell (your calculation's output); then run RDT</t>
  </si>
  <si>
    <t>Needs first:   stand on your example calculation's OUTPUT cell</t>
  </si>
  <si>
    <t>Run after:     Create Data Table (CDT), with your working built beside the block</t>
  </si>
  <si>
    <t>Do it:         Ctrl+Shift+O   →   ANS   →   Enter</t>
  </si>
  <si>
    <t>Reach for it when:  Every data-table level, as soon as your example works: no hunting for the ANSWER cell and typing the link.</t>
  </si>
  <si>
    <t>Link Answer Cell</t>
  </si>
  <si>
    <t>stand on your example calculation's OUTPUT cell</t>
  </si>
  <si>
    <t>Points the level's data table ANSWER cell at the active cell (your calculation's output); then run RDT</t>
  </si>
  <si>
    <t>💼 CASE TEST.   Best tried in a real case file, usually as part of Full Setup Case.</t>
  </si>
  <si>
    <t>⚠️ Watch out:  what to be careful of before you rely on it.</t>
  </si>
  <si>
    <t>📍 RUN IT HERE  /  🧪 ON THE DEMO SHEETS.   Try it in this workbook: on this sheet, or on the demo sheets.</t>
  </si>
  <si>
    <t>🌍 RUN IT ANYWHERE.   Works from any sheet (or, where it says so, any workbook); nothing here changes.</t>
  </si>
  <si>
    <t>🌍 RUN IT ANYWHERE IN EXCEL.  It works on Excel's settings, not on a sheet, so use it wherever you are.</t>
  </si>
  <si>
    <t>🌍 RUN IT ANYWHERE IN EXCEL.  It opens a sheet in CompBot, so use it wherever you are.</t>
  </si>
  <si>
    <t>📍 RUN IT HERE.  Type your name in any empty cell, stand on it and run SA. You get your own copy of this tutorial to try things in, and the original stays pristine.</t>
  </si>
  <si>
    <t>📍 RUN IT HERE, IN YOUR COPY.  It only adds names; nothing on the sheets changes.</t>
  </si>
  <si>
    <t>📍 RUN IT HERE.  On the demo block below: select the block first.</t>
  </si>
  <si>
    <t>📍 RUN IT HERE.  On the same demo block: select it first.</t>
  </si>
  <si>
    <t>📍 RUN IT HERE, IN YOUR COPY.  It adds a tab, so run SA first and keep the original tutorial pristine.</t>
  </si>
  <si>
    <t>🌍 RUN IT ANYWHERE IN EXCEL.  It saves a setting on this computer; nothing in any workbook changes.</t>
  </si>
  <si>
    <t>📍 RUN IT HERE, IN YOUR COPY.  If you set SLL above: your lambdas load into this workbook, and the status bar lists what was added and skipped.</t>
  </si>
  <si>
    <t>🧪 RUN IT ON THE DEMO SHEETS.  Use the Case sheet in this workbook.</t>
  </si>
  <si>
    <t>🧪 RUN IT ON THE DEMO SHEETS.  Use the Case / Demo maps / Area sheets in this workbook.</t>
  </si>
  <si>
    <t>🌍 RUN IT ANYWHERE IN THIS WORKBOOK.  It reads the bonuses from the Case sheet, so run it from right here.</t>
  </si>
  <si>
    <t>🌍 RUN IT ANYWHERE IN EXCEL.  It only clears the status bar.</t>
  </si>
  <si>
    <t>📍 RUN IT HERE.  Everything this lesson needs is on this sheet.</t>
  </si>
  <si>
    <t>📍 RUN IT HERE / 🧪 ON THE DEMO SHEETS / 🌍 ANYWHERE / 💼 CASE TEST:</t>
  </si>
  <si>
    <t>▸  Save Answer To Bonus 1 to 5</t>
  </si>
  <si>
    <t>B1 to B5</t>
  </si>
  <si>
    <t>Links the cell you are standing on into a bonus's answer cell, goes there and copies it, ready to paste into the submission site. Five commands, one per bonus.</t>
  </si>
  <si>
    <t>CompBot says:  Links the active cell (any sheet) into the Bonus N answer cell, goes there and copies it for the submission site.</t>
  </si>
  <si>
    <t>Needs first:   stand on the cell holding your bonus answer, on any sheet</t>
  </si>
  <si>
    <t>Run after:     your bonus formula, e.g. a MAX or SUM over a SIDE column once RDT has run</t>
  </si>
  <si>
    <t>Do it:         Ctrl+Shift+O   →   B3   →   Enter     (B1 to B5, one per bonus)</t>
  </si>
  <si>
    <t>Reach for it when:  Every bonus you answer. The link keeps the answer live if you fix the working, and the copy is ready for the submission site.</t>
  </si>
  <si>
    <t>▸  Link Side Cell</t>
  </si>
  <si>
    <t>LSC</t>
  </si>
  <si>
    <t>Adds a SIDE column to the level's data table, pointed at the cell you are standing on, so Run Data Table records a second number for every game: the one a bonus needs.</t>
  </si>
  <si>
    <t>Needs first:   stand on the cell in your calculation that holds the bonus number for the loaded game</t>
  </si>
  <si>
    <t>Run after:     Create Data Table (CDT) and Link Answer Cell (ANS)</t>
  </si>
  <si>
    <t>Do it:         Ctrl+Shift+O   →   LSC   →   Enter</t>
  </si>
  <si>
    <t>Reach for it when:  A bonus needs a different number from every game of a level you have already solved with a data table: a count, a maximum, a second score. One run of RDT fills both.</t>
  </si>
  <si>
    <t>Walks the data-table block game by game, dropping each game's inputs into your example calculation and freezing the answer it produces, and every SIDE column's value too, from the same pass.</t>
  </si>
  <si>
    <t>Run after:     Create Data Table (CDT), then Link Answer Cell (ANS) on your example's output; Link Side Cell (LSC) for any bonus numbers.</t>
  </si>
  <si>
    <t>Link Side Cell</t>
  </si>
  <si>
    <t>stand on the cell in your calculation holding the SIDE value</t>
  </si>
  <si>
    <t>Save Answer To Bonus 1</t>
  </si>
  <si>
    <t>B1</t>
  </si>
  <si>
    <t>stand on your bonus answer, on any sheet</t>
  </si>
  <si>
    <t>Links the active cell (any sheet) into the Bonus 1 answer cell, goes there and copies it for the submission site.</t>
  </si>
  <si>
    <t>Save Answer To Bonus 2</t>
  </si>
  <si>
    <t>B2</t>
  </si>
  <si>
    <t>Links the active cell (any sheet) into the Bonus 2 answer cell, goes there and copies it for the submission site.</t>
  </si>
  <si>
    <t>Save Answer To Bonus 3</t>
  </si>
  <si>
    <t>B3</t>
  </si>
  <si>
    <t>Links the active cell (any sheet) into the Bonus 3 answer cell, goes there and copies it for the submission site.</t>
  </si>
  <si>
    <t>Save Answer To Bonus 4</t>
  </si>
  <si>
    <t>B4</t>
  </si>
  <si>
    <t>Links the active cell (any sheet) into the Bonus 4 answer cell, goes there and copies it for the submission site.</t>
  </si>
  <si>
    <t>Save Answer To Bonus 5</t>
  </si>
  <si>
    <t>B5</t>
  </si>
  <si>
    <t>Links the active cell (any sheet) into the Bonus 5 answer cell, goes there and copies it for the submission site.</t>
  </si>
  <si>
    <t>nSet_byJaqKennedy</t>
  </si>
  <si>
    <t>Returns the values found in both arrays (their intersection), each once</t>
  </si>
  <si>
    <t>Yes: any shape, returned as one column</t>
  </si>
  <si>
    <t>uSet_byJaqKennedy</t>
  </si>
  <si>
    <t>Returns every value found in either array (their union), each once</t>
  </si>
  <si>
    <t>a bonus needs another number from every game</t>
  </si>
  <si>
    <t>LSC  Link Side Cell, then RDT</t>
  </si>
  <si>
    <t>put this answer in the Bonus 3 cell and copy it</t>
  </si>
  <si>
    <t>B3   Save Answer To Bonus 3  (B1 to B5)</t>
  </si>
  <si>
    <t>Which values are in BOTH lists?</t>
  </si>
  <si>
    <t>...or in EITHER list, each once?</t>
  </si>
  <si>
    <t>CDT, ANS, then RDT</t>
  </si>
  <si>
    <t>▸  nSet_byJaqKennedy  ·  uSet_byJaqKennedy</t>
  </si>
  <si>
    <t>The two set lambdas beside NotInList: nSet gives the values two lists SHARE (their intersection), uSet every value in EITHER (their union), each value once.</t>
  </si>
  <si>
    <t>You give it:  nSet_byJaqKennedy(first list, second list, [skip_blanks_zeros])   ·   uSet_byJaqKennedy(first list, second list, [skip_blanks_zeros])</t>
  </si>
  <si>
    <t>Reach for it when:  'Which of these appear in both?' (players in both rounds, codes on both maps) and 'What is everything we have seen?' (every item across two lists, no repeats). With NotInList that covers in both, in either, and in one but not the other.</t>
  </si>
  <si>
    <t>nSet: the values in BOTH lists, each once, in the FIRST list's order</t>
  </si>
  <si>
    <t>uSet: every value in EITHER list, once each: the first list's, then the second's new ones</t>
  </si>
  <si>
    <t>any shape goes in, a grid too; by default blanks, empty text and 0 are left out</t>
  </si>
  <si>
    <t>[skip_blanks_zeros] = FALSE keeps them: here the 0 is a real value, so it counts</t>
  </si>
  <si>
    <t>Nothing to see here 👀 (Easter Egg Fun)</t>
  </si>
  <si>
    <t>SC   Full Setup Case  (Ctrl+Shift+G)</t>
  </si>
  <si>
    <t>⚠️ Watch out:  Run it before Update Settings: Revert Settings restores what this captured, so without it you cannot put the machine back as you found it.</t>
  </si>
  <si>
    <t>⚠️ Watch out:  It changes Excel only, not the Windows regional settings, and the machine stays changed until you run Revert Settings.</t>
  </si>
  <si>
    <t>⚠️ Watch out:  Not optional: leaving a shared competition machine changed can get you disqualified. Hand it back exactly as you found it.</t>
  </si>
  <si>
    <t>⚠️ Watch out:  It is a toggle, so check the status bar for which mode you are now in. In Manual mode a stale answer looks exactly like a fresh one.</t>
  </si>
  <si>
    <t>⚠️ Watch out:  It is a toggle, so check the status bar for whether iteration is now on or off.</t>
  </si>
  <si>
    <t>⚠️ Watch out:  It names the copy from the active cell, so check what you are standing on first.</t>
  </si>
  <si>
    <t>⚠️ Watch out:  It adds a BU_ copy of every sheet; run it before you change anything.</t>
  </si>
  <si>
    <t>⚠️ Watch out:  Names are fixed at the size of each sheet when you ran it; run it again after adding rows or columns.</t>
  </si>
  <si>
    <t>⚠️ Watch out:  It reads the active cell for the sheet-name prefix; on an empty cell it names every sheet.</t>
  </si>
  <si>
    <t>⚠️ Watch out:  With one cell selected it does the whole sheet, and Ctrl+Z cannot undo it. Typing Unmerge also finds M2C: check which is highlighted before Enter.</t>
  </si>
  <si>
    <t>⚠️ Watch out:  With one cell selected it does the whole sheet, and Ctrl+Z cannot undo it.</t>
  </si>
  <si>
    <t>⚠️ Watch out:  A short name that looks like a cell address (L1, AB12) must be quoted in formulas: 'L1'!B4. Clashing names get _2 on the end.</t>
  </si>
  <si>
    <t>⚠️ Watch out:  Optional: Show Bonus Dock works with or without sheet B.</t>
  </si>
  <si>
    <t>⚠️ Watch out:  It names the new sheet from the active cell.</t>
  </si>
  <si>
    <t>⚠️ Watch out:  It replaces any lambda of the same name already in the file, unless Setup Case Settings (SCS) says your library wins.</t>
  </si>
  <si>
    <t>⚠️ Watch out:  Saved on this computer only, so a new machine needs SLL again. Keep your library outside CompBot, because an update replaces CompBot's file.</t>
  </si>
  <si>
    <t>⚠️ Watch out:  A lambda already in the file is skipped, not overwritten, and named on the status bar; Setup Case Settings (SCS) can make your library win instead.</t>
  </si>
  <si>
    <t>⚠️ Watch out:  It finds the level from the 'Level #' heading above you; on an unusual layout, check where it lands.</t>
  </si>
  <si>
    <t>⚠️ Watch out:  It does not update by itself; re-run it to refresh.</t>
  </si>
  <si>
    <t>⚠️ Watch out:  Cleared bonuses stay hidden after closing and reopening the case; Restore Cleared Bonuses brings them back.</t>
  </si>
  <si>
    <t>⚠️ Watch out:  Excel cuts the status bar at 255 characters, so a long question is truncated.</t>
  </si>
  <si>
    <t>⚠️ Watch out:  It is static, not an Excel data table: run RDT to fill it. Game numbers stored as text give silent #N/A rows, and two levels on one sheet sharing game numbers return the wrong level's data while Check says MATCH.</t>
  </si>
  <si>
    <t>⚠️ Watch out:  Stand on the output cell inside the level you want linked; it refuses if the level has no block yet.</t>
  </si>
  <si>
    <t>⚠️ Watch out:  Each SIDE column takes the next column right of the block, so keep that space clear. A SIDE column added after RDT shows #N/A until you run RDT again, and no command removes it.</t>
  </si>
  <si>
    <t>⚠️ Watch out:  This is not an Excel data table: nothing updates by itself, so run RDT again after any change to your calculation. Then read the status bar: it says whether your example MATCHes the known answer, how many games returned errors, and whether a volatile function makes the results untrustworthy.</t>
  </si>
  <si>
    <t>⚠️ Watch out:  It overwrites the example's inputs; select the INPUT cell and run it again, or run RDT, to put the example back.</t>
  </si>
  <si>
    <t>⚠️ Watch out:  It writes into the level's empty answer cells and leaves the saved references on the clipboard, replacing whatever you had copied.</t>
  </si>
  <si>
    <t>⚠️ Watch out:  It saves references, not values, so answers change if your working changes; paste as values at the end if the case needs static answers.</t>
  </si>
  <si>
    <t>⚠️ Watch out:  It replaces whatever you had copied. If it cannot save the answer, it says so on the status bar: check there.</t>
  </si>
  <si>
    <t>⚠️ Watch out:  It replaces the formula you are standing on rather than adding a column beside it.</t>
  </si>
  <si>
    <t>⚠️ Watch out:  Stand on the cell of the spill you want, not on the formula at its top-left.</t>
  </si>
  <si>
    <t>⚠️ Watch out:  It filters whole rows: on a block it keeps any row with something in it, and does not close up gaps within a row.</t>
  </si>
  <si>
    <t>⚠️ Watch out:  Round once, at the end of a chain; rounding each step compounds the error and can change the answer.</t>
  </si>
  <si>
    <t>⚠️ Watch out:  MM is the `--` keystroke, not a word.</t>
  </si>
  <si>
    <t>⚠️ Watch out:  If spaces are numbered 1 to N, this gives a plausible but wrong answer; use Modulo Array 1-Based.</t>
  </si>
  <si>
    <t>⚠️ Watch out:  Use plain Modulo Array where spaces are numbered 0 to N-1.</t>
  </si>
  <si>
    <t>⚠️ Watch out:  It splits on semicolons only; for any other delimiter use Split Text by Delimiter Above.</t>
  </si>
  <si>
    <t>⚠️ Watch out:  Keep the IFERROR: without it every single-word cell errors.</t>
  </si>
  <si>
    <t>⚠️ Watch out:  Copy the grid first: it reads the range to search from the clipboard.</t>
  </si>
  <si>
    <t>⚠️ Watch out:  It needs a named range or table to look in.</t>
  </si>
  <si>
    <t>⚠️ Watch out:  Copy the direction first: it reads it from the clipboard.</t>
  </si>
  <si>
    <t>⚠️ Watch out:  Nothing found returns "Not Found", not an error. Typed by hand, FindInMap takes the items first and the map second, unlike the rest of the map family.</t>
  </si>
  <si>
    <t>⚠️ Watch out:  Only cells holding a number are walkable (blanks and text are walls), and it needs a real range on a sheet, not a calculated array.</t>
  </si>
  <si>
    <t>⚠️ Watch out:  A 90 or 270 turn swaps rows and columns, so leave room for the new shape.</t>
  </si>
  <si>
    <t>⚠️ Watch out:  A list that does not fill the last row is padded with blanks rather than erroring.</t>
  </si>
  <si>
    <t>⚠️ Watch out:  Copy the sheet-name list first. It stacks everything in the used range of those sheets, so titles, notes and stray totals land at the top of your table.</t>
  </si>
  <si>
    <t>⚠️ Watch out:  It drops zeros as well as blanks, so on a numeric grid real zeros silently vanish; use plain STK where zero matters.</t>
  </si>
  <si>
    <t>⚠️ Watch out:  If nothing is being recorded, it does nothing.</t>
  </si>
  <si>
    <t>⚠️ Watch out:  It writes a new sheet, so running it adds a tab. No launch code: type the name.</t>
  </si>
  <si>
    <t>⚠️ Watch out:  It deletes from the active workbook and cannot be undone; check which workbook is active first.</t>
  </si>
  <si>
    <t>⚠️ Watch out:  Consecutives needs it, so keep both in the workbook.</t>
  </si>
  <si>
    <t>⚠️ Watch out:  [groups] = 1 gives each element the size of its whole run, not the count so far.</t>
  </si>
  <si>
    <t>⚠️ Watch out:  The Address column is the bare cell reference, without the sheet name; add the sheet yourself if you need a full reference.</t>
  </si>
  <si>
    <t>⚠️ Watch out:  It takes a list, not a grid: flatten a 2-D block with TOCOL first.</t>
  </si>
  <si>
    <t>⚠️ Watch out:  Matching ignores case, and by default blanks and zeros are dropped together: pass FALSE when 0 is a real value.</t>
  </si>
  <si>
    <t>⚠️ Watch out:  It counts the value anywhere above, not a consecutive run; for runs use Consecutives.</t>
  </si>
  <si>
    <t>⚠️ Watch out:  Switch on any one column picker and you get only the flagged columns. Empty cells are dropped unless you ask for them; zeros are kept.</t>
  </si>
  <si>
    <t>⚠️ Watch out:  It splits the first column only, and blank pieces are dropped.</t>
  </si>
  <si>
    <t>⚠️ Watch out:  It needs a real range on a sheet, not a calculated array.</t>
  </si>
  <si>
    <t>⚠️ Watch out:  'In any orientation' means all eight: use Rotate and Flip together.</t>
  </si>
  <si>
    <t>⚠️ Watch out:  It cannot reach outside the array you hand it, unlike real OFFSET.</t>
  </si>
  <si>
    <t>⚠️ Watch out:  It needs VStacks_byHadynWiseman in the workbook too.</t>
  </si>
  <si>
    <t>⚠️ Watch out:  It wants a list, not a word: a single string is one item, so split it first.</t>
  </si>
  <si>
    <t>⚠️ Watch out:  Each item is in or out once, and capacity and weights must be whole numbers.</t>
  </si>
  <si>
    <t>⚠️ Watch out:  These grow very fast: ten stops is 3.6 million routes. Check the size before you spill it.</t>
  </si>
  <si>
    <t>Next lesson: C4 Solve a level  ▸</t>
  </si>
  <si>
    <t>Next lesson: C5 Wrap a formula  ▸</t>
  </si>
  <si>
    <t>Next lesson: C8 Housekeeping  ▸</t>
  </si>
  <si>
    <t>🧪 Read this sheet, then run every demo in one go: the C3 checklist on the Case sheet  ▸</t>
  </si>
  <si>
    <t>🧪 Read this sheet, then run every demo in one go: the C4 checklist on the Case sheet  ▸</t>
  </si>
  <si>
    <t>🧪 Read this sheet, then run every demo in one go: the C7 checklist on the Case sheet  ▸</t>
  </si>
  <si>
    <t>🧪 NOW RUN THEM ALL: this sheet's demos, in order, on the Case sheet  ▸</t>
  </si>
  <si>
    <t>Data Table Solves</t>
  </si>
  <si>
    <t>Bonuses</t>
  </si>
  <si>
    <t>Single Row Solves</t>
  </si>
  <si>
    <t>Needs first:   stand anywhere in the level</t>
  </si>
  <si>
    <t>Try it on:     Level 1 on the Case sheet: one formula on the example row fills and saves the whole level.</t>
  </si>
  <si>
    <t>Try it on:     Level 3 on the Case sheet: numbers typed beside the answer column are saved into it.</t>
  </si>
  <si>
    <t>Try it on:     Level 2 on the Case sheet: the block is built beside the Rolls input.</t>
  </si>
  <si>
    <t>Try it on:     Level 2 on the Case sheet: the block's ANSWER is linked to your working.</t>
  </si>
  <si>
    <t>Try it on:     Level 2 on the Case sheet: a SIDE column records each game's largest roll, for Bonus 3.</t>
  </si>
  <si>
    <t>Try it on:     Level 2 on the Case sheet: every game's answer and largest roll in one run.</t>
  </si>
  <si>
    <t>Try it on:     Level 2 on the Case sheet: game 7 loads into the calculation, then the example goes back.</t>
  </si>
  <si>
    <t>Try it on:     Bonus 3 on the Case sheet: the largest roll is linked into its answer cell and copied.</t>
  </si>
  <si>
    <t>Reach for it when:  The solve can be done in a single row (or cell!).</t>
  </si>
  <si>
    <t>Reach for it when:  You have calculated the answers to the right of the answer cells and want to paste them over and copy.</t>
  </si>
  <si>
    <t>Builds a static results block for a level (one row per game) and links the level's answer cells to it; Run Data Table then fills it in game by game.</t>
  </si>
  <si>
    <t>Takes the case out of Protected View and saves your own working copy, named from the active cell (or 'Working' if that cell is empty). Included in Full Setup Case unless you turn it off in Setup Case Settings (SCS).</t>
  </si>
  <si>
    <t>Copies every sheet in the workbook, so you have the untouched data next to the one you are about to cut up. Included in Full Setup Case unless you turn it off in Setup Case Settings (SCS).</t>
  </si>
  <si>
    <t>💼 CASE TEST.  Best tried in a real case, or a new blank workbook (Ctrl+N) with a sheet or two: here it would copy all 28 sheets.</t>
  </si>
  <si>
    <t>Gives every sheet's used range a defined name, Sht_ plus the sheet's name, in one run. Included in Full Setup Case unless you turn it off in Setup Case Settings (SCS).</t>
  </si>
  <si>
    <t>Reach for it when:  A case where you will write a lot of cross-sheet formulas and would rather type Sht_L03 than L03!$B$14:$H$60.</t>
  </si>
  <si>
    <t>Splits the Case sheet's stacked level blocks into one sheet per level. Included in Full Setup Case unless you turn it off in Setup Case Settings (SCS).</t>
  </si>
  <si>
    <t>💼 CASE TEST.  Best tried in a real case: here the new sheets would land far from this lesson.</t>
  </si>
  <si>
    <t>💼 CASE TEST.  Best tried in a real case: here the new sheet would land far from this lesson.</t>
  </si>
  <si>
    <t>Builds a sheet called B holding the case's bonus questions, so they are in one place instead of scattered through the Case sheet. Included in Full Setup Case unless you turn it off in Setup Case Settings (SCS).</t>
  </si>
  <si>
    <t>💼 CASE TEST.  Best tried in a real case: here it would add a sheet B.</t>
  </si>
  <si>
    <t>Copies CompBot's whole lambda library into the workbook you are working in, so the case file can call them. An older copy of a CompBot lambda already in the file is replaced by the current one. Included in Full Setup Case unless you turn it off in Setup Case Settings (SCS).</t>
  </si>
  <si>
    <t>💼 CASE TEST.  Best tried in a case file: this workbook already carries every lambda the examples call.</t>
  </si>
  <si>
    <t>Reach for it when:  A case file that did not go through Full Setup Case, or one set up with an older CompBot.</t>
  </si>
  <si>
    <t>Loads YOUR own lambda library into the workbook you are working in. Included in Full Setup Case unless you turn it off in Setup Case Settings (SCS).</t>
  </si>
  <si>
    <t>⚠️ Watch out:  It runs only the steps switched on in Setup Case Settings (SCS), so check them first. Run it once: a second run fails on the sheets it already made.</t>
  </si>
  <si>
    <t>⚠️ Watch out:  It repaints the input cells pale yellow, so read any colour-only data from the Case sheet or its BU_ copy.</t>
  </si>
  <si>
    <t>⚠️ Watch out:  On a non-standard layout, check what is left selected after you run it.</t>
  </si>
  <si>
    <t>RUN THE C3, C4 AND C7 DEMOS HERE, from the checklists beside the case. Work in your own copy (SA, lesson C2); for a clean sheet, open the original tutorial again.</t>
  </si>
  <si>
    <r>
      <t>BQ</t>
    </r>
    <r>
      <rPr>
        <sz val="9"/>
        <color rgb="FF1F2933"/>
        <rFont val="Verdana"/>
        <family val="2"/>
      </rPr>
      <t xml:space="preserve">   Run BQ: the dock lists Bonus 1 and 3 (Bonus 2 is answered).</t>
    </r>
  </si>
  <si>
    <r>
      <t>BQX</t>
    </r>
    <r>
      <rPr>
        <sz val="9"/>
        <color rgb="FF1F2933"/>
        <rFont val="Verdana"/>
        <family val="2"/>
      </rPr>
      <t xml:space="preserve">   Run BQX, type 1: Bonus 1 leaves the dock.</t>
    </r>
  </si>
  <si>
    <r>
      <t>BQR</t>
    </r>
    <r>
      <rPr>
        <sz val="9"/>
        <color rgb="FF1F2933"/>
        <rFont val="Verdana"/>
        <family val="2"/>
      </rPr>
      <t xml:space="preserve">   Run BQR: Bonus 1 comes back.</t>
    </r>
  </si>
  <si>
    <r>
      <t>BQN</t>
    </r>
    <r>
      <rPr>
        <sz val="9"/>
        <color rgb="FF1F2933"/>
        <rFont val="Verdana"/>
        <family val="2"/>
      </rPr>
      <t xml:space="preserve">   Run BQN twice: watch the status bar.</t>
    </r>
  </si>
  <si>
    <r>
      <t>BQP</t>
    </r>
    <r>
      <rPr>
        <sz val="9"/>
        <color rgb="FF1F2933"/>
        <rFont val="Verdana"/>
        <family val="2"/>
      </rPr>
      <t xml:space="preserve">   Run BQP: the status bar steps back one bonus.</t>
    </r>
  </si>
  <si>
    <r>
      <t>CSB</t>
    </r>
    <r>
      <rPr>
        <sz val="9"/>
        <color rgb="FF1F2933"/>
        <rFont val="Verdana"/>
        <family val="2"/>
      </rPr>
      <t xml:space="preserve">   Run CSB: the status bar clears.</t>
    </r>
  </si>
  <si>
    <r>
      <t>RDT</t>
    </r>
    <r>
      <rPr>
        <sz val="9"/>
        <color rgb="FF1F2933"/>
        <rFont val="Verdana"/>
        <family val="2"/>
      </rPr>
      <t xml:space="preserve">   Click in the block, run RDT: the answers fill and the status bar says MATCH.</t>
    </r>
  </si>
  <si>
    <t>Try it on:     Switch 'Create the level sheets' off and back on. With CompBot open for editing, each change is saved in it at once.</t>
  </si>
  <si>
    <t>Reach for it when:  You do not want every step: you prefer solving on the Case sheet without level sheets, say, or you only want the copy and your own lambdas. And on any new or shared machine: its sheet ends with an arena checklist.</t>
  </si>
  <si>
    <t>⚠️ Watch out:  Your choices live in your copy of CompBot: open it for editing to keep a change. A CompBot update puts them all back on.</t>
  </si>
  <si>
    <t>There are 3 main solve methods for Excel levels: (1) solve it in a single cell. Here you can just put the calculation directly in the answer cell; (2) solve it in a single row. Solving each row one below the other means you can simply link the column with the answers back to the "Answer" cell in that row; or (3) use a data table setup to solve the level over multiple rows. Once you've solved the example, you can then rerun the data table to generate the answers for each question in the level.</t>
  </si>
  <si>
    <t>Options (2) and (3) are made easier with CompBot commands. Note that CompBot does not create an actual Excel Data Table but generates an equivalent to prevent repeated calculations slowing down the workbook. You can set it up, assign an answer, and recalculate the table in 3 separate commands.</t>
  </si>
  <si>
    <t>At the end of this sheet you can find a link to demo these lessons on the Case sheet.</t>
  </si>
  <si>
    <t>Beside Level 2 (rows 20 to 30), columns H onwards stay EMPTY: Create Data Table builds its block there.</t>
  </si>
  <si>
    <r>
      <t>GE</t>
    </r>
    <r>
      <rPr>
        <sz val="9"/>
        <color rgb="FF1F2933"/>
        <rFont val="Verdana"/>
        <family val="2"/>
      </rPr>
      <t xml:space="preserve">   Click in the Level 2 block, run GE: you land on H22.</t>
    </r>
  </si>
  <si>
    <r>
      <t>XE</t>
    </r>
    <r>
      <rPr>
        <sz val="9"/>
        <color rgb="FF1F2933"/>
        <rFont val="Verdana"/>
        <family val="2"/>
      </rPr>
      <t xml:space="preserve">   Select B11:G17, run XE: only the questions, B13:G17, stay selected.</t>
    </r>
  </si>
  <si>
    <r>
      <t>SFE</t>
    </r>
    <r>
      <rPr>
        <sz val="9"/>
        <color rgb="FF1F2933"/>
        <rFont val="Verdana"/>
        <family val="2"/>
      </rPr>
      <t xml:space="preserve">   In I11 type =F11+G11, run SFE: Level 1's answers fill D13:D17.</t>
    </r>
  </si>
  <si>
    <r>
      <t>SAL</t>
    </r>
    <r>
      <rPr>
        <sz val="9"/>
        <color rgb="FF1F2933"/>
        <rFont val="Verdana"/>
        <family val="2"/>
      </rPr>
      <t xml:space="preserve">   Type five numbers in I35:I39, select them, run SAL: D35:D39 point at them.</t>
    </r>
  </si>
  <si>
    <r>
      <t>CDT</t>
    </r>
    <r>
      <rPr>
        <sz val="9"/>
        <color rgb="FF1F2933"/>
        <rFont val="Verdana"/>
        <family val="2"/>
      </rPr>
      <t xml:space="preserve">   Click in Level 2, run CDT: a block at H22, and the green answers link to it.</t>
    </r>
  </si>
  <si>
    <r>
      <t>ANS</t>
    </r>
    <r>
      <rPr>
        <sz val="9"/>
        <color rgb="FF1F2933"/>
        <rFont val="Verdana"/>
        <family val="2"/>
      </rPr>
      <t xml:space="preserve">   In J22 type =SUM(--TEXTSPLIT(I22,";")), run ANS: Check says MATCH.</t>
    </r>
  </si>
  <si>
    <r>
      <t>LSC</t>
    </r>
    <r>
      <rPr>
        <sz val="9"/>
        <color rgb="FF1F2933"/>
        <rFont val="Verdana"/>
        <family val="2"/>
      </rPr>
      <t xml:space="preserve">   In K22 type =MAX(--TEXTSPLIT(I22,";")), run LSC: J24 says SIDE 1.</t>
    </r>
  </si>
  <si>
    <r>
      <t>LDT</t>
    </r>
    <r>
      <rPr>
        <sz val="9"/>
        <color rgb="FF1F2933"/>
        <rFont val="Verdana"/>
        <family val="2"/>
      </rPr>
      <t xml:space="preserve">   Click I27, run LDT: game 7 loads. Click I22, run LDT again to restore.</t>
    </r>
  </si>
  <si>
    <r>
      <t>B3</t>
    </r>
    <r>
      <rPr>
        <sz val="9"/>
        <color rgb="FF1F2933"/>
        <rFont val="Verdana"/>
        <family val="2"/>
      </rPr>
      <t xml:space="preserve">   In L25 type =MAX(J26:J30), run B3: D46 becomes 6, copied.</t>
    </r>
  </si>
  <si>
    <t>Try it on:     Case sheet. Stand anywhere in the Level 2 block and run GE: you land on H22, two cells right of Example2's last input.</t>
  </si>
  <si>
    <t>▸  Sum False</t>
  </si>
  <si>
    <t>SF</t>
  </si>
  <si>
    <t>The opposite count: how many results are FALSE (or 0), so how many rows FAIL the test.</t>
  </si>
  <si>
    <t>CompBot says:  Counts the FALSE (0) values in an array: how many rows fail the test. Anything non-zero, such as 2 from an OR built with +, counts as TRUE</t>
  </si>
  <si>
    <t>Do it:         Ctrl+Shift+O   →   SF   →   Enter</t>
  </si>
  <si>
    <t>AFTER     =MM_byHaDang(MM_byHaDang($E$14:$E$18&gt;4)=0,1)</t>
  </si>
  <si>
    <t>which values are over 4 (TRUE) and which are not (FALSE)</t>
  </si>
  <si>
    <t>Reach for it when:  'How many rows fail this test': the count of the FALSE results.</t>
  </si>
  <si>
    <t>⚠️ Watch out:  Only zeros count as FALSE: a 2 from an OR built with + counts as TRUE.</t>
  </si>
  <si>
    <t>The double-minus and a SUM in one, so you get the COUNT of TRUEs straight out rather than the 1/0 list.</t>
  </si>
  <si>
    <t>CompBot says:  Counts the TRUE values in an array (applies -- and sums it): the usual way to answer 'how many rows pass this test'</t>
  </si>
  <si>
    <t>Do it:         Ctrl+Shift+O   →   ST   →   Enter     (MMS works too)</t>
  </si>
  <si>
    <t>Reach for it when:  'How many rows pass this test', the commonest counting question there is.</t>
  </si>
  <si>
    <t>⚠️ Watch out:  Duplicate launch code: ST is also Split Text by Delimiter Above, so check which is highlighted before Enter.</t>
  </si>
  <si>
    <t>Try it ↓   The BEFORE cell is live. Stand on it, run the command, type 12 in the popup, and you get the AFTER cell.</t>
  </si>
  <si>
    <t>Reach for it when:  When the answer format needs to be rounded.</t>
  </si>
  <si>
    <t>Copy this →</t>
  </si>
  <si>
    <t>Try it ↓   Select the 2 below and copy it (Ctrl+C). Stand on the BEFORE cell (its top-left, highlighted) and run TCC: you get the AFTER cell.</t>
  </si>
  <si>
    <t>⚠️ Watch out:  Copy the number first: it reads n from the clipboard. Run it on the spill's top-left cell, or it hard-codes a number into the cell you stand on and breaks the spill.</t>
  </si>
  <si>
    <t>The demo data: the lessons on this sheet use these five rows and the two blocks below.</t>
  </si>
  <si>
    <t>Value
3
-7
0
12
5</t>
  </si>
  <si>
    <t>BEFORE: what this one shows</t>
  </si>
  <si>
    <t>Output (before running command)</t>
  </si>
  <si>
    <t>AFTER: what the command writes</t>
  </si>
  <si>
    <t>Output (after running command)</t>
  </si>
  <si>
    <t>[6 x 1]</t>
  </si>
  <si>
    <t>3
-7
0
12
5</t>
  </si>
  <si>
    <t>[5 x 1]</t>
  </si>
  <si>
    <t>alpha
beta
alpha
gamma
beta</t>
  </si>
  <si>
    <t>alpha
beta
gamma</t>
  </si>
  <si>
    <t>[3 x 1]</t>
  </si>
  <si>
    <t>1
2
3
4
5</t>
  </si>
  <si>
    <t>1 | 2 | 3
4 | 5 | 6
7 | 8 | 9
10 | 11 | 12
13 | 14 | 15</t>
  </si>
  <si>
    <t>[5 x 3]</t>
  </si>
  <si>
    <t>1 | 2 | 0
3 | 0 | 0
4 | 5 | 6</t>
  </si>
  <si>
    <t>[3 x 3]</t>
  </si>
  <si>
    <t xml:space="preserve"> | 1 | 2
 |  | 3
4 | 5 | 6</t>
  </si>
  <si>
    <t>x
0
z
0
w</t>
  </si>
  <si>
    <t>x
z
w</t>
  </si>
  <si>
    <t>1 | 2
4 | 5
7 | 8
10 | 11
13 | 14</t>
  </si>
  <si>
    <t>[5 x 2]</t>
  </si>
  <si>
    <t>3
7
0
12
5</t>
  </si>
  <si>
    <t>1
-2.333333333
0
4
1.666666667</t>
  </si>
  <si>
    <t>1
-2
0
4
2</t>
  </si>
  <si>
    <t>-3
7
0
-12
-5</t>
  </si>
  <si>
    <t>TRUE
FALSE
TRUE
TRUE
FALSE</t>
  </si>
  <si>
    <t>1
0
1
1
0</t>
  </si>
  <si>
    <t>FALSE
FALSE
FALSE
TRUE
TRUE</t>
  </si>
  <si>
    <t>3
7
12
15
24</t>
  </si>
  <si>
    <t>3
7
0
3
0</t>
  </si>
  <si>
    <t>3
7
12
3
12</t>
  </si>
  <si>
    <t>800
800
800
800
800</t>
  </si>
  <si>
    <t>10 | 4
20 | 15
7 | 9</t>
  </si>
  <si>
    <t>[3 x 2]</t>
  </si>
  <si>
    <t>6
5
-2</t>
  </si>
  <si>
    <t>C
o
d
e</t>
  </si>
  <si>
    <t>[4 x 1]</t>
  </si>
  <si>
    <t>67
111
100
101</t>
  </si>
  <si>
    <t>C
a
f
é</t>
  </si>
  <si>
    <t>one
two
three</t>
  </si>
  <si>
    <t>one | two | three</t>
  </si>
  <si>
    <t>[1 x 3]</t>
  </si>
  <si>
    <t>t
i</t>
  </si>
  <si>
    <t>[2 x 1]</t>
  </si>
  <si>
    <t>[2 x 2]</t>
  </si>
  <si>
    <t>gamma
alpha
beta
gamma</t>
  </si>
  <si>
    <t>30
10
20
30</t>
  </si>
  <si>
    <t>a | b | x | c
x | a | b | c
a | b | c | d</t>
  </si>
  <si>
    <t>[3 x 4]</t>
  </si>
  <si>
    <t>3
1
never</t>
  </si>
  <si>
    <t>S | . | . | o | .
. | . | . | . | .
. | o | . | . | .
. | . | . | . | .
o | . | . | . | o</t>
  </si>
  <si>
    <t>[5 x 5]</t>
  </si>
  <si>
    <t>1 | 1 | 1 | # | 1
1 | # | 1 | # | 1
1 | # | 1 | 1 | 1
1 | # | # | # | 1
1 | 1 | 1 | 1 | 1</t>
  </si>
  <si>
    <t>0 | 1 | 2 |  | 8
1 |  | 3 |  | 7
2 |  | 4 | 5 | 6
3 |  |  |  | 7
4 | 5 | 6 | 7 | 8</t>
  </si>
  <si>
    <t>o | F21 | 2
o | H19 | 3
o | E23 | 4
o | I23 | 4</t>
  </si>
  <si>
    <t>[4 x 3]</t>
  </si>
  <si>
    <t>0 | 0 | # | 0 | 0
0 | 0 | # | 0 | 0
# | # | 0 | # | #
0 | 0 | 0 | 0 | 0
0 | # | # | # | 0</t>
  </si>
  <si>
    <t>1 | 1 |  | 2 | 2
1 | 1 |  | 2 | 2
 |  | 3 |  | 
3 | 3 | 3 | 3 | 3
3 |  |  |  | 3</t>
  </si>
  <si>
    <t>a | b | c | d
e | f | g | h
i | j | k | l</t>
  </si>
  <si>
    <t>i | e | a
j | f | b
k | g | c
l | h | d</t>
  </si>
  <si>
    <t>d | c | b | a
h | g | f | e
l | k | j | i</t>
  </si>
  <si>
    <t>1 | 2 | 3 | 4 | 5 | 6</t>
  </si>
  <si>
    <t>[1 x 6]</t>
  </si>
  <si>
    <t>1 | 2 | 3
4 | 5 | 6</t>
  </si>
  <si>
    <t>[2 x 3]</t>
  </si>
  <si>
    <t>10 | 20 | 30</t>
  </si>
  <si>
    <t>ST  ·  MMS</t>
  </si>
  <si>
    <t>This is an example of a duplicate launch code: make sure to select the right one, or keep typing to narrow the choices.</t>
  </si>
  <si>
    <t>ST, MMS</t>
  </si>
  <si>
    <t>Counts the TRUE values in an array (applies -- and sums it): the usual way to answer 'how many rows pass this test'</t>
  </si>
  <si>
    <t>Sum False</t>
  </si>
  <si>
    <t>how many rows FAIL this test?</t>
  </si>
  <si>
    <t>SF   Sum False</t>
  </si>
  <si>
    <t>⚠️ Watch out:  The cell above must hold the delimiter, or there is nothing to split on. Duplicate launch code: ST is also Sum True, so check which is highlighted.</t>
  </si>
  <si>
    <r>
      <t>SA</t>
    </r>
    <r>
      <rPr>
        <sz val="9"/>
        <color rgb="FF1F2933"/>
        <rFont val="Verdana"/>
        <family val="2"/>
      </rPr>
      <t xml:space="preserve">   First: type your name in a free cell, stand on it, run SA. Do every demo in the copy it opens.</t>
    </r>
  </si>
  <si>
    <t>H19
F21
E23
I23</t>
  </si>
  <si>
    <t>1 | 1 |  | 1 | 1
1 | 1 |  | 1 | 1
 |  | 1 |  | 
1 | 1 | 1 | 1 | 1
1 |  |  |  | 1</t>
  </si>
  <si>
    <t>l | k | j | i
h | g | f | e
d | c | b | a</t>
  </si>
  <si>
    <t>1 | 2
3 | 4
5 | 6</t>
  </si>
  <si>
    <t>▸  RunningTotal_byJaqKennedy</t>
  </si>
  <si>
    <t>RunningTotal_byJaqKennedy</t>
  </si>
  <si>
    <t>You give it:  RunningTotal_byJaqKennedy(values, [ResetFlags], [ResetTo], [StopAt], [Cap], [IncFlaggedVal])</t>
  </si>
  <si>
    <t>⚠️ Watch out:  A flagged row restarts the total at ResetTo and counts its own value (IncFlaggedVal 0 leaves it out). StopAt holds the total at the limit (Cap 0 keeps the crossing row's full value) until the next reset.</t>
  </si>
  <si>
    <t>A running total that can RESTART at rows you flag, and CAP or STOP at a limit. Leave everything optional out and it is an ordinary running total.</t>
  </si>
  <si>
    <t>distance since the last pit stop, restarting at 0 (the pit lap's own 800 counts)</t>
  </si>
  <si>
    <t>restarting at 2400 instead of 0</t>
  </si>
  <si>
    <t>no resets, capped at 2000</t>
  </si>
  <si>
    <t>800
1600
800
1600
2400</t>
  </si>
  <si>
    <t>▸  Running Total</t>
  </si>
  <si>
    <t>RT</t>
  </si>
  <si>
    <t>Wraps the array in a running total. Its lambda can also restart and cap: the next two lessons.</t>
  </si>
  <si>
    <t>CompBot says:  Wraps the active array in a running total (RunningTotal_byJaqKennedy with nothing else set)</t>
  </si>
  <si>
    <t>Do it:         Ctrl+Shift+O   →   RT   →   Enter</t>
  </si>
  <si>
    <t>Reach for it when:  A cumulative total: distance so far, score so far.</t>
  </si>
  <si>
    <t>⚠️ Watch out:  A plain running total only: for a restart or a ceiling use RTR or RTC.</t>
  </si>
  <si>
    <t>metres per lap</t>
  </si>
  <si>
    <t>▸  Running Total with Reset</t>
  </si>
  <si>
    <t>RTR</t>
  </si>
  <si>
    <t>Restarts the total wherever a COPIED flag column holds 1. It asks what to restart at: leave it blank for 0.</t>
  </si>
  <si>
    <t>CompBot says:  Running total that restarts wherever the COPIED flag range holds 1; asks what it restarts at (blank = 0). The flagged row's own value is included</t>
  </si>
  <si>
    <t>Needs first:   COPY the flag column first (the command reads the clipboard); stand on the formula you want to wrap; it will ASK you for 1 value</t>
  </si>
  <si>
    <t>Do it:         Ctrl+Shift+O   →   RTR   →   Enter</t>
  </si>
  <si>
    <t>Reach for it when:  Distance since the last pit stop. Score since the last life lost.</t>
  </si>
  <si>
    <t>⚠️ Watch out:  Copy the flag column first (1 = restart). The flagged row's own value counts: add ,,,0 after ResetTo in the formula to leave it out.</t>
  </si>
  <si>
    <t>▸  Running Total with Cap</t>
  </si>
  <si>
    <t>RTC</t>
  </si>
  <si>
    <t>Stops the total at a COPIED limit and holds it there. No popup.</t>
  </si>
  <si>
    <t>CompBot says:  Running total that stops at the COPIED limit and holds there (Cap = 1). Change the final 1 to 0 to keep the crossing row's full value instead</t>
  </si>
  <si>
    <t>Needs first:   COPY the limit first (the command reads the clipboard); stand on the formula you want to wrap</t>
  </si>
  <si>
    <t>Do it:         Ctrl+Shift+O   →   RTC   →   Enter</t>
  </si>
  <si>
    <t>Try it ↓   Copy the 2000 below. Stand on the BEFORE cell (its top-left) and run RTC: you get the AFTER cell.</t>
  </si>
  <si>
    <t>Reach for it when:  Fuel, capacity or a points ceiling: a total that can never pass a limit.</t>
  </si>
  <si>
    <t>⚠️ Watch out:  Copy the limit first. The total holds at the limit to the end: change the final 1 to 0 to keep the crossing row's full value.</t>
  </si>
  <si>
    <t>▸  Keep Columns Of Array</t>
  </si>
  <si>
    <t>Keeps only the columns you select from a spilled array. After Align Array to Right the LAST column holds every row's last value, which is usually why you aligned right.</t>
  </si>
  <si>
    <t>Needs first:   select a cell in each column you want to keep</t>
  </si>
  <si>
    <t>Do it:         Ctrl+Shift+O   →   KC   →   Enter</t>
  </si>
  <si>
    <t>Try it ↓   The BEFORE cell is Align Array to Right's AFTER. Select any cell in its LAST column, run KC, and you get the AFTER cell.</t>
  </si>
  <si>
    <t>Reach for it when:  You aligned an array right to line up each row's last values: keep the last column and you have them.</t>
  </si>
  <si>
    <t>⚠️ Watch out:  Select a cell in the column to keep, not the formula's top-left cell, or it keeps the first column.</t>
  </si>
  <si>
    <t>BEFORE   =RightAlignedArray_byJaqKennedy(IFBLANK($E$28:$G$30,""))</t>
  </si>
  <si>
    <t>AFTER     =CHOOSECOLS(RightAlignedArray_byJaqKennedy(IFBLANK($E$28:$G$30,"")),3)</t>
  </si>
  <si>
    <t>the ragged block, aligned right</t>
  </si>
  <si>
    <t>2
3
6</t>
  </si>
  <si>
    <t>800
1600
2400
3200
4000</t>
  </si>
  <si>
    <t>800
1600
2000
2000
2000</t>
  </si>
  <si>
    <t>Running Total</t>
  </si>
  <si>
    <t>Wraps the active array in a running total (RunningTotal_byJaqKennedy with nothing else set)</t>
  </si>
  <si>
    <t>Running Total with Cap</t>
  </si>
  <si>
    <t>COPY the limit first (the command reads the clipboard); stand on the formula you want to wrap</t>
  </si>
  <si>
    <t>Running total that stops at the COPIED limit and holds there (Cap = 1). Change the final 1 to 0 to keep the crossing row's full value instead</t>
  </si>
  <si>
    <t>Running Total with Reset</t>
  </si>
  <si>
    <t>COPY the flag column first (the command reads the clipboard); stand on the formula you want to wrap; it will ASK you for 1 value</t>
  </si>
  <si>
    <t>Running total that restarts wherever the COPIED flag range holds 1; asks what it restarts at (blank = 0). The flagged row's own value is included</t>
  </si>
  <si>
    <t>RT  /  RTR (reset)  /  RTC (cap)</t>
  </si>
  <si>
    <t>Try it ↓   Copy the → below. Stand on the BEFORE cell (the one showing C4) and run ARR: you get the AFTER cell.</t>
  </si>
  <si>
    <t>Marks 1 wherever the item ABOVE a column is found in the item LEFT of a row. Select the empty grid between the two lists and run it.</t>
  </si>
  <si>
    <t>CompBot says:  Select the empty grid between two lists: marks 1 where the item ABOVE each column is found in the item LEFT of each row</t>
  </si>
  <si>
    <t>Needs first:   select the empty grid between the two lists (the items above it, the items left of it)</t>
  </si>
  <si>
    <t>⚠️ Watch out:  Select the whole empty grid first: it reads the row above it and the column to its left.</t>
  </si>
  <si>
    <t>Try it ↓   Copy the x below. Stand on the BEFORE cell, run FMR and press Enter at the popup (blank = never): you get the AFTER cell.</t>
  </si>
  <si>
    <t>CompBot says:  For each row, the position of the first cell equal to the COPIED cell's value, or a fallback (blank = never) where the row never matches</t>
  </si>
  <si>
    <t>Needs first:   COPY the cell holding the value to find; stand on the TOP-LEFT cell of the spill; it will ASK you for 1 value</t>
  </si>
  <si>
    <t>⚠️ Watch out:  Copy the cell with the value first. It returns the column position, not the value, one per row.</t>
  </si>
  <si>
    <t>Two names, one with a space and one without:</t>
  </si>
  <si>
    <t>the first word; 'Ada' has no space, so it comes back whole</t>
  </si>
  <si>
    <t>Splits on semicolons, with no setup at all. It splits ACROSS into columns; Split Text by Delimiter Above splits DOWN into rows.</t>
  </si>
  <si>
    <t>Splits the active cell's text on whatever character is in the cell directly ABOVE it, and trims each piece. It splits DOWN into rows; Split Text by Semicolon splits ACROSS into columns.</t>
  </si>
  <si>
    <t>;</t>
  </si>
  <si>
    <t>split on the ; in the cell directly above it</t>
  </si>
  <si>
    <t>Try it ↓   The ; above the BEFORE cell is the delimiter. Stand on the BEFORE cell and run ST: the AFTER is linked to that ; cell.</t>
  </si>
  <si>
    <t>CompBot says:  Splits the active cell's text DOWN into rows on the delimiter in the cell above (linked, so changing that cell re-splits), and trims each piece</t>
  </si>
  <si>
    <t>⚠️ Watch out:  On typed text it just writes the characters out: no formula, nothing to link to. On a formula or a linked cell it writes the formula and returns an array.</t>
  </si>
  <si>
    <t>0 | 1 | 0
1 | 0 | 0
1 | 0 | 1</t>
  </si>
  <si>
    <t>Ada Lovelace
Ada</t>
  </si>
  <si>
    <t>Ada
Ada</t>
  </si>
  <si>
    <t>[1 x 2]</t>
  </si>
  <si>
    <t>2 | 3</t>
  </si>
  <si>
    <t>[9 x 6]</t>
  </si>
  <si>
    <t>Sheet | Value | Address | Row | Col | RCRef
Area1 | nut | B2 | 2 | 2 | 2000002
Area1 | 0 | C2 | 2 | 3 | 2000003
Area1 | 0 | B3 | 3 | 2 | 3000002
Area1 | 2 | C3 | 3 | 3 | 3000003
Area2 | cog | B2 | 2 | 2 | 2000002
Area2 | 3 | C2 | 2 | 3 | 2000003
Area2 | pin | B3 | 3 | 2 | 3000002
Area2 | 0 | C3 | 3 | 3 | 3000003</t>
  </si>
  <si>
    <t>[6 x 6]</t>
  </si>
  <si>
    <t>Sheet | Value | Address | Row | Col | RCRef
Area1 | nut | B2 | 2 | 2 | 2000002
Area1 | 2 | C3 | 3 | 3 | 3000003
Area2 | cog | B2 | 2 | 2 | 2000002
Area2 | 3 | C2 | 2 | 3 | 2000003
Area2 | pin | B3 | 3 | 2 | 3000002</t>
  </si>
  <si>
    <t>[6 x 5]</t>
  </si>
  <si>
    <t>[6 x 2]</t>
  </si>
  <si>
    <t>[6 x 3]</t>
  </si>
  <si>
    <t>[7 x 5]</t>
  </si>
  <si>
    <t>Items | Row # | Column # | Address | RCRef
a | 1 | 1 | A1 | 1000001
b | 1 | 2 | B1 | 1000002
c | 2 | 1 | A2 | 2000001
d | 2 | 2 | B2 | 2000002</t>
  </si>
  <si>
    <t>[4 x 4]</t>
  </si>
  <si>
    <t>2 | 2 | 2 | 3
2 | 2 | 2 | 3
3 | 2 | 2 | 2
3 | 2 | 2 | 2</t>
  </si>
  <si>
    <t>1 | 1 | 1 | 1
1 | 1 | 1 | 1
1 | 1 | 1 | 1
1 | 1 | 1 | 1</t>
  </si>
  <si>
    <t>3 | 3 | 3
0 | 0 | 1
3 | 3 | 3
1 | 0 | 0
3 | 3 | 3</t>
  </si>
  <si>
    <t>800
1600
3200
4000
4800</t>
  </si>
  <si>
    <t>Select the empty grid between two lists: marks 1 where the item ABOVE each column is found in the item LEFT of each row</t>
  </si>
  <si>
    <t>select the empty grid between the two lists</t>
  </si>
  <si>
    <t>For each row, the position of the first cell equal to the COPIED cell's value, or a fallback (blank = never) where the row never matches</t>
  </si>
  <si>
    <t>COPY the cell holding the value to find; stand on the TOP-LEFT cell of the spill; it will ASK you for 1 value</t>
  </si>
  <si>
    <t>Splits the active cell's text DOWN into rows on the delimiter in the cell above (linked, so changing that cell re-splits), and trims each piece</t>
  </si>
  <si>
    <t>the cell ABOVE must hold the delimiter; stand on the formula you want to wrap</t>
  </si>
  <si>
    <t>Try it on:     Demo maps, the C7 checklist:  1. select the four swatch cells of the 'With a legend' pair.  2. Run FBC.</t>
  </si>
  <si>
    <t>Run after:     Record Walk Route (RWR) or Record Walk Route Here (RWH).</t>
  </si>
  <si>
    <t>Try it on:     Demo maps, the 'Walk me' path:  1. select the S.  2. Run RWR.  3. Move two cells along the 1s.  4. Run SWR.</t>
  </si>
  <si>
    <t>Try it on:     Demo maps, the 'Walk me' path:  1. select the S.  2. Run RWR.  3. Ctrl+arrow along the 1s to the last one.  4. Click the END cell, diagonally off it: the route opens on a new sheet.</t>
  </si>
  <si>
    <t>⚠️ Watch out:  A diagonal click ends the route and is not part of it. RWR writes the route to a new sheet; Record Walk Route Here (RWH) writes it to the right of this sheet's contents.</t>
  </si>
  <si>
    <t>▸  Record Walk Route Here</t>
  </si>
  <si>
    <t>RWH</t>
  </si>
  <si>
    <t>Do it:         Ctrl+Shift+O   →   RWH   →   Enter</t>
  </si>
  <si>
    <t>Reach for it when:  You want the route beside your working rather than on a sheet of its own.</t>
  </si>
  <si>
    <t>Try it on:     Demo maps, the C7 checklist:  1. copy the 'No legend' map.  2. Click the cell marked PFF.  3. Run PFF.  4. Put UNIQUE on the Fill column: that is the legend the case did not give you.</t>
  </si>
  <si>
    <t>Try it on:     Case sheet, the C7 checklist:  1. copy its two grey cells.  2. Click the cell marked STKH.  3. Run STKH and compare it with the STK result.</t>
  </si>
  <si>
    <t>Try it on:     Case sheet, the C7 checklist:  1. copy its two grey cells (Area1, Area3).  2. Click the cell marked STK.  3. Run STK: the three Area sheets come back as one table.</t>
  </si>
  <si>
    <t>Every ordering of all the items in an array, each used once: 10 20 30, 10 30 20, 20 10 30 and so on. No popups.</t>
  </si>
  <si>
    <t>CompBot says:  Every ordering of all the items in the active array, each used once (10 20 30, 10 30 20, 20 10 30 ...)</t>
  </si>
  <si>
    <t>Needs first:   select ONE cell; stand on the formula you want to wrap</t>
  </si>
  <si>
    <t>Try it ↓   1. Stand on the BEFORE cell.  2. Run LCA: you get the AFTER cell.</t>
  </si>
  <si>
    <t>AFTER     =LET(_a,$E$46:$G$46,Combinations_byHadynWiseman(_a,COUNTA(_a)))</t>
  </si>
  <si>
    <t>every ordering of the three numbers</t>
  </si>
  <si>
    <t>Reach for it when:  'Every ordering of these': seating plans, finishing orders, dealing orders.</t>
  </si>
  <si>
    <t>⚠️ Watch out:  The output grows fast: 8 items give 40,320 orderings, so start small.</t>
  </si>
  <si>
    <t>▸  List Pairings Of Two Lists</t>
  </si>
  <si>
    <t>LP</t>
  </si>
  <si>
    <t>Every pairing of two lists: each item of the list you COPIED with each item of the spill you stand on.</t>
  </si>
  <si>
    <t>CompBot says:  Every pairing of the COPIED list with the active spill (each item of one with each item of the other), written to the right of the sheet's contents</t>
  </si>
  <si>
    <t>Needs first:   COPY list 1 (the command reads the clipboard); stand on the spill of list 2</t>
  </si>
  <si>
    <t>Do it:         Ctrl+Shift+O   →   LP   →   Enter</t>
  </si>
  <si>
    <t>Try it ↓   1. Copy the three numbers at the top of the sheet (E46:G46).  2. Stand on the BEFORE cell.  3. Run LP: the pairings appear to the right of the sheet's contents.</t>
  </si>
  <si>
    <t>BEFORE   =$E$40:$E$42</t>
  </si>
  <si>
    <t>AFTER     =LET(_a,TOCOL($E$46:$G$46,1),_b,TOCOL($E$40:$E$42,1),_n,ROWS(_a),_m,ROWS(_b),_i,SEQUENCE(_n*_m)-1,HSTACK(INDEX(_a,INT(_i/_m)+1),INDEX(_b,MOD(_i,_m)+1)))</t>
  </si>
  <si>
    <t>three numbers x three letters: nine pairings</t>
  </si>
  <si>
    <t>Reach for it when:  'Every pairing of these two lists': players against rounds, teams against venues.</t>
  </si>
  <si>
    <t>⚠️ Watch out:  Copy list 1 first. The result lands to the right of everything on the sheet.</t>
  </si>
  <si>
    <t>FLP  ·  FLR  ·  FTB</t>
  </si>
  <si>
    <t>Three commands on one lambda. Flip Array (FLP) reverses a cell's text: stressed becomes desserts. Flip Array Left to Right (FLR) mirrors a block left to right, and Flip Array Top to Bottom (FTB) top to bottom (the same idea, so it has no demo of its own). No popups.</t>
  </si>
  <si>
    <t>CompBot says:  Reverses the active cell's text (stressed becomes desserts). For a block use FLR (left to right) or FTB (top to bottom)</t>
  </si>
  <si>
    <t>Do it:         Ctrl+Shift+O   →   FLR   →   Enter     (FLP for a cell's text, FTB for top to bottom)</t>
  </si>
  <si>
    <t>Try it ↓   1. Stand on a BEFORE cell.  2. Run the command named beside it: you get its AFTER cell.</t>
  </si>
  <si>
    <t>AFTER     =Flip_byHadynWiseman($E$40:$H$42,1)</t>
  </si>
  <si>
    <t>FLR: mirrored left to right</t>
  </si>
  <si>
    <t>AFTER     =Flip_byHadynWiseman("stressed")</t>
  </si>
  <si>
    <t>FLP: a single cell, the text reverses</t>
  </si>
  <si>
    <t>⚠️ Watch out:  FLP only reverses a single cell's text: on a block use FLR or FTB.</t>
  </si>
  <si>
    <t>Turns a grid a quarter turn clockwise. Run it again for the next quarter. No popups.</t>
  </si>
  <si>
    <t>CompBot says:  Turns the active array a quarter turn clockwise; run it again for another quarter turn</t>
  </si>
  <si>
    <t>Try it ↓   1. Stand on the BEFORE cell.  2. Run ROT: you get the AFTER cell. Run it again on that for the second example.</t>
  </si>
  <si>
    <t>AFTER     =Rotate_byHadynWiseman(Rotate_byHadynWiseman($E$40:$H$42,1),1)</t>
  </si>
  <si>
    <t>ROT run twice: half a turn</t>
  </si>
  <si>
    <t>LCR4  ·  LCR8</t>
  </si>
  <si>
    <t>Numbers each connected blob of cells, so separate islands, rooms or clusters each get their own ID. Label Connected Regions (4 ways) (LCR4) joins cells that share an edge; (8 ways) (LCR8) lets a corner touch join them too. No popups.</t>
  </si>
  <si>
    <t>CompBot says:  Numbers each connected blob on a map: LCR4 joins cells that share an edge, LCR8 lets a corner touch join them</t>
  </si>
  <si>
    <t>Do it:         Ctrl+Shift+O   →   LCR4   →   Enter     (LCR8 when corners count)</t>
  </si>
  <si>
    <t>LCR4: three blobs, corners do NOT count</t>
  </si>
  <si>
    <t>LCR8: the same map, corners DO count</t>
  </si>
  <si>
    <t>⚠️ Watch out:  LCR4 and LCR8 give different answers when blobs touch only at a corner: pick the one the case describes.</t>
  </si>
  <si>
    <t>From the cell you stand on in a map, lists the nearest cells holding the COPIED value, with their addresses and distances. No popups.</t>
  </si>
  <si>
    <t>CompBot says:  Stand on the start (e.g. the S) in a map spill, with the target cell COPIED: lists the nearest targets with their addresses and distances, to the right of the sheet's contents</t>
  </si>
  <si>
    <t>Needs first:   COPY the cell holding what you are looking for; stand on the start cell inside a spill of the map</t>
  </si>
  <si>
    <t>Try it ↓   1. Copy the o below.  2. Click the S in the BEFORE map (its top-left cell).  3. Run FNM: the list appears to the right of the sheet's contents.</t>
  </si>
  <si>
    <t>the o's nearest the S, nearest first</t>
  </si>
  <si>
    <t>⚠️ Watch out:  It measures in a straight line and ignores walls; use Map Distance From Cell (MDC4) when obstacles matter.</t>
  </si>
  <si>
    <t>MDC4  ·  MDC8</t>
  </si>
  <si>
    <t>How far every cell on a map is from a start cell, ROUTING AROUND obstacles. Map Distance From Cell (4 ways) (MDC4) moves up, down, left and right; (8 ways) (MDC8) diagonally too. The start is a COPIED cell holding its address (several starts work too). No popups.</t>
  </si>
  <si>
    <t>CompBot says:  How far every cell on a map is from the COPIED start cell(s), routing AROUND obstacles: MDC4 four ways, MDC8 with diagonals</t>
  </si>
  <si>
    <t>Needs first:   COPY the cell holding the start address; stand on the formula giving the map</t>
  </si>
  <si>
    <t>Do it:         Ctrl+Shift+O   →   MDC4   →   Enter     (MDC8 for diagonal moves)</t>
  </si>
  <si>
    <t>E26</t>
  </si>
  <si>
    <t>Try it ↓   1. Copy the E26 below (the start, as text).  2. Stand on the BEFORE cell.  3. Run MDC4: you get the AFTER cell.</t>
  </si>
  <si>
    <t>distance from E26, no diagonals</t>
  </si>
  <si>
    <t>Needs first:   select ONE cell; stand on the formula giving the map; it will ASK you for 1 value (type it plainly, e.g. S)</t>
  </si>
  <si>
    <t>Try it ↓   1. Stand on the BEFORE cell.  2. Run FAM and type S at the popup (no quotes): you get the AFTER cell. The second example is the same with o.</t>
  </si>
  <si>
    <t>AFTER     =LET(_l,"S",FindInMap_byHadynWiseman(IFERROR(--_l,_l),$E$19:$I$23))</t>
  </si>
  <si>
    <t>AFTER     =LET(_l,"o",FindInMap_byHadynWiseman(IFERROR(--_l,_l),$E$19:$I$23))</t>
  </si>
  <si>
    <t>Find Address Of Value On Map (FAM) finds where the S is, as an address like E19. Copy that cell and Map Distance From Cell (MDC4, or MDC8 with diagonals) measures every cell from it. Find Nearest On Map (FNM) needs no address: you stand on the S itself.</t>
  </si>
  <si>
    <t>MDC4 / MDC8 versus FNM is the one place you will get a plausible wrong answer: MDC WALKS the map and routes around obstacles, FNM measures in a straight line. Ask whether anything blocks the way.</t>
  </si>
  <si>
    <t>The macro commands (Stack Sheets From Clipboard (STK), Paste Flattened List With Formatting (PFF), Record Walk Route (RWR) and the rest) run on the Case and Demo maps sheets.</t>
  </si>
  <si>
    <t>10 | 20 | 30
10 | 30 | 20
20 | 10 | 30
20 | 30 | 10
30 | 10 | 20
30 | 20 | 10</t>
  </si>
  <si>
    <t>a
e
i</t>
  </si>
  <si>
    <t>[9 x 2]</t>
  </si>
  <si>
    <t>10 | a
10 | e
10 | i
20 | a
20 | e
20 | i
30 | a
30 | e
30 | i</t>
  </si>
  <si>
    <t>BEFORE   =$F$455:$F$459</t>
  </si>
  <si>
    <t>AFTER     =RunningTotal_byJaqKennedy($F$455:$F$459)</t>
  </si>
  <si>
    <t>AFTER     =RunningTotal_byJaqKennedy($F$455:$F$459,$G$455:$G$459,)</t>
  </si>
  <si>
    <t>AFTER     =RunningTotal_byJaqKennedy($F$455:$F$459,,,2000,1)</t>
  </si>
  <si>
    <t>BEFORE   =$E$545:$F$547</t>
  </si>
  <si>
    <t>AFTER     =DiffByRow_byJaqKennedy($E$545:$F$547)</t>
  </si>
  <si>
    <t>AFTER     =TRIM(TEXTSPLIT($G$12:$G$12,,$E$127,TRUE))</t>
  </si>
  <si>
    <t>BEFORE   =$E$171:$E$172</t>
  </si>
  <si>
    <t>AFTER     =IFERROR(TEXTBEFORE($E$171:$E$172," "),$E$171:$E$172)</t>
  </si>
  <si>
    <t>BEFORE   =$E$253:$H$255</t>
  </si>
  <si>
    <t>AFTER     =LET(_a,($E$253:$H$255),_v,$F$258,_nf,"",BYROW(_a,LAMBDA(_r,IFERROR(XMATCH(_v,_r),IF(_nf="","never",IFERROR(--_nf,_nf))))))</t>
  </si>
  <si>
    <t>AFTER     =1-ISERROR(FIND($F$283:$H$283,$E$284:$E$286))</t>
  </si>
  <si>
    <t>AFTER     =MazeDistance_byHadynWiseman($E$26:$I$30,$F$95,,1)</t>
  </si>
  <si>
    <t>AFTER     =LET(_m,$E$19:$I$23,ClosestOnMap_byHadynWiseman(_m,FindInMap_byHadynWiseman($E$125,_m),ROWS(_m)+COLUMNS(_m),$F$123))</t>
  </si>
  <si>
    <t>Try it ↓   Copy the Pit? column (G455:G459) in the Running Total lesson above. Stand on the BEFORE cell, run RTR and press Enter at the popup (blank = restart at 0): you get the AFTER cell.</t>
  </si>
  <si>
    <t>BEFORE:  letters along the top, words down the left. Select the highlighted grid F284:H286 and run fal.</t>
  </si>
  <si>
    <t>Try it ↓   Select the highlighted grid above (F284:H286) and run fal: you get the AFTER.</t>
  </si>
  <si>
    <t>197 | 6
198 | 6</t>
  </si>
  <si>
    <t>3 · Walk me   →   Record Walk Route (RWR)  /  Record Walk Route Here (RWH)  /  Stop Walk Route (SWR)</t>
  </si>
  <si>
    <t>A path drawn in fill colour, with a 1 in each of its cells so Ctrl+arrow runs along it. Select the S, run RWR (or RWH), Ctrl+arrow along the 1s to the last one, then click END, diagonally off it. RWR writes the route to a new sheet; RWH writes it to the right of this sheet's contents.</t>
  </si>
  <si>
    <t>END</t>
  </si>
  <si>
    <t>Three small blocks for the commands that read a sheet rather than a formula. Miniature on purpose: you can see the whole thing, and the behaviour is identical on a 24x37 case map.</t>
  </si>
  <si>
    <t>This one has no legend, which is the harder and commoner case. COPY the block, click the cell marked PFF (right of the maps), and run PFF. Then put UNIQUE on the Fill column: that IS the legend the case did not give you. Goto Similar Background Color (SBC) works here too: select the block, click one coloured cell, run SBC, and read the count off the status bar.</t>
  </si>
  <si>
    <t>C7 · Maps, grids and sheets (continued)</t>
  </si>
  <si>
    <r>
      <t>FBC</t>
    </r>
    <r>
      <rPr>
        <sz val="9"/>
        <color rgb="FF1F2933"/>
        <rFont val="Verdana"/>
        <family val="2"/>
      </rPr>
      <t xml:space="preserve">   Block 1: select the legend's four swatch cells, run FBC.</t>
    </r>
  </si>
  <si>
    <r>
      <t>SWR</t>
    </r>
    <r>
      <rPr>
        <sz val="9"/>
        <color rgb="FF1F2933"/>
        <rFont val="Verdana"/>
        <family val="2"/>
      </rPr>
      <t xml:space="preserve">   Start RWR again, move two cells, run SWR.</t>
    </r>
  </si>
  <si>
    <t>◂  Back to the start of the C7 checklist (Case)</t>
  </si>
  <si>
    <r>
      <t>STK</t>
    </r>
    <r>
      <rPr>
        <sz val="9"/>
        <color rgb="FF1F2933"/>
        <rFont val="Verdana"/>
        <family val="2"/>
      </rPr>
      <t xml:space="preserve">   Copy the two grey cells below (Area1, Area3), click the cell marked STK, run STK.</t>
    </r>
  </si>
  <si>
    <r>
      <t>STKH</t>
    </r>
    <r>
      <rPr>
        <sz val="9"/>
        <color rgb="FF1F2933"/>
        <rFont val="Verdana"/>
        <family val="2"/>
      </rPr>
      <t xml:space="preserve">   Same two cells: click the cell marked STKH, run STKH, compare.</t>
    </r>
  </si>
  <si>
    <t>Continue the C7 checklist on Demo maps  ▸</t>
  </si>
  <si>
    <t>Copy these two cells:</t>
  </si>
  <si>
    <t>STK ▼</t>
  </si>
  <si>
    <t>STKH ▼</t>
  </si>
  <si>
    <t>Map Distance From Cell (4 ways)</t>
  </si>
  <si>
    <t>MDC4</t>
  </si>
  <si>
    <t>COPY the cell holding the start address; stand on the formula giving the map</t>
  </si>
  <si>
    <t>How far every cell on a map is from the COPIED start cell(s), moving only up, down, left and right, routing AROUND obstacles</t>
  </si>
  <si>
    <t>Map Distance From Cell (8 ways)</t>
  </si>
  <si>
    <t>MDC8</t>
  </si>
  <si>
    <t>How far every cell on a map is from the COPIED start cell(s), diagonal moves allowed, routing AROUND obstacles</t>
  </si>
  <si>
    <t>Label Connected Regions (4 ways)</t>
  </si>
  <si>
    <t>LCR4</t>
  </si>
  <si>
    <t>Numbers each connected blob on a map, cells joining only up, down, left and right</t>
  </si>
  <si>
    <t>Label Connected Regions (8 ways)</t>
  </si>
  <si>
    <t>LCR8</t>
  </si>
  <si>
    <t>Numbers each connected blob on a map, a diagonal (corner) touch joining cells too</t>
  </si>
  <si>
    <t>Reverses the active cell's text (stressed becomes desserts). For a block use FLR (left to right) or FTB (top to bottom)</t>
  </si>
  <si>
    <t>Flip Array Left to Right</t>
  </si>
  <si>
    <t>FLR</t>
  </si>
  <si>
    <t>Mirrors the active array left to right: the last column comes first</t>
  </si>
  <si>
    <t>Flip Array Top to Bottom</t>
  </si>
  <si>
    <t>FTB</t>
  </si>
  <si>
    <t>Mirrors the active array top to bottom: the last row comes first</t>
  </si>
  <si>
    <t>Every ordering of all the items in the active array, each used once (10 20 30, 10 30 20, 20 10 30 ...)</t>
  </si>
  <si>
    <t>List Pairings Of Two Lists</t>
  </si>
  <si>
    <t>COPY list 1 (the command reads the clipboard); stand on the spill of list 2</t>
  </si>
  <si>
    <t>Record Walk Route Here</t>
  </si>
  <si>
    <t>select ONE cell; stand on the formula giving the map; it will ASK you for 1 value (typed plainly)</t>
  </si>
  <si>
    <t>COPY the target cell; stand on the start cell inside a spill of the map</t>
  </si>
  <si>
    <t>Turns the active array a quarter turn clockwise; run it again for another quarter turn</t>
  </si>
  <si>
    <t>MDC4  /  MDC8  Map Distance From Cell</t>
  </si>
  <si>
    <t>LCR4  /  LCR8  Label Connected Regions</t>
  </si>
  <si>
    <t>ROT  Rotate Array  /  FLP · FLR · FTB  Flip Array</t>
  </si>
  <si>
    <t>RWR  Record Walk Route  (RWH onto this sheet)</t>
  </si>
  <si>
    <t>every order these items could go in, or every pairing of two lists</t>
  </si>
  <si>
    <t>LCA  List Combinations Of Array  /  LP  List Pairings Of Two Lists</t>
  </si>
  <si>
    <t>Reach for it when:  You want to submit your case file without every lambda you own in it.</t>
  </si>
  <si>
    <t>Tidying a case file: see which lambdas it uses, and clear the rest before you submit it. Two of these would damage your own copy of this workbook.</t>
  </si>
  <si>
    <r>
      <t xml:space="preserve">KC   </t>
    </r>
    <r>
      <rPr>
        <b/>
        <sz val="11"/>
        <color rgb="FFB07212"/>
        <rFont val="Consolas"/>
        <family val="3"/>
      </rPr>
      <t>·   ARRAY ROBOT</t>
    </r>
  </si>
  <si>
    <r>
      <t xml:space="preserve">FROM ARRAY ROBOT, NOT COMPBOT (it comes free with OA Robot).   </t>
    </r>
    <r>
      <rPr>
        <sz val="8"/>
        <color rgb="FF6B7A8C"/>
        <rFont val="Verdana"/>
        <family val="2"/>
      </rPr>
      <t>Array Robot says:  Wraps array formula with CHOOSECOLS of all selected columns.</t>
    </r>
  </si>
  <si>
    <t>CompBot says:  Deletes lambdas from the active workbook that nothing refers to, so the case file you submit does not carry every lambda you own</t>
  </si>
  <si>
    <t>Deletes lambdas from the active workbook that nothing refers to, so the case file you submit does not carry every lambda you own</t>
  </si>
  <si>
    <t>Meaning</t>
  </si>
  <si>
    <t>The LABEL of the biggest (or smallest) value, not the value itself. 'Who scored most?' wants a name, not a number.</t>
  </si>
  <si>
    <t>Several values held together as one, e.g. {1,2,3}. Most lambdas take an array in and give one back.</t>
  </si>
  <si>
    <t>How far every cell is from a start when every step costs the same. Spreads out one step at a time, like ripples.</t>
  </si>
  <si>
    <t>A path that bounces off the edges at an angle and keeps going, like a snooker ball. A simple bounce only reverses along one line.</t>
  </si>
  <si>
    <t>A cell and its eight neighbours, or a bigger box around it. Minesweeper counting is the classic case.</t>
  </si>
  <si>
    <t>Stops a line or a walk: a wall for movement, an obstacle for line of sight. You can see a blocker, but not past it.</t>
  </si>
  <si>
    <t>Moving a counter along a numbered track by a dice roll, including what happens when the roll overshoots the end.</t>
  </si>
  <si>
    <t>Hit the edge and come back the other way; the step count carries on. Compare STOP (stay at the wall) and WRAP.</t>
  </si>
  <si>
    <t>A function handed to a lambda as an argument: an instruction rather than a value.</t>
  </si>
  <si>
    <t>Everything within N of a point. A Chebyshev range is a square; a Manhattan range is a diamond.</t>
  </si>
  <si>
    <t>Distance when a diagonal step costs the same as a straight one, like a king in chess: the bigger of the row gap and the column gap.</t>
  </si>
  <si>
    <t>One blob of joined cells: an island, a room, a ship in Battleship.</t>
  </si>
  <si>
    <t>Your own list of moves, as packed numbers. Knight moves, hex grids, one-way doors and teleports all work this way.</t>
  </si>
  <si>
    <t>Dijkstra  (say DIKE-stra)</t>
  </si>
  <si>
    <t>Like BFS, but steps cost different amounts (mud 5, road 1). Finds the CHEAPEST route, which may not have the fewest steps.</t>
  </si>
  <si>
    <t>The distance from the start to EVERY cell at once. Leave Targets off MazeDistance to get it.</t>
  </si>
  <si>
    <t>For every cell, the distance to the nearest cell holding a given value. A distance field measures from a named start instead.</t>
  </si>
  <si>
    <t>Stopping a loop as soon as a condition is met. 'Which turn did the score first pass 100?'</t>
  </si>
  <si>
    <t>WHERE a value is, not what is in a cell. The answer is one or more addresses.</t>
  </si>
  <si>
    <t>Filling a connected area like a paint bucket: spread to every allowed neighbour, stop at the walls.</t>
  </si>
  <si>
    <t>Folds a grid over on itself like paper: give it an arrow and the far half lands on the near half.</t>
  </si>
  <si>
    <t>Keep sliding in one direction until something stops you. Ice puzzles, curling, a rook's move.</t>
  </si>
  <si>
    <t>Places joined by links rather than laid out on a grid: stations, flight routes. A grid is a graph where each cell links to its neighbours.</t>
  </si>
  <si>
    <t>Takes the best-looking option at each step without looking ahead. Fast, but not guaranteed best.</t>
  </si>
  <si>
    <t>Always go to the closest place not yet visited. A quick stand-in for the travelling salesman answer; not always the best route.</t>
  </si>
  <si>
    <t>The nearest K things, not just the nearest one. ClosestOnMap returns them in order: take the first K rows.</t>
  </si>
  <si>
    <t>Fit the most value into a limited space: a weight limit, a budget, a number of moves.</t>
  </si>
  <si>
    <t>The chess knight's two-then-one jump. Not a neighbour move, so it needs custom directions.</t>
  </si>
  <si>
    <t>What a cell can SEE: rays out in each direction, each stopping at a blocker. Not the same as what it can reach.</t>
  </si>
  <si>
    <t>Distance along rows and columns only (no diagonals): row gap plus column gap. Also called taxi-cab distance.</t>
  </si>
  <si>
    <t>Following a path already drawn on the grid (arrows, pipes, a marked route) to see where it ends.</t>
  </si>
  <si>
    <t>Distances from SEVERAL starts at once; each cell gets its distance to the nearest start. One call, not one per start.</t>
  </si>
  <si>
    <t>N-hop: everywhere reachable in at most N moves. Transitive closure: everywhere reachable at all.</t>
  </si>
  <si>
    <t>Which target is closest, how far away, and where. ClosestOnMap returns all three as columns.</t>
  </si>
  <si>
    <t>Shown in [square brackets]. Leave it off, or skip a middle one by typing the comma and nothing else.</t>
  </si>
  <si>
    <t>Row and column in one number: row × 1,000,000 + column. Row 3, column 5 is 3,000,005. Adding a direction to a position lands on the right cell.</t>
  </si>
  <si>
    <t>A TRUE/FALSE grid the same shape as the map, saying which cells may be entered. It must be an array: a single TRUE fails silently.</t>
  </si>
  <si>
    <t>Straight-line distance, ignoring the grid: √(row gap² + column gap²). Also called Euclidean.</t>
  </si>
  <si>
    <t>Cells on a sheet, like B3:M14. A range has a position; an array is just values. Some lambdas need a range.</t>
  </si>
  <si>
    <t>Whether a cell can be reached at all, not how far. Maze answers this; MazeDistance gives the distance.</t>
  </si>
  <si>
    <t>Snake order: left to right along one row, right to left along the next. Race tracks and seating plans use it.</t>
  </si>
  <si>
    <t>Every block of a given size in turn (every 2×2, every 1×5), each scored. 'Where is the best 3×3 patch?'</t>
  </si>
  <si>
    <t>Number of moves vs total cost of the route. MazeDistance's [Show_Steps] gives the steps of the CHEAPEST route, not the fewest steps possible.</t>
  </si>
  <si>
    <t>A link between two cells that are not next to each other: a portal, a ladder, a one-way door. Add it to custom directions.</t>
  </si>
  <si>
    <t>Visit every place once and return, as cheaply as possible. TSPFull is exact (small problems); TSPGreedy is fast and approximate.</t>
  </si>
  <si>
    <t>Turning a wide table into a tall one: twelve month columns become twelve rows.</t>
  </si>
  <si>
    <t>A formula that recalculates on every change, relevant or not. Slows big workbooks.</t>
  </si>
  <si>
    <t>Keep going in one direction until the edge, a wall or an item stops you.</t>
  </si>
  <si>
    <t>Move until you run out of steps, fuel or money, rather than until you arrive.</t>
  </si>
  <si>
    <t>Keep one hand on the wall. Escapes any maze whose walls are all connected; not the shortest route.</t>
  </si>
  <si>
    <t>Unweighted: every step costs 1; the answer is a step count. Weighted: each cell has an entry cost; the answer is a total cost. MazeDistance is weighted by default (it charges each cell's number); on a map of 1s the two match.</t>
  </si>
  <si>
    <t>Walk off one edge and reappear on the opposite one, like Pac-Man. Several lambdas offer it as a switch.</t>
  </si>
  <si>
    <t>▸  Fetch_byJaqKennedy</t>
  </si>
  <si>
    <t>The value at an address or packed coordinate, read from a named range or block. What INDIRECT does, without the volatility.</t>
  </si>
  <si>
    <t>You give it:  Fetch_byJaqKennedy(ref, source, [oob])</t>
  </si>
  <si>
    <t>⚠️ Watch out:  source is required; for a whole sheet use its Sht_ name (Name Used Ranges). A ref outside source returns "OOB", or your third argument.</t>
  </si>
  <si>
    <t>=Fetch_byJaqKennedy("C4",Sht_Area1)</t>
  </si>
  <si>
    <t>an address on ANOTHER sheet: Sht_Area1 is Area1's used range, B3:D6</t>
  </si>
  <si>
    <t>=Fetch_byJaqKennedy(4000004,Sht_Area1)</t>
  </si>
  <si>
    <t>a packed coordinate: row 4, column 4 is D4</t>
  </si>
  <si>
    <t>=Fetch_byJaqKennedy("A1",Sht_Area1)</t>
  </si>
  <si>
    <t>A1 is outside the used range (it starts at B3): OOB</t>
  </si>
  <si>
    <t>OOB</t>
  </si>
  <si>
    <t>Fetch_byJaqKennedy</t>
  </si>
  <si>
    <t>Returns the value at an address or packed row/column number, read from a named range or block</t>
  </si>
  <si>
    <t>What is in the cell at this address, on any sheet?</t>
  </si>
  <si>
    <t>2000002,3000003,2000002,2000003,3000002</t>
  </si>
  <si>
    <t>Try it ↓   Each example: the formula as text, then the live cell under it.</t>
  </si>
  <si>
    <t>EXAMPLE: what this one shows</t>
  </si>
  <si>
    <t>Output (checked against Excel)</t>
  </si>
  <si>
    <t>the ADDRESS column is the bare cell reference, so it MATCHES ACROSS SHEETS: 'which sheet has something at B3?' [HideBlanks] = 1, so an empty B3 does not count</t>
  </si>
  <si>
    <t>▸  ExcludeCols_byHadynWiseman</t>
  </si>
  <si>
    <t>Keep everything EXCEPT the columns you name.</t>
  </si>
  <si>
    <t>⚠️ Watch out:  Name the columns to drop, not the ones to keep.</t>
  </si>
  <si>
    <t>The input: 2 rows by 3 columns (grey). Both examples point at it.</t>
  </si>
  <si>
    <t>col 1</t>
  </si>
  <si>
    <t>col 2</t>
  </si>
  <si>
    <t>col 3</t>
  </si>
  <si>
    <t>drop column 2: columns 1 and 3 are left</t>
  </si>
  <si>
    <t>drop columns 1 and 3 at once: only column 2 is left</t>
  </si>
  <si>
    <t>1 | 3
4 | 6</t>
  </si>
  <si>
    <t>2
5</t>
  </si>
  <si>
    <t>A non-volatile form of OFFSET.</t>
  </si>
  <si>
    <t>The input: 2 rows by 3 columns (grey). Every example flips it.</t>
  </si>
  <si>
    <t>[Vertical]: top-to-bottom mirror</t>
  </si>
  <si>
    <t>[DiagonalTopLeft]: reflect in the leading diagonal; 2 x 3 becomes 3 x 2</t>
  </si>
  <si>
    <t>[AddressMoves]: put an address through the SAME flip, to see where that cell ends up</t>
  </si>
  <si>
    <t>3 | 2 | 1
6 | 5 | 4</t>
  </si>
  <si>
    <t>4 | 5 | 6
1 | 2 | 3</t>
  </si>
  <si>
    <t>1 | 4
2 | 5
3 | 6</t>
  </si>
  <si>
    <t>6 | 3
5 | 2
4 | 1</t>
  </si>
  <si>
    <t>The input: 2 rows by 3 columns (grey). Every example turns it.</t>
  </si>
  <si>
    <t>a quarter turn (the default): 2 x 3 becomes 3 x 2</t>
  </si>
  <si>
    <t>4 | 1
5 | 2
6 | 3</t>
  </si>
  <si>
    <t>6 | 5 | 4
3 | 2 | 1</t>
  </si>
  <si>
    <t>3 | 6
2 | 5
1 | 4</t>
  </si>
  <si>
    <t>Orders, with the items jammed into one cell (grey):</t>
  </si>
  <si>
    <t>split and unpivot in ONE step: A/B/C becomes three rows, each keeping Gaming and 1996</t>
  </si>
  <si>
    <t>keep only the columns you need: CHOOSECOLS first (the list stays in column 1)</t>
  </si>
  <si>
    <t>A | Gaming | 1996
B | Gaming | 1996
C | Gaming | 1996
D | Writing | 1993</t>
  </si>
  <si>
    <t>[4 x 2]</t>
  </si>
  <si>
    <t>A | 1996
B | 1996
C | 1996
D | 1993</t>
  </si>
  <si>
    <t>both switches set: only the first one counts, so this is the horizontal mirror. For a half turn use Rotate_byHadynWiseman(block,2)</t>
  </si>
  <si>
    <t>=Consecutives_byHadynWiseman("aabbb")</t>
  </si>
  <si>
    <t>=Duplicates_byHadynWiseman("banana")</t>
  </si>
  <si>
    <t>3
7
10</t>
  </si>
  <si>
    <t>5
7
12</t>
  </si>
  <si>
    <t>0
5
5</t>
  </si>
  <si>
    <t>0
0
5
5</t>
  </si>
  <si>
    <t>X
5
5</t>
  </si>
  <si>
    <t>0 | 5 | 5</t>
  </si>
  <si>
    <t>1
2
1
2
3
1</t>
  </si>
  <si>
    <t>1
2
1
2
3</t>
  </si>
  <si>
    <t>2
2
3
3
3
1</t>
  </si>
  <si>
    <t>2
2
2</t>
  </si>
  <si>
    <t>1 | 2 | 1 | 2 | 3 | 1</t>
  </si>
  <si>
    <t>1
2</t>
  </si>
  <si>
    <t>a
n</t>
  </si>
  <si>
    <t>TRUE
FALSE</t>
  </si>
  <si>
    <t>apple
pear
plum</t>
  </si>
  <si>
    <t>a
c</t>
  </si>
  <si>
    <t>a | c</t>
  </si>
  <si>
    <t>2
3</t>
  </si>
  <si>
    <t>b
d</t>
  </si>
  <si>
    <t>a
b
c
d
e</t>
  </si>
  <si>
    <t>2
0
3</t>
  </si>
  <si>
    <t>a
b
c</t>
  </si>
  <si>
    <t>b
c</t>
  </si>
  <si>
    <t>b | c</t>
  </si>
  <si>
    <t>1
1
2
3</t>
  </si>
  <si>
    <t>1
2
1
3</t>
  </si>
  <si>
    <t>-
1
2</t>
  </si>
  <si>
    <t>3
1
2</t>
  </si>
  <si>
    <t>- | 1 | 2</t>
  </si>
  <si>
    <t>2
3
-</t>
  </si>
  <si>
    <t>0
1
2</t>
  </si>
  <si>
    <t>2 | 3 | -</t>
  </si>
  <si>
    <t>3
-
-</t>
  </si>
  <si>
    <t>1 | 2</t>
  </si>
  <si>
    <t>[9 x 1]</t>
  </si>
  <si>
    <t>[8 x 1]</t>
  </si>
  <si>
    <t>1
7
12</t>
  </si>
  <si>
    <t>=SplitText_byHadynWiseman("abc")</t>
  </si>
  <si>
    <t>=SplitText_byHadynWiseman("abcdef",2)</t>
  </si>
  <si>
    <t>=SplitText_byHadynWiseman("abcd",2,1)</t>
  </si>
  <si>
    <t>=ExtractNumbers_byHadynWiseman("a12b3")</t>
  </si>
  <si>
    <t>=ExtractNumbers_byHadynWiseman("a12.5b3",1)</t>
  </si>
  <si>
    <t>=LetterType_byHadynWiseman("aZ9 .x")</t>
  </si>
  <si>
    <t>ab
cd
ef</t>
  </si>
  <si>
    <t>ab
bc
cd</t>
  </si>
  <si>
    <t>12 | 3</t>
  </si>
  <si>
    <t>12.5 | 3</t>
  </si>
  <si>
    <t>L
U
S
S
S
L</t>
  </si>
  <si>
    <t>=Bounce_byBoRydobon(8,5)</t>
  </si>
  <si>
    <t>=Bounce_byBoRydobon(8,3)</t>
  </si>
  <si>
    <t>=Bounce_byBoRydobon(8,5,1,3,2)</t>
  </si>
  <si>
    <t>=Bounce_byBoRydobon(8,3,0,0,1)</t>
  </si>
  <si>
    <t>=Bounce_byBoRydobon(8,4,1,1,2,1)</t>
  </si>
  <si>
    <t>[7 x 2]</t>
  </si>
  <si>
    <t>=PerCom_byBoRydobon(3,2)</t>
  </si>
  <si>
    <t>=PerCom_byBoRydobon(3,2,1)</t>
  </si>
  <si>
    <t>0</t>
  </si>
  <si>
    <t>1
2
3
4
5
4
3
2</t>
  </si>
  <si>
    <t>1
2
3
2
1
2
3
2</t>
  </si>
  <si>
    <t>3
5
3
1
3
5
3
1</t>
  </si>
  <si>
    <t>0
1
2
3
2
1
0
1</t>
  </si>
  <si>
    <t>1
3
4
2
1
3
4
2</t>
  </si>
  <si>
    <t>1
2
1
2
1
2</t>
  </si>
  <si>
    <t>1 | 1
2 | 2</t>
  </si>
  <si>
    <t>1
1
0</t>
  </si>
  <si>
    <t>1
1
1</t>
  </si>
  <si>
    <t>1
0
2</t>
  </si>
  <si>
    <t>1 | 2
1 | 3
2 | 1
2 | 3
3 | 1
3 | 2</t>
  </si>
  <si>
    <t>1 | 2
1 | 3
2 | 3</t>
  </si>
  <si>
    <t>The input: 2 rows by 3 columns (grey). The "." is a hole in the paper.</t>
  </si>
  <si>
    <t>fold in half to the left: column 3 lands on top of column 1</t>
  </si>
  <si>
    <t>fold to the right: column 1 lands on top of column 3</t>
  </si>
  <si>
    <t>fold upwards: the bottom row lands on top of the top row</t>
  </si>
  <si>
    <t>[LinesToFold] = 1: only the last column folds, onto its neighbour</t>
  </si>
  <si>
    <t>[PassthroughChars] = ".": the hole lets the 1 underneath show through (compare the first example)</t>
  </si>
  <si>
    <t xml:space="preserve">. | 2 | 
6 | 5 | </t>
  </si>
  <si>
    <t xml:space="preserve"> | 2 | 1
 | 5 | 4</t>
  </si>
  <si>
    <t xml:space="preserve">4 | 5 | 6
 |  | </t>
  </si>
  <si>
    <t xml:space="preserve">1 | . | 
4 | 6 | </t>
  </si>
  <si>
    <t xml:space="preserve">1 | 2 | 
6 | 5 | </t>
  </si>
  <si>
    <t>The input: a wide table, one column per month (grey). Blue has no Feb.</t>
  </si>
  <si>
    <t>Team</t>
  </si>
  <si>
    <t>Jan</t>
  </si>
  <si>
    <t>Feb</t>
  </si>
  <si>
    <t>Red</t>
  </si>
  <si>
    <t>Blue</t>
  </si>
  <si>
    <t>[RemoveBlanks] = 1: the empty cell does not become a row</t>
  </si>
  <si>
    <t>[HasHeaders] = 1: include the header row and every value is labelled with its month</t>
  </si>
  <si>
    <t>Red | 10
Red | 20
Blue | 30
Blue | 0</t>
  </si>
  <si>
    <t>Red | 10
Red | 20
Blue | 30</t>
  </si>
  <si>
    <t>Red | Jan | 10
Red | Feb | 20
Blue | Jan | 30
Blue | Feb | 0</t>
  </si>
  <si>
    <t>Reach for it when:  Arrays of different sizes: stepping past the end gives padding, not an error, so they still line up.</t>
  </si>
  <si>
    <t>each team repeated once per month; Blue's empty Feb still makes a row, as 0</t>
  </si>
  <si>
    <t>The input (grey). The examples below point at it.</t>
  </si>
  <si>
    <t>The inputs (grey). The examples below point at them.</t>
  </si>
  <si>
    <t>B6</t>
  </si>
  <si>
    <t>=ExactUnique_byHadynWiseman($E$11:$E$14)</t>
  </si>
  <si>
    <t>=ExactUnique_byHadynWiseman($E$11:$E$14,,1)</t>
  </si>
  <si>
    <t>=ExactUnique_byHadynWiseman($G$11:$J$11,1,1)</t>
  </si>
  <si>
    <t>the same thing on an ARRAY rather than a range (VSTACK turns the grey grid into one). It does not mind, which is what makes it the fallback tool when a cleverer lambda misbehaves. With no range to read, the array's own top-left counts as A1</t>
  </si>
  <si>
    <t>A1</t>
  </si>
  <si>
    <t>B7</t>
  </si>
  <si>
    <t>C12</t>
  </si>
  <si>
    <t>A</t>
  </si>
  <si>
    <t>X</t>
  </si>
  <si>
    <t>Y</t>
  </si>
  <si>
    <t>1</t>
  </si>
  <si>
    <t>2</t>
  </si>
  <si>
    <t>3</t>
  </si>
  <si>
    <t>catalog</t>
  </si>
  <si>
    <t>Look for:</t>
  </si>
  <si>
    <t>BEFORE   =$I$196:$I$197</t>
  </si>
  <si>
    <t>AFTER     =LkpRCByRow($I$196:$I$197, $E$196:$G$198)</t>
  </si>
  <si>
    <t>A small grid and two letters. Copy the grid before you run the command:</t>
  </si>
  <si>
    <t>Seen in a real case:  MEWC 2023 'Backgammon': the bear-off engine. MEWC 2024 'Lana Goes Ice Skating' L4-L7: one loop carrying position, direction and speed.</t>
  </si>
  <si>
    <t>Reach for it when:  'How many turns until...?' 'On which roll does the total first pass 20?'</t>
  </si>
  <si>
    <t>Lambdas for maps and grids. Read the two notes at the top first.</t>
  </si>
  <si>
    <t>FIRST: positions are numbers</t>
  </si>
  <si>
    <t>The grid lambdas work in packed coordinates: row × 10^6 + column, so C7 = 7 × 1,000,000 + 3 = 7000003. If the output needs an A1 address, convert it back with RCRefConvert_byHadynWiseman.</t>
  </si>
  <si>
    <t>SECOND: orthogonal or diagonal?</t>
  </si>
  <si>
    <t>Most lambdas here have a [No_Diag] switch. 1 = orthogonal moves only (up, down, left, right). 0 or left out = diagonal moves too.</t>
  </si>
  <si>
    <t>The row number or column number of an address.</t>
  </si>
  <si>
    <t>You give it:  RowNum_byHadynWiseman(address)   /   ColNum_byHadynWiseman(address)</t>
  </si>
  <si>
    <t>Some addresses (grey):</t>
  </si>
  <si>
    <t>the row of C5</t>
  </si>
  <si>
    <t>the column of C5</t>
  </si>
  <si>
    <t>=RowNum_byHadynWiseman($E$20:$E$22)</t>
  </si>
  <si>
    <t>a range of addresses: one row number each</t>
  </si>
  <si>
    <t>a packed number works too: 5000003 is row 5, column 3</t>
  </si>
  <si>
    <t>the last column of the sheet</t>
  </si>
  <si>
    <t>16384</t>
  </si>
  <si>
    <t>Reach for it when:  You need the row or column of an address on its own.</t>
  </si>
  <si>
    <t>Converts an A1 address to its packed number and back. Also turns an arrow into the packed step it means.</t>
  </si>
  <si>
    <t>You give it:  RCRefConvert_byHadynWiseman(address, packed number or arrow)</t>
  </si>
  <si>
    <t>address in: packed number out</t>
  </si>
  <si>
    <t>5000003</t>
  </si>
  <si>
    <t>packed number in: address out</t>
  </si>
  <si>
    <t>an arrow in: the step it adds to a position (one column right)</t>
  </si>
  <si>
    <t>a diagonal arrow: one row down AND one column right</t>
  </si>
  <si>
    <t>1000001</t>
  </si>
  <si>
    <t>Reach for it when:  An answer needs to be an A1 address again, or a move given as an arrow needs adding to a position.</t>
  </si>
  <si>
    <t>The A1 address of the cell you point at, with its sheet name if you want it.</t>
  </si>
  <si>
    <t>A cell to point at (grey):</t>
  </si>
  <si>
    <t>=YouAreHere_byLiannaGerrish($E$70:$E$70)</t>
  </si>
  <si>
    <t>the cell's address</t>
  </si>
  <si>
    <t>E70</t>
  </si>
  <si>
    <t>[sheetname]: the same address with the sheet in front</t>
  </si>
  <si>
    <t>Reach for it when:  You need a cell's address as text, for example to hand to a lambda that takes addresses.</t>
  </si>
  <si>
    <t>The A1 address of every cell in a range.</t>
  </si>
  <si>
    <t>A small block (grey):</t>
  </si>
  <si>
    <t>=Addresses_byDiarmuidEarly($E$87:$F$88)</t>
  </si>
  <si>
    <t>one address per cell, in the block's shape</t>
  </si>
  <si>
    <t>E87 | F87
E88 | F88</t>
  </si>
  <si>
    <t>Reach for it when:  The answer is WHERE something is rather than what it is.</t>
  </si>
  <si>
    <t>How far apart two cells are: in steps, as the crow flies, or in knight moves.</t>
  </si>
  <si>
    <t>You give it:  Distance_byHadynWiseman(from, to, [h], [v], [d], [pythag], [knight])</t>
  </si>
  <si>
    <t>From A to B (grey):</t>
  </si>
  <si>
    <t>no costs given: CHEBYSHEV, a diagonal step counts as one, so the larger of the row and column gaps</t>
  </si>
  <si>
    <t>[h] and [v] = 1: MANHATTAN, orthogonal steps only</t>
  </si>
  <si>
    <t>[d]: diagonal steps with their own cost (here straight 2, diagonal 3)</t>
  </si>
  <si>
    <t>12</t>
  </si>
  <si>
    <t>[pythag] = 1: straight-line distance</t>
  </si>
  <si>
    <t>5.656854249</t>
  </si>
  <si>
    <t>[knight] = 1: how many knight moves</t>
  </si>
  <si>
    <t>Reach for it when:  How far apart two cells are, by whichever measure the question uses.</t>
  </si>
  <si>
    <t>⚠️ Watch out:  It measures between two addresses and ignores anything in between. For the distance to the nearest cell holding a value, use DistFrom_byDiarmuidEarly.</t>
  </si>
  <si>
    <t>For every cell, the distance to the nearest cell holding a value.</t>
  </si>
  <si>
    <t>You give it:  DistFrom_byDiarmuidEarly(map, value, how to measure)</t>
  </si>
  <si>
    <t>The map (grey):</t>
  </si>
  <si>
    <t>💚</t>
  </si>
  <si>
    <t>SUM: Manhattan, the row gap plus the column gap to the nearest 💚</t>
  </si>
  <si>
    <t>3 | 2 | 2 | 1 | 0
2 | 1 | 2 | 2 | 1
1 | 0 | 1 | 2 | 2
2 | 1 | 2 | 3 | 3
3 | 2 | 3 | 4 | 4</t>
  </si>
  <si>
    <t>MAX: Chebyshev, a diagonal step counts as one</t>
  </si>
  <si>
    <t>2 | 2 | 2 | 1 | 0
1 | 1 | 1 | 1 | 1
1 | 0 | 1 | 2 | 2
1 | 1 | 1 | 2 | 3
2 | 2 | 2 | 2 | 3</t>
  </si>
  <si>
    <t>your own measure as a LAMBDA of the row and column gaps: here straight-line</t>
  </si>
  <si>
    <t>2.236067977 | 2 | 2 | 1 | 0
1.414213562 | 1 | 1.414213562 | 1.414213562 | 1
1 | 0 | 1 | 2 | 2
1.414213562 | 1 | 1.414213562 | 2.236067977 | 3
2.236067977 | 2 | 2.236067977 | 2.828427125 | 3.605551275</t>
  </si>
  <si>
    <t>Reach for it when:  'How far is every cell from the nearest 💚?' A distance for every cell at once.</t>
  </si>
  <si>
    <t>⚠️ Watch out:  It ignores walls: distances are measured straight across the grid. To go round walls, use MazeDistance_byHadynWiseman.</t>
  </si>
  <si>
    <t>WHERE a value is: the address of every cell holding it. (DistFrom gives every cell's distance to the nearest one; ClosestOnMap gives the nearest ones to a start.)</t>
  </si>
  <si>
    <t>You give it:  FindInMap_byHadynWiseman(values to find, map)</t>
  </si>
  <si>
    <t>🍌</t>
  </si>
  <si>
    <t>Two values to look for (grey):</t>
  </si>
  <si>
    <t>every 💚</t>
  </si>
  <si>
    <t>just one S, so just one address</t>
  </si>
  <si>
    <t>a list of values: every 💚 and every 🍌</t>
  </si>
  <si>
    <t>nothing matches: 'Not Found'</t>
  </si>
  <si>
    <t>Reach for it when:  You need to know where things are: the start square, every 💚, each portal.</t>
  </si>
  <si>
    <t>The nearest cells to a start: each one's value, address and distance, nearest first. (Like DistFrom, but from one start, and it tells you WHERE.)</t>
  </si>
  <si>
    <t>You give it:  ClosestOnMap_byHadynWiseman(map, start, how far to search, [values], [distance function], [show blanks], [tie-break order])</t>
  </si>
  <si>
    <t>A mini version of MEWC 2024 'Portal': you are at S (grey):</t>
  </si>
  <si>
    <t>every 💚 within 5 of S: value, address, distance</t>
  </si>
  <si>
    <t>search only 2 away: fewer found</t>
  </si>
  <si>
    <t>[Items] left out: anything within 2, S itself included</t>
  </si>
  <si>
    <t>[DistFunc]: Manhattan instead of the default (diagonal = 1), by handing it Distance</t>
  </si>
  <si>
    <t>Reach for it when:  'Which 💚 is nearest, and how far?' The nearest of something to a start, with its address.</t>
  </si>
  <si>
    <t>⚠️ Watch out:  When two are equally close, their order follows the tie-break argument; set it if the order matters.</t>
  </si>
  <si>
    <t>Laps a counter round a board numbered 1 to N: past the last space it carries on from 1.</t>
  </si>
  <si>
    <t>You give it:  BoardGameMove_byHadynWiseman(position after the move, number of spaces)</t>
  </si>
  <si>
    <t>=BoardGameMove_byHadynWiseman(24,12)</t>
  </si>
  <si>
    <t>exactly two laps: the last space, 12</t>
  </si>
  <si>
    <t>The block of cells around a cell you name.</t>
  </si>
  <si>
    <t>A lettered grid, so you can see where each block comes from (grey):</t>
  </si>
  <si>
    <t>m</t>
  </si>
  <si>
    <t>n</t>
  </si>
  <si>
    <t>s</t>
  </si>
  <si>
    <t>v</t>
  </si>
  <si>
    <t>the 3x3 block CENTRED on m: the eight neighbours and m</t>
  </si>
  <si>
    <t>g | h | i
l | m | n
q | r | s</t>
  </si>
  <si>
    <t>[Pos] = "TL": m is the top-left corner</t>
  </si>
  <si>
    <t>m | n | o
r | s | t
w | x | y</t>
  </si>
  <si>
    <t>[ColSize]: 2 rows by 3 columns</t>
  </si>
  <si>
    <t>m | n | o
r | s | t</t>
  </si>
  <si>
    <t>one row, three columns, centred: m and its two side neighbours</t>
  </si>
  <si>
    <t>l | m | n</t>
  </si>
  <si>
    <t>[Fill]: centred on the corner a, the cells off the grid are filled with -</t>
  </si>
  <si>
    <t>- | - | -
- | a | b
- | f | g</t>
  </si>
  <si>
    <t>[WrapAround] = 1: the block comes round from the other side instead</t>
  </si>
  <si>
    <t>y | u | v
e | a | b
j | f | g</t>
  </si>
  <si>
    <t>Reach for it when:  Neighbour checks: the 3x3 around a cell (minesweeper), or everything within n squares.</t>
  </si>
  <si>
    <t>From a start, every cell you can reach without crossing a wall, numbered by how many steps away it is.</t>
  </si>
  <si>
    <t>You give it:  Maze_byHadynWiseman(map, start, [targets], [No_Diag], [AllowMp], [Custom_Directions])</t>
  </si>
  <si>
    <t>The map: x is a wall, the start is the top-left cell (grey):</t>
  </si>
  <si>
    <t>Moves for the last example: right and down (grey):</t>
  </si>
  <si>
    <t>orthogonal: steps from the start to every cell it can reach. Walls and the sealed-off corner stay blank</t>
  </si>
  <si>
    <t xml:space="preserve">0 | 1 | 2 | 3 |  | 9
1 |  |  | 4 |  | 8
2 |  | 6 | 5 | 6 | 7
3 |  | 7 |  |  | 
4 | 5 | 6 |  |  | 
 |  | 7 |  |  | </t>
  </si>
  <si>
    <t>[No_Diag] = 0: diagonal moves too, so fewer steps, and gaps between wall corners open up</t>
  </si>
  <si>
    <t xml:space="preserve">0 | 1 | 2 | 3 |  | 6
1 |  |  | 3 |  | 5
2 |  | 4 | 4 | 4 | 5
3 |  | 5 |  |  | 
4 | 4 | 5 |  |  | 
 |  | 5 |  |  | </t>
  </si>
  <si>
    <t>[targets]: just the steps to one cell</t>
  </si>
  <si>
    <t>7</t>
  </si>
  <si>
    <t>a target that cannot be reached: OOB</t>
  </si>
  <si>
    <t>[Custom_Directions]: only the moves in the grey cells (1 = right, 1000000 = down)</t>
  </si>
  <si>
    <t xml:space="preserve">0 | 1 | 2 | 3 |  | 
1 |  |  | 4 |  | 
2 |  |  | 5 | 6 | 7
3 |  |  |  |  | 
4 | 5 | 6 |  |  | 
 |  | 7 |  |  | </t>
  </si>
  <si>
    <t>Reach for it when:  'Can I get from here to there at all?' 'Which cells can be reached?'</t>
  </si>
  <si>
    <t>⚠️ Watch out:  Without [AllowMp] the open cells are the EMPTY ones (or the 0s, if nothing is empty). Pass a TRUE/FALSE grid such as map&lt;&gt;"x" to say what is open.</t>
  </si>
  <si>
    <t>Seen in a real case:  Community 'Banana Kaizo': every level starts with working out which cells can be reached.</t>
  </si>
  <si>
    <t>Moves from a cell in one direction, with rules for what happens at a wall.</t>
  </si>
  <si>
    <t>You give it:  MoveOnMap_byHadynWiseman(start, direction, [steps], [map], [Path], [Stop], [Glide], [Bounce], [Wrap], [RefMap], [mpA], [ShowDir])</t>
  </si>
  <si>
    <t>A room with a short wall, x (grey):</t>
  </si>
  <si>
    <t>two steps right: the cell you end on</t>
  </si>
  <si>
    <t>[Path] = 1: every cell on the way</t>
  </si>
  <si>
    <t>[Stop] = 1: heading diagonally into the wall, it stops in front of it</t>
  </si>
  <si>
    <t>[Glide] = 1: the same move, but it slides along the wall instead</t>
  </si>
  <si>
    <t>[Bounce] = 1: the same move, but it bounces off the wall</t>
  </si>
  <si>
    <t>[Wrap] = 1: off the right edge and back on at the left</t>
  </si>
  <si>
    <t>[ShowDir] = 1: the direction it arrived in and the direction it leaves in, at every cell</t>
  </si>
  <si>
    <t>Reach for it when:  'Slide until you hit a wall.' 'Bounce off the edge.' 'Wrap round to the other side.'</t>
  </si>
  <si>
    <t>⚠️ Watch out:  Turn on one of Stop, Glide, Bounce or Wrap at a time: with Glide or Bounce on, Stop and Wrap are ignored.</t>
  </si>
  <si>
    <t>The cost of the cheapest route from a start to every cell, going round walls. The cost of a route is the sum of the cells it enters.</t>
  </si>
  <si>
    <t>You give it:  MazeDistance_byHadynWiseman(map, start, [Targets], [No_Diag], [Allowmp], [Show_Steps], [Cus_Dir], [Mazelam])</t>
  </si>
  <si>
    <t>Costs to enter each cell; x is a wall (grey):</t>
  </si>
  <si>
    <t>Knight moves, as packed steps (grey):</t>
  </si>
  <si>
    <t>the cheapest cost from the top-left to every cell, orthogonal moves</t>
  </si>
  <si>
    <t>0 | 1 | 2 | 3 | 4
1 |  | 9 |  | 5
2 |  | 8 |  | 6
3 |  | 7 |  | 7
4 | 5 | 6 | 7 | 8</t>
  </si>
  <si>
    <t>[Show_Steps] = 1: the number of steps on that cheapest route</t>
  </si>
  <si>
    <t>0 | 1 | 2 | 3 | 4
1 |  | 3 |  | 5
2 |  | 8 |  | 6
3 |  | 7 |  | 7
4 | 5 | 6 | 7 | 8</t>
  </si>
  <si>
    <t>[No_Diag] = 0: diagonal moves too</t>
  </si>
  <si>
    <t>0 | 1 | 2 | 3 | 4
1 |  | 8 |  | 4
2 |  | 6 |  | 5
3 |  | 5 |  | 6
4 | 4 | 5 | 6 | 7</t>
  </si>
  <si>
    <t>[Targets]: just the cost to one cell</t>
  </si>
  <si>
    <t>two starts: every cell gets the cost from whichever start is cheaper</t>
  </si>
  <si>
    <t>0 | 1 | 2 | 3 | 4
1 |  | 9 |  | 3
2 |  | 4 |  | 2
3 |  | 3 |  | 1
4 | 3 | 2 | 1 | 0</t>
  </si>
  <si>
    <t>[Cus_Dir]: knight moves instead of steps</t>
  </si>
  <si>
    <t>0 | 9 | 12 | 9 | 8
11 |  | 7 |  | 11
8 |  | 10 |  | 8
11 |  | 9 |  | 11
10 | 9 | 12 | 9 | 10</t>
  </si>
  <si>
    <t>[Mazelam]: your own cost per move. Here a diagonal move costs 1.5 times the cell ([dir] is the packed step)</t>
  </si>
  <si>
    <t>0 | 1 | 2 | 3 | 4
1 |  | 9 |  | 4.5
2 |  | 7 |  | 5.5
3 |  | 6 |  | 6.5
4 | 4.5 | 5.5 | 6.5 | 7.5</t>
  </si>
  <si>
    <t>Reach for it when:  Shortest or cheapest route round walls, from a start to one cell or to every cell.</t>
  </si>
  <si>
    <t>⚠️ Watch out:  It adds up the values of the cells it enters, so open cells must hold numbers; [Show_Steps] = 1 counts steps instead. [Allowmp] must be a TRUE/FALSE grid the shape of the map (like map&lt;&gt;"x"): a single TRUE returns #N/A.</t>
  </si>
  <si>
    <t>Reverses every other row (or column), so a grid reads back and forth like a ploughed field.</t>
  </si>
  <si>
    <t>You give it:  Snake_byHadynWiseman(array, [ByCol], [StartRorC], [SwapEvery], [AddressMoves])</t>
  </si>
  <si>
    <t>A lettered grid (grey):</t>
  </si>
  <si>
    <t>every second row reversed</t>
  </si>
  <si>
    <t>a | b | c | d
h | g | f | e
i | j | k | l</t>
  </si>
  <si>
    <t>[ByCol] = 1: every second COLUMN reversed</t>
  </si>
  <si>
    <t>a | j | c | l
e | f | g | h
i | b | k | d</t>
  </si>
  <si>
    <t>[StartRorC] = 1: the reversing starts with the first row</t>
  </si>
  <si>
    <t>d | c | b | a
e | f | g | h
l | k | j | i</t>
  </si>
  <si>
    <t>[SwapEvery] = 3: every third row reversed, starting with the first</t>
  </si>
  <si>
    <t>d | c | b | a
e | f | g | h
i | j | k | l</t>
  </si>
  <si>
    <t>[AddressMoves]: where the cell holding e ends up</t>
  </si>
  <si>
    <t>Reach for it when:  Boards numbered back and forth, like snakes and ladders.</t>
  </si>
  <si>
    <t>Cheapest routes through a network given as a list of connections with costs.</t>
  </si>
  <si>
    <t>You give it:  NetworkGraph_byHadynWiseman(start, from/to list, [costs], [cost function], [target], [both ways?], [start costs], [maximise?], [step limit], [show route])</t>
  </si>
  <si>
    <t>Flights, with hours (grey):</t>
  </si>
  <si>
    <t>From</t>
  </si>
  <si>
    <t>To</t>
  </si>
  <si>
    <t>Hours</t>
  </si>
  <si>
    <t>London</t>
  </si>
  <si>
    <t>LA</t>
  </si>
  <si>
    <t>Las Vegas</t>
  </si>
  <si>
    <t>the quickest London to Las Vegas: via LA, 11 + 1.25</t>
  </si>
  <si>
    <t>12.25</t>
  </si>
  <si>
    <t>[ShowRoute] = 1: that route, with the hours so far at each stop</t>
  </si>
  <si>
    <t>Las Vegas | 12.25
LA | 11
London | 0</t>
  </si>
  <si>
    <t>[Targets] left out: every city, with its best time, flights taken and the city before it</t>
  </si>
  <si>
    <t>LA | 11 | 1 | London
Las Vegas | 12.25 | 2 | LA
London | 0 | 0 | 0
SF | 11 | 1 | London</t>
  </si>
  <si>
    <t>[Weights] left out: every flight counts 1, so the fewest flights (the direct one)</t>
  </si>
  <si>
    <t>[Function]: add a 1-hour connection to every flight, and now the direct flight wins</t>
  </si>
  <si>
    <t>14</t>
  </si>
  <si>
    <t>[MaximiseW] = 1: the slowest route instead</t>
  </si>
  <si>
    <t>[BiDirectional] = 1: the flights can be taken both ways, so Las Vegas back to London</t>
  </si>
  <si>
    <t>Reach for it when:  Train lines. Flight connections. Places joined by named links instead of by being next to each other on a grid.</t>
  </si>
  <si>
    <t>⚠️ Watch out:  Connections are one-way unless [BiDirectional] = 1.</t>
  </si>
  <si>
    <t>Finds the separate groups of touching cells and numbers them.</t>
  </si>
  <si>
    <t>You give it:  Regions_byHadynWiseman(map, [No_Diag], [Allowmp], [Cus_Dir])</t>
  </si>
  <si>
    <t>A mini Battleship board: 1 is part of a ship (grey):</t>
  </si>
  <si>
    <t>Touching for the last example: left and right only (grey):</t>
  </si>
  <si>
    <t>every ship cell labelled with its ship's number</t>
  </si>
  <si>
    <t xml:space="preserve">1 | 1 |  | 2 | 
1 | 1 |  | 2 | 
 |  |  | 2 | 
 | 3 | 3 |  | 
 |  |  |  | </t>
  </si>
  <si>
    <t>the highest label is the number of ships</t>
  </si>
  <si>
    <t>[No_Diag] = 0: touching corner to corner counts too, so two ships join up</t>
  </si>
  <si>
    <t xml:space="preserve">1 | 1 |  | 2 | 
1 | 1 |  | 2 | 
 |  |  | 2 | 
 | 2 | 2 |  | 
 |  |  |  | </t>
  </si>
  <si>
    <t>[Allowmp] left out: it groups the EMPTY cells instead (or the 0s), so here the sea is the region</t>
  </si>
  <si>
    <t xml:space="preserve"> |  | 1 |  | 1
 |  | 1 |  | 1
1 | 1 | 1 |  | 1
1 |  |  | 1 | 1
1 | 1 | 1 | 1 | 1</t>
  </si>
  <si>
    <t>[Cus_Dir]: only left and right count as touching, so each row of a ship is its own region</t>
  </si>
  <si>
    <t xml:space="preserve">1 | 1 |  | 2 | 
3 | 3 |  | 4 | 
 |  |  | 5 | 
 | 6 | 6 |  | 
 |  |  |  | </t>
  </si>
  <si>
    <t>⚠️ Watch out:  [Allowmp] must be a TRUE/FALSE grid the shape of the map, like map=1; a single TRUE makes every cell its own region.</t>
  </si>
  <si>
    <t>What can be seen: lines of sight go out from a cell until a blocker stops them.</t>
  </si>
  <si>
    <t>You give it:  LineOfSight_byHadynWiseman(map, values that look, blockers, [No_Diag], [Distance], [Custom_RC_Directions], [Fill])   /   LineOfSightCount_byHadynWiseman(start cell, map, values to count, [Blockers], [No_Diag], [Distance], [Custom_Directions])</t>
  </si>
  <si>
    <t>The map: x blocks the view, the a's are looking (grey):</t>
  </si>
  <si>
    <t>Directions for the custom example: right and left (grey):</t>
  </si>
  <si>
    <t>every cell an a can see is marked a; the x's block the view</t>
  </si>
  <si>
    <t>x | a | x | a | x
x | a | x | a | a
 | a |  | a | x
x | x | x | a | x
a | a | a | a | x</t>
  </si>
  <si>
    <t>[Distance] = 1: only one cell in each direction</t>
  </si>
  <si>
    <t>x | a | x | a | x
x | a | x | a | a
 |  |  | a | x
x | x | x |  | x
a | a | a |  | x</t>
  </si>
  <si>
    <t>[Custom_RC_Directions]: look only along the directions in the grey cells</t>
  </si>
  <si>
    <t>x | a | x | a | x
x |  | x | a | a
 |  |  |  | x
x | x | x |  | x
a | a | a | a | x</t>
  </si>
  <si>
    <t>how many a's can be seen from the empty cell in row 3, column 4</t>
  </si>
  <si>
    <t>[Blockers] left out: nothing blocks, so more a's are counted</t>
  </si>
  <si>
    <t>[No_Diag] = 1: 4 directions only</t>
  </si>
  <si>
    <t>[Distance] = 1: neighbours only</t>
  </si>
  <si>
    <t>starting ON an a: that a is counted too, plus the one diagonally up-left</t>
  </si>
  <si>
    <t>Reach for it when:  'How many a's can be seen from here?' 'Which cells can the guards see?' Anything where walls block the view.</t>
  </si>
  <si>
    <t>Walks along the walls, keeping them on one side, the way you would escape a hedge maze.</t>
  </si>
  <si>
    <t>You give it:  HugWall_byHadynWiseman(map, start, first direction, [AntiClockwise], [AllowMp], [Steps], [ReferenceMap], [Show_on_map])</t>
  </si>
  <si>
    <t>[Show_on_map] = 1: the walk drawn on the map, each cell numbered by the step that reached it</t>
  </si>
  <si>
    <t>1 | 2 | 3, 5 | 4 | x | 12
x | x | 6 | x | x | 11, 13
p | p | 7 | 8 | 9 | 10, 14
p | x | x | x | x | 15
p | x | p | p | x | 16
p | p | p | x | p | p</t>
  </si>
  <si>
    <t>[Show_on_map] left out: the walk as a list of cells (a shorter one, [Steps] = 6)</t>
  </si>
  <si>
    <t>[first_direction]: starting lower down, setting off downwards</t>
  </si>
  <si>
    <t>p | p | p | p | x | p
x | x | p | x | x | p
1, 15 | 16 | p | p | p | p
2, 14 | x | x | x | x | p
3, 13 | x | 7, 9 | 8 | x | p
4, 12 | 5, 11 | 6, 10 | x | p | p</t>
  </si>
  <si>
    <t>[AntiClockwise] = 1: keep the wall on the other side</t>
  </si>
  <si>
    <t>1 | 2 | 3 | p | x | p
x | x | 4 | x | x | p
7 | 6 | 5 | p | p | p
8 | x | x | x | x | p
9 | x | 13, 15 | 14 | x | p
10 | 11 | 12, 16 | x | p | p</t>
  </si>
  <si>
    <t>Reach for it when:  'Follow the wall until you get back to the start.' 'Trace the outline of the shape.'</t>
  </si>
  <si>
    <t>⚠️ Watch out:  The walls are whatever [AllowMp] says is not walkable: pass a TRUE/FALSE grid like map="p". Left out, only the EMPTY cells (or the 0s) are walkable. The first step goes in [first_direction] without checking for a wall, so start with an open direction.</t>
  </si>
  <si>
    <t>▸  Exists_byHadynWiseman  ·  ArrowsLookup_byHadynWiseman</t>
  </si>
  <si>
    <t>Helpers: other lambdas here use them, and they work on their own too.</t>
  </si>
  <si>
    <t>You give it:  Exists_byHadynWiseman(value, list, [SearchMode])  ·  ArrowsLookup_byHadynWiseman(direction)</t>
  </si>
  <si>
    <t>ArrowsLookup takes: an arrow (↑ ↓ ← → ↖ ↗ ↙ ↘); a letter or pair (U D L R, T B, N S E W, UL UR DL DR, TL TR BL BR, NE NW SE SW, and the reversed pairs); or a word (Up, Down, Left, Right, Top, Bottom, North, South, East, West, Northeast, Northwest, Southeast, Southwest).</t>
  </si>
  <si>
    <t>A list (grey):</t>
  </si>
  <si>
    <t>is the value in the list?</t>
  </si>
  <si>
    <t>=ArrowsLookup_byHadynWiseman("NE")</t>
  </si>
  <si>
    <t>any way of writing a direction in, the arrow out</t>
  </si>
  <si>
    <t>↗</t>
  </si>
  <si>
    <t>▸  Alphabet_byHadynWiseman</t>
  </si>
  <si>
    <t>A to Z as a 26-row list.</t>
  </si>
  <si>
    <t>You give it:  Alphabet_byHadynWiseman()</t>
  </si>
  <si>
    <t>all 26, joined here to fit on one line</t>
  </si>
  <si>
    <t>the third letter</t>
  </si>
  <si>
    <t>Reach for it when:  A full set of letters to check against or count through.</t>
  </si>
  <si>
    <t>Which letters of the alphabet are NOT in a list. Give it your own complete set to check against instead, and it works for anything.</t>
  </si>
  <si>
    <t>You give it:  MissingLetters_byJaqKennedy(list, [the complete set])</t>
  </si>
  <si>
    <t>Reach for it when:  'Which letters never appear?' For anything other than letters, NotInList_byJaqKennedy does the same job.</t>
  </si>
  <si>
    <t>⚠️ Watch out:  Pass a tie-break key (the last two arguments); without one, a tie goes to whichever came first.</t>
  </si>
  <si>
    <t>⚠️ Watch out:  It ignores case unless [Case] is set.</t>
  </si>
  <si>
    <t>Reach for it when:  'Which was most popular, and by how much?' The built-in MODE gives you the value but not the count.</t>
  </si>
  <si>
    <t>⚠️ Watch out:  It needs a range on a sheet: on a calculated array, such as a spill, the COUNTIF inside gives a wrong answer.</t>
  </si>
  <si>
    <t>[HideBlanks] = 1: the empties and zeroes drop out</t>
  </si>
  <si>
    <t>when everything IS in the list you get an empty answer, not #CALC!</t>
  </si>
  <si>
    <t>Reach for it when:  UnPivot_byHadynWiseman is built on it, so it has to come along when you import UnPivot.</t>
  </si>
  <si>
    <t>=RunningCount_byHadynWiseman($E$37:$E$40)</t>
  </si>
  <si>
    <t>=RunningCount_byHadynWiseman($G$37:$G$40)</t>
  </si>
  <si>
    <t>=ExcludeCols_byHadynWiseman($E$65:$G$66,2)</t>
  </si>
  <si>
    <t>=ExcludeCols_byHadynWiseman($E$65:$G$66,$E$69:$F$69)</t>
  </si>
  <si>
    <t>=GridToCol_byLiannaGerrish($E$89:$G$90)</t>
  </si>
  <si>
    <t>=GridToCol_byLiannaGerrish($E$89:$G$90,1)</t>
  </si>
  <si>
    <t>Items | Address
a | E89
0 | F89
b | G89
c | F90
d | G90</t>
  </si>
  <si>
    <t>=GridToCol_byLiannaGerrish($E$89:$G$90,,1)</t>
  </si>
  <si>
    <t>=GridToCol_byLiannaGerrish($E$89:$G$90,,,1)</t>
  </si>
  <si>
    <t>=GridToCol_byLiannaGerrish($E$89:$G$90,0,0,1)</t>
  </si>
  <si>
    <t>=GridToCol_byLiannaGerrish($E$89:$G$90,,,,1)</t>
  </si>
  <si>
    <t>=GridToCol_byLiannaGerrish($E$89:$G$90,,,,,1)</t>
  </si>
  <si>
    <t>=GridToCol_byLiannaGerrish($E$89:$G$90,,,,,,1)</t>
  </si>
  <si>
    <t>=GridToCol_byLiannaGerrish(VSTACK($E$93:$F$94))</t>
  </si>
  <si>
    <t>=LET(t,GridToCol_byLiannaGerrish(VSTACK($E$93:$F$94)),XLOOKUP(2000001,DROP(CHOOSECOLS(t,5),1),DROP(CHOOSECOLS(t,1),1)))</t>
  </si>
  <si>
    <t>=ArrayShift_byHadynWiseman($E$181:$E$183,1,0,"-",0)</t>
  </si>
  <si>
    <t>=ArrayShift_byHadynWiseman($E$181:$E$183,1,0,"-",1)</t>
  </si>
  <si>
    <t>=ArrayShift_byHadynWiseman($G$181:$I$181,0,1,"-",0)</t>
  </si>
  <si>
    <t>=ArrayShift_byHadynWiseman($E$181:$E$183,-1,0,"-",0)</t>
  </si>
  <si>
    <t>=ArrayShift_byHadynWiseman($E$181:$E$183,1,0,0,0)</t>
  </si>
  <si>
    <t>=UnSplivot_byJJ($E$218:$G$219,"/")</t>
  </si>
  <si>
    <t>=UnSplivot_byJJ(CHOOSECOLS($E$218:$G$219,1,3),"/")</t>
  </si>
  <si>
    <t>=ByRectangle_byBoRydobon($E$243:$I$247,LAMBDA(a,SUM(a)),2)</t>
  </si>
  <si>
    <t>=ByRectangle_byBoRydobon($E$243:$I$247,LAMBDA(a,MAX(a)),2)</t>
  </si>
  <si>
    <t>=ByRectangle_byBoRydobon($E$243:$I$247,LAMBDA(a,SUM(a)),1,3)</t>
  </si>
  <si>
    <t>=MAX(ByRectangle_byBoRydobon($E$243:$I$247,LAMBDA(a,SUM(a)),2))</t>
  </si>
  <si>
    <t>=Rotate_byHadynWiseman($E$282:$G$283)</t>
  </si>
  <si>
    <t>=Rotate_byHadynWiseman($E$282:$G$283,2)</t>
  </si>
  <si>
    <t>=Rotate_byHadynWiseman($E$282:$G$283,3)</t>
  </si>
  <si>
    <t>=Flip_byHadynWiseman($E$309:$G$310,1)</t>
  </si>
  <si>
    <t>=Flip_byHadynWiseman($E$309:$G$310,0,1)</t>
  </si>
  <si>
    <t>=Flip_byHadynWiseman($E$309:$G$310,0,0,1)</t>
  </si>
  <si>
    <t>=Flip_byHadynWiseman($E$309:$G$310,0,0,0,1)</t>
  </si>
  <si>
    <t>=Flip_byHadynWiseman($E$309:$G$310,1,1)</t>
  </si>
  <si>
    <t>=Flip_byHadynWiseman($E$309:$G$310,1,0,0,0,"E309")</t>
  </si>
  <si>
    <t>G309</t>
  </si>
  <si>
    <t>=OffsetA_byPeterScharl($E$347:$E$349,1,0,,,"-")</t>
  </si>
  <si>
    <t>=OffsetA_byPeterScharl($E$347:$E$349,0,0,2,,"-")</t>
  </si>
  <si>
    <t>=OffsetA_byPeterScharl($G$347:$I$347,0,1,,,"-")</t>
  </si>
  <si>
    <t>=OffsetA_byPeterScharl($E$347:$E$349,2,0,,,"-")</t>
  </si>
  <si>
    <t>=OffsetA_byPeterScharl($G$347:$I$347,0,0,,2,"-")</t>
  </si>
  <si>
    <t>=UnPivot_byHadynWiseman($E$382:$E$383,$F$382:$G$383,0,0)</t>
  </si>
  <si>
    <t>=UnPivot_byHadynWiseman($E$382:$E$383,$F$382:$G$383,0,1)</t>
  </si>
  <si>
    <t>=UnPivot_byHadynWiseman($E$381:$E$383,$F$381:$G$383,1,0)</t>
  </si>
  <si>
    <t>=Fold_byHadynWiseman($E$413:$G$414,"←")</t>
  </si>
  <si>
    <t>=Fold_byHadynWiseman($E$413:$G$414,"→")</t>
  </si>
  <si>
    <t>=Fold_byHadynWiseman($E$413:$G$414,"↑")</t>
  </si>
  <si>
    <t>=Fold_byHadynWiseman($E$413:$G$414,"←",,1)</t>
  </si>
  <si>
    <t>=Fold_byHadynWiseman($E$413:$G$414,"←",".")</t>
  </si>
  <si>
    <t>=RunningTotal_byJaqKennedy($E$446:$E$450)</t>
  </si>
  <si>
    <t>=RunningTotal_byJaqKennedy($E$446:$E$450,$F$446:$F$450,0)</t>
  </si>
  <si>
    <t>=RunningTotal_byJaqKennedy($E$446:$E$450,$F$446:$F$450,2400)</t>
  </si>
  <si>
    <t>=RunningTotal_byJaqKennedy($E$446:$E$450,,,2000)</t>
  </si>
  <si>
    <t>Items | Row # | Column # | Address | RCRef
a | 89 | 5 | E89 | 89000005
0 | 89 | 6 | F89 | 89000006
b | 89 | 7 | G89 | 89000007
c | 90 | 6 | F90 | 90000006
d | 90 | 7 | G90 | 90000007</t>
  </si>
  <si>
    <t>Items | Row # | Column #
a | 89 | 5
0 | 89 | 6
b | 89 | 7
c | 90 | 6
d | 90 | 7</t>
  </si>
  <si>
    <t>Items | RCRef
a | 89000005
0 | 89000006
b | 89000007
c | 90000006
d | 90000007</t>
  </si>
  <si>
    <t>Items | Row # | Column # | Address | RCRef
a | 89 | 5 | E89 | 89000005
0 | 89 | 6 | F89 | 89000006
c | 90 | 6 | F90 | 90000006
b | 89 | 7 | G89 | 89000007
d | 90 | 7 | G90 | 90000007</t>
  </si>
  <si>
    <t>Items | Row # | Column # | Address | RCRef
a | 89 | 5 | E89 | 89000005
b | 89 | 7 | G89 | 89000007
c | 90 | 6 | F90 | 90000006
d | 90 | 7 | G90 | 90000007</t>
  </si>
  <si>
    <t>Items | Row # | Column # | Address | RCRef
a | 89 | 5 | E89 | 89000005
0 | 89 | 6 | F89 | 89000006
b | 89 | 7 | G89 | 89000007
 | 90 | 5 | E90 | 90000005
c | 90 | 6 | F90 | 90000006
d | 90 | 7 | G90 | 90000007</t>
  </si>
  <si>
    <t>Pulling text apart, and putting it back together shifted.</t>
  </si>
  <si>
    <t>Reach for it when:  Ciphers, and any 'look at each letter' problem.</t>
  </si>
  <si>
    <t>a # and a #</t>
  </si>
  <si>
    <t>Finds sets and runs in a hand of cards: pairs, three of a kind, straights. A card is its rank then its suit, like A♠ or 10♥.</t>
  </si>
  <si>
    <t>You give it:  CardSets_byHadynWiseman(cards, cards in the set or run, [Ace_High], [Ace_Low], [Sets], [CustomCardList], [WrapAroundRuns])</t>
  </si>
  <si>
    <t>A♠</t>
  </si>
  <si>
    <t>A♥</t>
  </si>
  <si>
    <t>K♦</t>
  </si>
  <si>
    <t>A♦</t>
  </si>
  <si>
    <t>K♣</t>
  </si>
  <si>
    <t>2♥</t>
  </si>
  <si>
    <t>3♥</t>
  </si>
  <si>
    <t>4♥</t>
  </si>
  <si>
    <t>Q♥</t>
  </si>
  <si>
    <t>K♥</t>
  </si>
  <si>
    <t>[WrapAroundRuns] = 1, with both ace switches on: K-A-2 runs through the end of the order</t>
  </si>
  <si>
    <t>K♥
A♥
2♥</t>
  </si>
  <si>
    <t>[Ace_Low] = 1: the ace sits below the two, so A-2-3 is a run</t>
  </si>
  <si>
    <t>A♥
2♥
3♥</t>
  </si>
  <si>
    <t>[Ace_High] = 1: the ace sits above the king, so Q-K-A is a run</t>
  </si>
  <si>
    <t>Q♥
K♥
A♥</t>
  </si>
  <si>
    <t>[Sets] left out: RUNS, consecutive ranks in one suit</t>
  </si>
  <si>
    <t>2♥
3♥
4♥</t>
  </si>
  <si>
    <t>[Sets] = 1 with 3 cards: three of a kind</t>
  </si>
  <si>
    <t>A♠
A♥
A♦</t>
  </si>
  <si>
    <t>A♠
A♥</t>
  </si>
  <si>
    <t>Reach for it when:  Dice given as the Unicode faces ⚀⚁⚂⚃⚄⚅ rather than as digits.</t>
  </si>
  <si>
    <t>What an ENGINE is</t>
  </si>
  <si>
    <t>Some questions cannot be answered by a formula that looks at everything at once. 'Which turn did the score first pass 100?' can only be answered by going turn by turn, carrying the running score with you, and stopping the moment it passes 100. That is a LOOP (see Words).</t>
  </si>
  <si>
    <t>Repeats a step until a condition becomes true, then hands back the state it ended on.</t>
  </si>
  <si>
    <t>Each player's score per turn (grey):</t>
  </si>
  <si>
    <t>Player 1</t>
  </si>
  <si>
    <t>Player 2</t>
  </si>
  <si>
    <t>double a number until it passes 100: the number it ends on</t>
  </si>
  <si>
    <t>128</t>
  </si>
  <si>
    <t>=WhileLoop_byHarryGross("a",LAMBDA(v,VSTACK(v,CHAR(CODE(TAKE(v,-1))+1))),LAMBDA(v,Exists_byHadynWiseman("e",v)))</t>
  </si>
  <si>
    <t>the stop test can be a lambda you already have: add the next letter to the list until Exists_byHadynWiseman finds an e in it</t>
  </si>
  <si>
    <t>=WhileLoop_byHarryGross(HSTACK(0,0),LAMBDA(v,VSTACK(v,TAKE(v,-1)+INDEX($E$17:$F$25,ROWS(v),0))),LAMBDA(v,MAX(TAKE(v,-1))&gt;20))</t>
  </si>
  <si>
    <t>carry BOTH running totals, one row per turn, and stop when either passes 20: the last row shows player 2 won</t>
  </si>
  <si>
    <t>0 | 0
4 | 5
10 | 10
15 | 16
18 | 22</t>
  </si>
  <si>
    <t>The same engine, but it hands back HOW MANY steps it took instead of where it ended up.</t>
  </si>
  <si>
    <t>The same scores (grey):</t>
  </si>
  <si>
    <t>the doubling loop above: 7 doublings to pass 100</t>
  </si>
  <si>
    <t>=WhileIterations_byHarryGross("a",LAMBDA(v,VSTACK(v,CHAR(CODE(TAKE(v,-1))+1))),LAMBDA(v,Exists_byHadynWiseman("e",v)))</t>
  </si>
  <si>
    <t>the letters loop above: 4 letters added before the e arrives</t>
  </si>
  <si>
    <t>=WhileIterations_byHarryGross(HSTACK(0,0),LAMBDA(v,VSTACK(v,TAKE(v,-1)+INDEX($E$55:$F$63,ROWS(v),0))),LAMBDA(v,MAX(TAKE(v,-1))&gt;20))</t>
  </si>
  <si>
    <t>the race above: someone passes 20 on turn 4</t>
  </si>
  <si>
    <t>BYROW and BYCOL for functions that return more than one value per row or column. Excel's own BYROW and BYCOL give #CALC! for those; these hand your function one row (or column) at a time and stack the answers back up.</t>
  </si>
  <si>
    <t>You give it:  BiRow_byHadynWiseman(array, function for each row)   /   BiCol_byHadynWiseman(array, function for each column)</t>
  </si>
  <si>
    <t>Three rows of two numbers (grey):</t>
  </si>
  <si>
    <t>=BYROW($E$84:$F$86,LAMBDA(r,SORT(r,,-1,TRUE)))</t>
  </si>
  <si>
    <t>Excel's own BYROW: sorting each row returns two values per row, so it fails with #CALC!</t>
  </si>
  <si>
    <t>#CALC!</t>
  </si>
  <si>
    <t>=BiRow_byHadynWiseman($E$84:$F$86,LAMBDA(r,SORT(r,,-1,TRUE)))</t>
  </si>
  <si>
    <t>the same function through BiRow: each row sorted, biggest first</t>
  </si>
  <si>
    <t>9 | 2
7 | 4
8 | 5</t>
  </si>
  <si>
    <t>Reach for it when:  BYROW or BYCOL gives #CALC! because your function returns more than one value.</t>
  </si>
  <si>
    <t>[Fill]: only the FIRST cell in view takes the fill character; every other cell shows the map as it is</t>
  </si>
  <si>
    <t>x | o | x | a | x
x |  | x |  | a
 |  |  |  | x
x | x | x |  | x
 | a |  |  | x</t>
  </si>
  <si>
    <t>Breaks text into its characters, or into chunks of a set size, optionally overlapping.</t>
  </si>
  <si>
    <t>You give it:  SplitText_byHadynWiseman(text, [Groups], [Overlap])</t>
  </si>
  <si>
    <t>one character per item</t>
  </si>
  <si>
    <t>[Groups] = 2: chunks of two</t>
  </si>
  <si>
    <t>[Overlap] = 1: chunks of two, sliding one character at a time</t>
  </si>
  <si>
    <t>You give it:  ExtractNumbers_byHadynWiseman(text, [With_Decimals])</t>
  </si>
  <si>
    <t>[With_Decimals] = 1: 12.5 stays one number</t>
  </si>
  <si>
    <t>▸  ExtractLetters_byJaqKennedy  ·  ExtractUpperLetters_byJaqKennedy  ·  ExtractLowerLetters_byJaqKennedy</t>
  </si>
  <si>
    <t>The letters out of mixed text: all of them, only the capitals, or only the lower case. [AsRuns] = TRUE keeps each unbroken run of letters separate instead of joining them.</t>
  </si>
  <si>
    <t>You give it:  ExtractLetters_byJaqKennedy(text, [AsRuns])  ·  ExtractUpperLetters_byJaqKennedy(text, [AsRuns])  ·  ExtractLowerLetters_byJaqKennedy(text, [AsRuns])</t>
  </si>
  <si>
    <t>Some mixed text (grey):</t>
  </si>
  <si>
    <t>The Cat sat ON the Mat 42</t>
  </si>
  <si>
    <t>=ExtractLetters_byJaqKennedy($E$49:$E$49)</t>
  </si>
  <si>
    <t>every letter, joined</t>
  </si>
  <si>
    <t>TheCatsatONtheMat</t>
  </si>
  <si>
    <t>=ExtractUpperLetters_byJaqKennedy($E$49:$E$49,TRUE)</t>
  </si>
  <si>
    <t>only the capitals, each run kept separate</t>
  </si>
  <si>
    <t>[1 x 4]</t>
  </si>
  <si>
    <t>T | C | ON | M</t>
  </si>
  <si>
    <t>=ExtractLowerLetters_byJaqKennedy($E$49:$E$49)</t>
  </si>
  <si>
    <t>only the lower-case letters, joined</t>
  </si>
  <si>
    <t>heatsattheat</t>
  </si>
  <si>
    <t>Reach for it when:  Codes that mix letters and digits, and puzzles where the capitals spell something.</t>
  </si>
  <si>
    <t>upper and lower case; the digit, space and full stop are all S</t>
  </si>
  <si>
    <t>=LetterType_byHadynWiseman("Excel!",1)</t>
  </si>
  <si>
    <t>[Vowels] = 1: vowels and consonants instead</t>
  </si>
  <si>
    <t>V
C
C
V
C
S</t>
  </si>
  <si>
    <t>Reach for it when:  Counting vowels, spotting capitals, or any rule that depends on what kind of character each one is.</t>
  </si>
  <si>
    <t>The run-length lambda from Level 1 also works on the letters of a single piece of text: for each letter, how long the run of that letter is so far.</t>
  </si>
  <si>
    <t>You give it:  Consecutives_byHadynWiseman(text, [groups])</t>
  </si>
  <si>
    <t>A long string of a's and b's (grey):</t>
  </si>
  <si>
    <t>aaababbbbabababbbbbbbbabaaaaaaaaaaaaaabbabababaaaaaa</t>
  </si>
  <si>
    <t>the count so far at each letter (joined here: the spill is 52 rows long)</t>
  </si>
  <si>
    <t>1,2,3,1,1,1,2,3,4,1,1,1,1,1,1,2,3,4,5,6,7,8,1,1,1,2,3,4,5,6,7,8,9,10,11,12,13,14,1,2,1,1,1,1,1,1,1,2,3,4,5,6</t>
  </si>
  <si>
    <t>the longest run of one letter</t>
  </si>
  <si>
    <t>Reach for it when:  'The longest run of the same letter.'</t>
  </si>
  <si>
    <t>Five words (grey):</t>
  </si>
  <si>
    <t>blacksmith</t>
  </si>
  <si>
    <t>vexed</t>
  </si>
  <si>
    <t>grown</t>
  </si>
  <si>
    <t>puffy</t>
  </si>
  <si>
    <t>cloud</t>
  </si>
  <si>
    <t>the five words split into letters: the letters that appear in none of them</t>
  </si>
  <si>
    <t>J
Q
Z</t>
  </si>
  <si>
    <t>You give it:  ShiftText_byHadynWiseman(text, shift, [AlongShift], [AlongLettersOnly], [NoWrapAround])</t>
  </si>
  <si>
    <t>[AlongShift] = 1: each letter moves one MORE than the last: a+1, b+2, c+3</t>
  </si>
  <si>
    <t>letters wrap round the alphabet: xyz shifted 3 is abc</t>
  </si>
  <si>
    <t>[NoWrapAround] = 1: no wrapping round the alphabet; every character just moves along the Unicode numbers, so z + 3 is }</t>
  </si>
  <si>
    <t>[AlongLettersOnly] = 1: the space does not count towards the growing shift</t>
  </si>
  <si>
    <t>Reach for it when:  Any cipher level, including the variant where each letter moves further than the last.</t>
  </si>
  <si>
    <t>You give it:  MassSubstitute_byHadynWiseman(text, old values, [new values], [CaseSensitive], [InstanceNumber], [Regexmode])   /   RegPattern_byHadynWiseman(words, [words_within_words])</t>
  </si>
  <si>
    <t>Old and new, side by side (grey):</t>
  </si>
  <si>
    <t>A longer substitution table (grey):</t>
  </si>
  <si>
    <t>Two words, one inside the other (grey):</t>
  </si>
  <si>
    <t>a to X and b to Y in one pass; the capital A counts as an a</t>
  </si>
  <si>
    <t>[CaseSensitive] = 1: the same text, but now the capital A is left alone</t>
  </si>
  <si>
    <t>AYc</t>
  </si>
  <si>
    <t>a whole table: each old value replaced by the new one beside it</t>
  </si>
  <si>
    <t>123123</t>
  </si>
  <si>
    <t>[InstanceNumber] = 1: only the FIRST of each is replaced</t>
  </si>
  <si>
    <t>123abc</t>
  </si>
  <si>
    <t>[Regexmode] = 1: the old value is a pattern: any digit</t>
  </si>
  <si>
    <t>a pattern matching either word, longest first</t>
  </si>
  <si>
    <t>[words_within_words] = 1: no word boundaries</t>
  </si>
  <si>
    <t>the pattern straight into MassSubstitute's regex mode: 'catalog' is replaced whole, not as 'cat' + 'alog'</t>
  </si>
  <si>
    <t>⚠️ Watch out:  To replace a list of words, build the pattern with RegPattern_byHadynWiseman, which puts the longest first.</t>
  </si>
  <si>
    <t>Tent</t>
  </si>
  <si>
    <t>Stove</t>
  </si>
  <si>
    <t>Camera</t>
  </si>
  <si>
    <t>Water</t>
  </si>
  <si>
    <t>Returns a code for each character: U upper case, L lower case, S anything else; or V vowel / C consonant; or L letter / D digit</t>
  </si>
  <si>
    <t>Is each character upper or lower case, a vowel or consonant, a letter or a digit?</t>
  </si>
  <si>
    <t>=Prev($E$16:$E$18,1,0)</t>
  </si>
  <si>
    <t>=Prev($G$16:$G$19,2,0)</t>
  </si>
  <si>
    <t>=Prev($E$16:$E$18,1)</t>
  </si>
  <si>
    <t>=Prev($E$21:$G$21,1,0)</t>
  </si>
  <si>
    <t>=Consecutives_byHadynWiseman($E$52:$E$57)</t>
  </si>
  <si>
    <t>=MAX(Consecutives_byHadynWiseman($E$52:$E$57))</t>
  </si>
  <si>
    <t>=Consecutives_byHadynWiseman($E$52:$E$57,1)</t>
  </si>
  <si>
    <t>=FILTER($E$52:$E$57,Consecutives_byHadynWiseman($E$52:$E$57,1)&gt;=3)</t>
  </si>
  <si>
    <t>=Consecutives_byHadynWiseman($E$59:$J$59)</t>
  </si>
  <si>
    <t>=Duplicates_byHadynWiseman($E$106:$E$111)</t>
  </si>
  <si>
    <t>=IFERROR(TEXTJOIN(",",1,Duplicates_byHadynWiseman($G$106:$G$108)),"none")</t>
  </si>
  <si>
    <t>=Biggest_byHadynWiseman($E$134:$E$136,$G$134:$G$136,0)</t>
  </si>
  <si>
    <t>=Biggest_byHadynWiseman($E$134:$E$136,$G$134:$G$136,1)</t>
  </si>
  <si>
    <t>=Biggest_byHadynWiseman($E$134:$E$136,$G$134:$G$136,0,2)</t>
  </si>
  <si>
    <t>=Biggest_byHadynWiseman($I$134:$I$136,$G$134:$G$136,0)</t>
  </si>
  <si>
    <t>=Biggest_byHadynWiseman($I$134:$I$136,$G$134:$G$136,0,1,$E$138:$E$140)</t>
  </si>
  <si>
    <t>=Biggest_byHadynWiseman($I$134:$I$136,$G$134:$G$136,0,1,$E$138:$E$140,-1)</t>
  </si>
  <si>
    <t>=ModeSuper_byLiannaGerrish($E$189:$E$193)</t>
  </si>
  <si>
    <t>=INDEX(ModeSuper_byLiannaGerrish($E$189:$E$193),1,1)</t>
  </si>
  <si>
    <t>=INDEX(ModeSuper_byLiannaGerrish($E$189:$E$193),1,2)</t>
  </si>
  <si>
    <t>=IsInList_byErikOehm($E$214:$E$215,$G$214:$G$216)</t>
  </si>
  <si>
    <t>=IsInList_byErikOehm("b",$G$214:$G$216)</t>
  </si>
  <si>
    <t>=StackSheets_byJaqKennedy($E$234:$F$237,$E$240:$E$241,"B2")</t>
  </si>
  <si>
    <t>=StackSheets_byJaqKennedy($E$234:$F$237,$E$240:$E$241,"B2",1)</t>
  </si>
  <si>
    <t>=LET(t,StackSheets_byJaqKennedy($E$234:$F$237,$E$240:$E$241,"B2",1),TEXTJOIN(",",1,FILTER(CHOOSECOLS(t,1),CHOOSECOLS(t,3)="B3","none")))</t>
  </si>
  <si>
    <t>=LET(t,StackSheets_byJaqKennedy($E$234:$F$237,$E$240:$E$241,"B2",1),TEXTJOIN(",",1,DROP(CHOOSECOLS(t,6),1)))</t>
  </si>
  <si>
    <t>=NotInList_byJaqKennedy($E$278:$E$280,{"b"})</t>
  </si>
  <si>
    <t>=NotInList_byJaqKennedy($G$278:$I$278,{"b"})</t>
  </si>
  <si>
    <t>=IF(TEXTJOIN(",",1,NotInList_byJaqKennedy($E$282:$E$283,$E$282:$E$283))="","nothing missing","something missing")</t>
  </si>
  <si>
    <t>=NotInList_byJaqKennedy(TOCOL($G$282:$H$283),$J$282:$J$283)</t>
  </si>
  <si>
    <t>=nSet_byJaqKennedy($E$309:$E$312,$G$309:$G$311)</t>
  </si>
  <si>
    <t>=uSet_byJaqKennedy($I$309:$I$311,$E$314:$E$317)</t>
  </si>
  <si>
    <t>=nSet_byJaqKennedy($G$314:$H$315,$J$314:$J$316)</t>
  </si>
  <si>
    <t>=nSet_byJaqKennedy($G$314:$H$315,$J$314:$J$316,FALSE)</t>
  </si>
  <si>
    <t>Lookups, small optimisation problems, cards and dice, and moving along a track.</t>
  </si>
  <si>
    <t>▸  TSPGreedy_byHadynWiseman  ·  OptimiseTSP_byHadynWiseman  ·  TSPFull_byHadynWiseman</t>
  </si>
  <si>
    <t>The shortest trip that visits every place once (the travelling salesman problem). TSPGreedy always goes to the nearest place not yet visited: fast, but it can leave a long leg for later. OptimiseTSP takes that route and moves the place on its longest leg to its best spot. TSPFull searches properly and gives the exact best.</t>
  </si>
  <si>
    <t>You give it:  TSPGreedy_byHadynWiseman(distances, [StartNodeNumber], [ReturnToStart])   /   OptimiseTSP_byHadynWiseman(a TSPGreedy result, distances)   /   TSPFull_byHadynWiseman(distances, [StartNodeNumber], [ReturnToStart], [StepLimit])</t>
  </si>
  <si>
    <t>Five North Island towns, km as the crow flies. In the answers a town is its number down the side: 1 Auckland to 5 Thames (grey):</t>
  </si>
  <si>
    <t>Auckland</t>
  </si>
  <si>
    <t>Hamilton</t>
  </si>
  <si>
    <t>Wellington</t>
  </si>
  <si>
    <t>Whangarei</t>
  </si>
  <si>
    <t>Thames</t>
  </si>
  <si>
    <t>=TSPGreedy_byHadynWiseman($F$12:$J$16,1,1)</t>
  </si>
  <si>
    <t>greedy, from Auckland and back: the distance, and the route as town numbers</t>
  </si>
  <si>
    <t>1510 | 1|5|2|4|3|1</t>
  </si>
  <si>
    <t>=TEXTJOIN(" &gt; ",1,INDEX($E$12:$E$16,--TEXTSPLIT(INDEX(TSPGreedy_byHadynWiseman($F$12:$J$16,1,1),2),"|")))</t>
  </si>
  <si>
    <t>the same route by name: nearest first takes it to Thames and Hamilton, then all the way north to Whangarei and south to Wellington</t>
  </si>
  <si>
    <t>Auckland &gt; Thames &gt; Hamilton &gt; Whangarei &gt; Wellington &gt; Auckland</t>
  </si>
  <si>
    <t>=OptimiseTSP_byHadynWiseman(TSPGreedy_byHadynWiseman($F$12:$J$16,1,1),$F$12:$J$16)</t>
  </si>
  <si>
    <t>OptimiseTSP: the greedy route improved by one move</t>
  </si>
  <si>
    <t>1300 | 1|5|2|3|4|1</t>
  </si>
  <si>
    <t>=TSPFull_byHadynWiseman($F$12:$J$16,1,1)</t>
  </si>
  <si>
    <t>TSPFull: the exact best round trip</t>
  </si>
  <si>
    <t>1280 | 1|3|2|5|4|1 | DONE</t>
  </si>
  <si>
    <t>=TEXTJOIN(" &gt; ",1,INDEX($E$12:$E$16,--TEXTSPLIT(INDEX(TSPFull_byHadynWiseman($F$12:$J$16,1,1),2),"|")))</t>
  </si>
  <si>
    <t>the exact route by name</t>
  </si>
  <si>
    <t>Auckland &gt; Wellington &gt; Hamilton &gt; Thames &gt; Whangarei &gt; Auckland</t>
  </si>
  <si>
    <t>=TSPFull_byHadynWiseman($F$12:$J$16,1,0)</t>
  </si>
  <si>
    <t>[ReturnToStart] = 0: no trip home at the end</t>
  </si>
  <si>
    <t>790 | 1|4|5|2|3 | DONE</t>
  </si>
  <si>
    <t>=TSPFull_byHadynWiseman($F$12:$J$16,1,1,3)</t>
  </si>
  <si>
    <t>[StepLimit]: stops early and says so; raise it until it says DONE</t>
  </si>
  <si>
    <t>1300 | 1|5|2|3|4|1 | NOT FINISHED, INCREASE STEP LIMIT</t>
  </si>
  <si>
    <t>⚠️ Watch out:  They need a table of distances between every pair of places, not a map: build it first, for example with MazeDistance_byHadynWiseman.</t>
  </si>
  <si>
    <t>What could go in the bag (grey):</t>
  </si>
  <si>
    <t>Weight</t>
  </si>
  <si>
    <t>=KnapSackInteger_byHadynWiseman(10,$F$50:$F$53,$G$50:$G$53)</t>
  </si>
  <si>
    <t>the best total value within a weight of 10</t>
  </si>
  <si>
    <t>90</t>
  </si>
  <si>
    <t>=KnapSackInteger_byHadynWiseman(10,$F$50:$F$53,$G$50:$G$53,$E$50:$E$53)</t>
  </si>
  <si>
    <t>[item labels]: WHICH items, with their weight and value</t>
  </si>
  <si>
    <t>Stove | 4 | 40
Water | 3 | 50</t>
  </si>
  <si>
    <t>=KnapSackInteger_byHadynWiseman(3,$F$50:$F$53,$G$50:$G$53)</t>
  </si>
  <si>
    <t>a capacity of 3: only the water fits</t>
  </si>
  <si>
    <t>50</t>
  </si>
  <si>
    <t>Reach for it when:  'You can carry 10kg. Which items give the highest total value?' Budgets, capacities, time limits.</t>
  </si>
  <si>
    <t>=CardSets_byHadynWiseman($E$75:$H$75,2,0,0,1)</t>
  </si>
  <si>
    <t>[Sets] = 1 with 2 cards: a pair</t>
  </si>
  <si>
    <t>=CardSets_byHadynWiseman($E$76:$H$76,3,0,0,1)</t>
  </si>
  <si>
    <t>=CardSets_byHadynWiseman($E$77:$H$77,3)</t>
  </si>
  <si>
    <t>=CardSets_byHadynWiseman($E$78:$H$78,3,1)</t>
  </si>
  <si>
    <t>=CardSets_byHadynWiseman($E$79:$H$79,3,0,1)</t>
  </si>
  <si>
    <t>=CardSets_byHadynWiseman($E$80:$H$80,3,1,1,,,1)</t>
  </si>
  <si>
    <t>Turns dice glyphs into numbers.</t>
  </si>
  <si>
    <t>two dice decoded and placed side by side: 3 and 5 make 35, not eight</t>
  </si>
  <si>
    <t>35</t>
  </si>
  <si>
    <t>[add] = 1: the total</t>
  </si>
  <si>
    <t>Some numbers (grey):</t>
  </si>
  <si>
    <t>10</t>
  </si>
  <si>
    <t>a whole range at once: only the out-of-range ones move</t>
  </si>
  <si>
    <t>[upper] left out: a floor only</t>
  </si>
  <si>
    <t>[lower] left out: a ceiling only</t>
  </si>
  <si>
    <t>Moves a position along a track, step by step, turning round at the ends.</t>
  </si>
  <si>
    <t>You give it:  Bounce_byBoRydobon(steps, max, [min], [start], [step size], [leave0Clip1Bounce2])</t>
  </si>
  <si>
    <t>eight steps on a track from 1 to 5: up to the end and back</t>
  </si>
  <si>
    <t>a shorter track, so it turns sooner</t>
  </si>
  <si>
    <t>[min]: a track from 0 to 3</t>
  </si>
  <si>
    <t>[leave0Clip1Bounce2] = 1 (clip): a step of 2 would overshoot the end at 4, so it stops AT 4; 0 would carry on to 5, 2 would reflect to 3</t>
  </si>
  <si>
    <t>Reach for it when:  A counter that reflects off the end of a track instead of stopping or wrapping.</t>
  </si>
  <si>
    <t>⚠️ Watch out:  Clamp_byBoRydobon stops at the end, Bounce_byBoRydobon turns round, BoardGameMove_byHadynWiseman laps back to the start: they give different answers for the same move.</t>
  </si>
  <si>
    <t>Repeats a block n times, stacked.</t>
  </si>
  <si>
    <t>You give it:  VStacks_byHadynWiseman(array, how many times, [Hstk])</t>
  </si>
  <si>
    <t>A small column (grey):</t>
  </si>
  <si>
    <t>three copies, one under another</t>
  </si>
  <si>
    <t>The value where a row key and a column key cross, in a table with headings down the side and along the top. Beyond a plain lookup it takes wildcards, can search from the bottom, and can give your own answer when a key is missing.</t>
  </si>
  <si>
    <t>You give it:  XLOOKUP2D_byBendeLeon(table, row key, column key, [row labels], [column labels], [MatchMode], [SearchMode], [IfNotFound])</t>
  </si>
  <si>
    <t>Shop opening hours (grey):</t>
  </si>
  <si>
    <t>Open</t>
  </si>
  <si>
    <t>Close</t>
  </si>
  <si>
    <t>Mon</t>
  </si>
  <si>
    <t>Tue</t>
  </si>
  <si>
    <t>Wed</t>
  </si>
  <si>
    <t>Thu</t>
  </si>
  <si>
    <t>row key and column key: Tuesday's closing time</t>
  </si>
  <si>
    <t>18</t>
  </si>
  <si>
    <t>[MatchMode] = 2: wildcards. T* finds the first day starting with T</t>
  </si>
  <si>
    <t>[SearchMode] = -1: search from the bottom, so T* finds the LAST match</t>
  </si>
  <si>
    <t>20</t>
  </si>
  <si>
    <t>[IfNotFound]: a missing key gives your own answer instead of #N/A</t>
  </si>
  <si>
    <t>shut</t>
  </si>
  <si>
    <t>it is GREEDY, which is not always optimal: with these coins 6 takes three (4+1+1) when two 3s would do</t>
  </si>
  <si>
    <t>List every way of choosing things. Combinations_byHadynWiseman takes your ITEMS and lists them; PerCom_byBoRydobon takes only HOW MANY there are and lists their positions (1, 2, 3...). Combinations is built on PerCom. Both list orderings by default; switch to combinations when the order does not matter.</t>
  </si>
  <si>
    <t>You give it:  Combinations_byHadynWiseman(items, how many, [RemoveOrder], [AllowRepeatItems], [Cumulative])   /   PerCom_byBoRydobon(number of items, how many, [P0C1], [rep], [cum])</t>
  </si>
  <si>
    <t>Three items (grey):</t>
  </si>
  <si>
    <t>pick 2 from 3: SIX rows, because by default order matters</t>
  </si>
  <si>
    <t>a | b
a | c
b | a
b | c
c | a
c | b</t>
  </si>
  <si>
    <t>[RemoveOrder] = 1: a,b and b,a count once, so three</t>
  </si>
  <si>
    <t>a | b
a | c
b | c</t>
  </si>
  <si>
    <t>a | a
a | b
a | c
b | b
b | c
c | c</t>
  </si>
  <si>
    <t>[Cumulative] = 1: every size from 1 up to 2</t>
  </si>
  <si>
    <t xml:space="preserve"> | 
a | 
b | 
c | 
a | b
a | c
b | c</t>
  </si>
  <si>
    <t>PerCom: the same six orderings as POSITIONS, not items</t>
  </si>
  <si>
    <t>[P0C1] = 1: combinations instead, each pair once</t>
  </si>
  <si>
    <t>Reach for it when:  Small brute-force problems. 'Try every route through these four stops' is 24 orderings, easy to list and score.</t>
  </si>
  <si>
    <t>Orthogonal vs diagonal</t>
  </si>
  <si>
    <t>Which cells count as neighbours. Orthogonal: up, down, left, right. Diagonal: the four corners as well. Most grid lambdas have a [No_Diag] switch for it.</t>
  </si>
  <si>
    <t>The rule for equal values, e.g. 'earliest row wins'.</t>
  </si>
  <si>
    <t>Three addresses on the Area1 sheet (grey):</t>
  </si>
  <si>
    <t>=Fetch_byJaqKennedy($E$103:$E$105,Sht_Area1)</t>
  </si>
  <si>
    <t>a list of addresses gives a list of values</t>
  </si>
  <si>
    <t>Reach for it when:  You have cells as addresses or packed coordinates (from FindInMap, GridToCol, a walk) and need what is in them.</t>
  </si>
  <si>
    <t>=Distance_byHadynWiseman("E131","I135")</t>
  </si>
  <si>
    <t>=Distance_byHadynWiseman("E131","I135",1,1)</t>
  </si>
  <si>
    <t>=Distance_byHadynWiseman("E131","I135",2,2,3)</t>
  </si>
  <si>
    <t>=Distance_byHadynWiseman("E131","I135",,,,1)</t>
  </si>
  <si>
    <t>=Distance_byHadynWiseman("E131","I135",,,,,1)</t>
  </si>
  <si>
    <t>=DistFrom_byDiarmuidEarly($E$163:$I$167,"💚",SUM)</t>
  </si>
  <si>
    <t>=DistFrom_byDiarmuidEarly($E$163:$I$167,"💚",MAX)</t>
  </si>
  <si>
    <t>=DistFrom_byDiarmuidEarly($E$163:$I$167,"💚",LAMBDA(r,c,SQRT(r^2+c^2)))</t>
  </si>
  <si>
    <t>=FindInMap_byHadynWiseman("💚",$E$200:$J$204)</t>
  </si>
  <si>
    <t>G200
J201
E203</t>
  </si>
  <si>
    <t>=FindInMap_byHadynWiseman("S",$E$200:$J$204)</t>
  </si>
  <si>
    <t>H202</t>
  </si>
  <si>
    <t>=FindInMap_byHadynWiseman($E$207:$F$207,$E$200:$J$204)</t>
  </si>
  <si>
    <t>G200
F201
J201
E203
I204</t>
  </si>
  <si>
    <t>=FindInMap_byHadynWiseman("⭐",$E$200:$J$204)</t>
  </si>
  <si>
    <t>=ClosestOnMap_byHadynWiseman($E$236:$J$240,"H238",5,"💚")</t>
  </si>
  <si>
    <t>💚 | G236 | 2
💚 | J237 | 2
💚 | E239 | 3</t>
  </si>
  <si>
    <t>=ClosestOnMap_byHadynWiseman($E$236:$J$240,"H238",2,"💚")</t>
  </si>
  <si>
    <t>💚 | G236 | 2
💚 | J237 | 2</t>
  </si>
  <si>
    <t>=ClosestOnMap_byHadynWiseman($E$236:$J$240,"H238",2)</t>
  </si>
  <si>
    <t>S | H238 | 0
💚 | G236 | 2
🍌 | F237 | 2
💚 | J237 | 2
🍌 | I240 | 2</t>
  </si>
  <si>
    <t>=ClosestOnMap_byHadynWiseman($E$236:$J$240,"H238",5,"💚",LAMBDA(a,b,Distance_byHadynWiseman(a,b,1,1)))</t>
  </si>
  <si>
    <t>💚 | G236 | 3
💚 | J237 | 3
💚 | E239 | 4</t>
  </si>
  <si>
    <t>=GetBlock_byJaqKennedy($E$274:$I$278,"G276",3,,,"-")</t>
  </si>
  <si>
    <t>=GetBlock_byJaqKennedy($E$274:$I$278,"G276",3,,"TL","-")</t>
  </si>
  <si>
    <t>=GetBlock_byJaqKennedy($E$274:$I$278,"G276",2,3,"TL","-")</t>
  </si>
  <si>
    <t>=GetBlock_byJaqKennedy($E$274:$I$278,"G276",1,3,,"-")</t>
  </si>
  <si>
    <t>=GetBlock_byJaqKennedy($E$274:$I$278,"E274",3,,,"-")</t>
  </si>
  <si>
    <t>=GetBlock_byJaqKennedy($E$274:$I$278,"E274",3,,,"-",1)</t>
  </si>
  <si>
    <t>=Maze_byHadynWiseman($E$317:$J$322,"E317",,1,$E$317:$J$322&lt;&gt;"x")</t>
  </si>
  <si>
    <t>=Maze_byHadynWiseman($E$317:$J$322,"E317",,0,$E$317:$J$322&lt;&gt;"x")</t>
  </si>
  <si>
    <t>=Maze_byHadynWiseman($E$317:$J$322,"E317","G322",1,$E$317:$J$322&lt;&gt;"x")</t>
  </si>
  <si>
    <t>=Maze_byHadynWiseman($E$317:$J$322,"E317","J322",1,$E$317:$J$322&lt;&gt;"x")</t>
  </si>
  <si>
    <t>=Maze_byHadynWiseman($E$317:$J$322,"E317",,1,$E$317:$J$322&lt;&gt;"x",$E$325:$F$325)</t>
  </si>
  <si>
    <t>=MoveOnMap_byHadynWiseman("E368","→",2)</t>
  </si>
  <si>
    <t>G368</t>
  </si>
  <si>
    <t>=MoveOnMap_byHadynWiseman("E368","→",2,,1)</t>
  </si>
  <si>
    <t>E368
F368
G368</t>
  </si>
  <si>
    <t>=MoveOnMap_byHadynWiseman("E368","↘",5,$E$368:$J$372,1,1,,,,,$E$368:$J$372&lt;&gt;"x")</t>
  </si>
  <si>
    <t>E368
F369
G370</t>
  </si>
  <si>
    <t>=MoveOnMap_byHadynWiseman("E368","↘",5,$E$368:$J$372,1,,1,,,,$E$368:$J$372&lt;&gt;"x")</t>
  </si>
  <si>
    <t>E368
F369
G370
H370
I371
J372</t>
  </si>
  <si>
    <t>=MoveOnMap_byHadynWiseman("E368","↘",5,$E$368:$J$372,1,,,1,,,$E$368:$J$372&lt;&gt;"x")</t>
  </si>
  <si>
    <t>E368
F369
G370
H369
I368
J369</t>
  </si>
  <si>
    <t>=MoveOnMap_byHadynWiseman("E369","→",8,$E$368:$J$372,1,,,,1)</t>
  </si>
  <si>
    <t>E369
F369
G369
H369
I369
J369
E369
F369
G369</t>
  </si>
  <si>
    <t>=MoveOnMap_byHadynWiseman("E368","↘",5,$E$368:$J$372,1,,,1,,,$E$368:$J$372&lt;&gt;"x",1)</t>
  </si>
  <si>
    <t>E368 | ↘ | ↘
F369 | ↘ | ↘
G370 | ↘ | ↗
H369 | ↗ | ↗
I368 | ↗ | ↘
J369 | 0 | 0</t>
  </si>
  <si>
    <t>=MazeDistance_byHadynWiseman($E$433:$I$437,"E433",,1,$E$433:$I$437&lt;&gt;"x")</t>
  </si>
  <si>
    <t>=MazeDistance_byHadynWiseman($E$433:$I$437,"E433",,1,$E$433:$I$437&lt;&gt;"x",1)</t>
  </si>
  <si>
    <t>=MazeDistance_byHadynWiseman($E$433:$I$437,"E433",,0,$E$433:$I$437&lt;&gt;"x")</t>
  </si>
  <si>
    <t>=MazeDistance_byHadynWiseman($E$433:$I$437,"E433","I437",1,$E$433:$I$437&lt;&gt;"x")</t>
  </si>
  <si>
    <t>=MazeDistance_byHadynWiseman($E$433:$I$437,VSTACK("E433","I437"),,1,$E$433:$I$437&lt;&gt;"x")</t>
  </si>
  <si>
    <t>=MazeDistance_byHadynWiseman($E$433:$I$437,"E433",,1,$E$433:$I$437&lt;&gt;"x",,$E$440:$H$441)</t>
  </si>
  <si>
    <t>=MazeDistance_byHadynWiseman($E$433:$I$437,"E433",,0,$E$433:$I$437&lt;&gt;"x",,,LAMBDA(fromValue,toValue,from,to,steps,dist,dir,IF((ABS(dir)=1)+(ABS(dir)=1000000),toValue,toValue*1.5)))</t>
  </si>
  <si>
    <t>=Snake_byHadynWiseman($E$499:$H$501)</t>
  </si>
  <si>
    <t>=Snake_byHadynWiseman($E$499:$H$501,1)</t>
  </si>
  <si>
    <t>=Snake_byHadynWiseman($E$499:$H$501,0,1)</t>
  </si>
  <si>
    <t>=Snake_byHadynWiseman($E$499:$H$501,0,1,3)</t>
  </si>
  <si>
    <t>=Snake_byHadynWiseman($E$499:$H$501,0,,,"E500")</t>
  </si>
  <si>
    <t>H500</t>
  </si>
  <si>
    <t>=NetworkGraph_byHadynWiseman("London",$E$537:$F$541,$G$537:$G$541,,"Las Vegas")</t>
  </si>
  <si>
    <t>=NetworkGraph_byHadynWiseman("London",$E$537:$F$541,$G$537:$G$541,,"Las Vegas",,,,,1)</t>
  </si>
  <si>
    <t>=NetworkGraph_byHadynWiseman("London",$E$537:$F$541,$G$537:$G$541)</t>
  </si>
  <si>
    <t>=NetworkGraph_byHadynWiseman("London",$E$537:$F$541,,,"Las Vegas")</t>
  </si>
  <si>
    <t>=NetworkGraph_byHadynWiseman("London",$E$537:$F$541,$G$537:$G$541,LAMBDA(w,t,w+t+1),"Las Vegas")</t>
  </si>
  <si>
    <t>=NetworkGraph_byHadynWiseman("London",$E$537:$F$541,$G$537:$G$541,,"Las Vegas",,,1)</t>
  </si>
  <si>
    <t>=NetworkGraph_byHadynWiseman("Las Vegas",$E$537:$F$541,$G$537:$G$541,,"London",1)</t>
  </si>
  <si>
    <t>=Regions_byHadynWiseman($E$580:$I$584,1,$E$580:$I$584=1)</t>
  </si>
  <si>
    <t>=MAX(Regions_byHadynWiseman($E$580:$I$584,1,$E$580:$I$584=1))</t>
  </si>
  <si>
    <t>=Regions_byHadynWiseman($E$580:$I$584,0,$E$580:$I$584=1)</t>
  </si>
  <si>
    <t>=Regions_byHadynWiseman($E$580:$I$584,1)</t>
  </si>
  <si>
    <t>=Regions_byHadynWiseman($E$580:$I$584,1,$E$580:$I$584=1,$E$587:$E$587)</t>
  </si>
  <si>
    <t>=LineOfSight_byHadynWiseman($E$631:$I$635,"a","x")</t>
  </si>
  <si>
    <t>=LineOfSight_byHadynWiseman($E$631:$I$635,"a","x",0,1)</t>
  </si>
  <si>
    <t>=LineOfSight_byHadynWiseman($E$631:$I$635,"a","x",0,,,"o")</t>
  </si>
  <si>
    <t>=LineOfSight_byHadynWiseman($E$631:$I$635,"a","x",0,,$E$638:$F$638)</t>
  </si>
  <si>
    <t>=LineOfSightCount_byHadynWiseman("H633",$E$631:$I$635,"a","x")</t>
  </si>
  <si>
    <t>=LineOfSightCount_byHadynWiseman("H633",$E$631:$I$635,"a")</t>
  </si>
  <si>
    <t>=LineOfSightCount_byHadynWiseman("H633",$E$631:$I$635,"a","x",1)</t>
  </si>
  <si>
    <t>=LineOfSightCount_byHadynWiseman("H633",$E$631:$I$635,"a","x",0,1)</t>
  </si>
  <si>
    <t>=LineOfSightCount_byHadynWiseman("I632",$E$631:$I$635,"a","x")</t>
  </si>
  <si>
    <t>The map: p is path, X is wall (grey):</t>
  </si>
  <si>
    <t>=HugWall_byHadynWiseman($E$692:$J$697,"E692","→",0,$E$692:$J$697="p",14,,1)</t>
  </si>
  <si>
    <t>=HugWall_byHadynWiseman($E$692:$J$697,"E692","→",0,$E$692:$J$697="p",6)</t>
  </si>
  <si>
    <t>E692
F692
G692
H692
G692
G693
G694
H694</t>
  </si>
  <si>
    <t>=HugWall_byHadynWiseman($E$692:$J$697,"E694","↓",0,$E$692:$J$697="p",14,,1)</t>
  </si>
  <si>
    <t>=HugWall_byHadynWiseman($E$692:$J$697,"E692","→",1,$E$692:$J$697="p",14,,1)</t>
  </si>
  <si>
    <t>A code for each character: U upper case, L lower case, S anything else. With [Vowels] = 1: V vowel, C consonant. With [Digits] = 1: L letter, D digit. S is always anything else.</t>
  </si>
  <si>
    <t>You give it:  LetterType_byHadynWiseman(text, [Vowels], [Digits])</t>
  </si>
  <si>
    <t>=LetterType_byHadynWiseman("R2-D2",,1)</t>
  </si>
  <si>
    <t>[Digits] = 1: letters and digits</t>
  </si>
  <si>
    <t>L
D
S
L
D</t>
  </si>
  <si>
    <t>=TEXTJOIN(",",1,Consecutives_byHadynWiseman($E$100:$E$100))</t>
  </si>
  <si>
    <t>=MAX(Consecutives_byHadynWiseman($E$100:$E$100))</t>
  </si>
  <si>
    <t>=MissingLetters_byJaqKennedy(SplitText_byHadynWiseman($E$131:$I$131))</t>
  </si>
  <si>
    <t>=MassSubstitute_byHadynWiseman("Abc",$E$172:$E$173,$F$172:$F$173)</t>
  </si>
  <si>
    <t>=MassSubstitute_byHadynWiseman("Abc",$E$172:$E$173,$F$172:$F$173,1)</t>
  </si>
  <si>
    <t>=MassSubstitute_byHadynWiseman("abcabc",$E$176:$E$178,$F$176:$F$178)</t>
  </si>
  <si>
    <t>=MassSubstitute_byHadynWiseman("abcabc",$E$176:$E$178,$F$176:$F$178,0,1)</t>
  </si>
  <si>
    <t>=RegPattern_byHadynWiseman($E$181:$E$182)</t>
  </si>
  <si>
    <t>=RegPattern_byHadynWiseman($E$181:$E$182,1)</t>
  </si>
  <si>
    <t>=MassSubstitute_byHadynWiseman("a catalog and a cat",RegPattern_byHadynWiseman($E$181:$E$182),"#",0,,1)</t>
  </si>
  <si>
    <t>Level 3 · Text and ciphers</t>
  </si>
  <si>
    <t>Level 4 · Lookup and search</t>
  </si>
  <si>
    <t>Level 5 · Maps and grids</t>
  </si>
  <si>
    <t>Level 6 · Engines</t>
  </si>
  <si>
    <t>Level 5 Maps</t>
  </si>
  <si>
    <t>Level 6 Engines</t>
  </si>
  <si>
    <t>Level 3 Text</t>
  </si>
  <si>
    <t>Level 4 Lookup</t>
  </si>
  <si>
    <t>The same one-key idea, on text and on lookups. Pairs with Level 3 Text and Level 4 Lookup on the lambda track.</t>
  </si>
  <si>
    <t>=YouAreHere_byLiannaGerrish($E$70:$E$70,"Level 5 Maps")</t>
  </si>
  <si>
    <t>'Level 5 Maps'!E70</t>
  </si>
  <si>
    <t>lookups, small optimisation problems, cards, dice, moving along a track</t>
  </si>
  <si>
    <t>maps and grids: positions, distances, routes</t>
  </si>
  <si>
    <t>Jargon used in the library. Type in the yellow box to filter the list; clear it to see everything.</t>
  </si>
  <si>
    <t>the jargon used in the library</t>
  </si>
  <si>
    <t>•  A tutorial file, CompBot Tutorial.xlsx: a lesson for every command, demo sheets to run them on, and a lesson for every lambda.</t>
  </si>
  <si>
    <t>•  Retired or renamed: some older lambdas and commands are replaced by better ones. Find it and the two cheat sheets list what to use now.</t>
  </si>
  <si>
    <t>Laps a counter round a board numbered 1 to N: past the last space it carries on from 1</t>
  </si>
  <si>
    <t>not established; ships uncredited</t>
  </si>
  <si>
    <t>Running total that can restart at chosen rows, and cap or stop at a limit</t>
  </si>
  <si>
    <t>•  Your own lambdas stay yours: they live in your own library file, so updating CompBot never overwrites them. 4 new commands to set, load and clear that library and to import CompBot's lambdas.</t>
  </si>
  <si>
    <t>•  Solving a level: Create Data Table rebuilt, plus 4 new commands to link the answer and side cells and run the table; 3 new commands to find the example row, solve from it and leave it out of a selection.</t>
  </si>
  <si>
    <t>•  Formula wrappers: 20 new commands: running totals with resets and caps, Sum True and Sum False, rotate and flip, combinations and pairings, modulo, splitting and reshaping.</t>
  </si>
  <si>
    <t>•  Before you submit: 3 new commands to list and clear the lambdas a case file does not use.</t>
  </si>
  <si>
    <t>a board numbered 1 to 12: 15 is three past the end, so space 3</t>
  </si>
  <si>
    <t>Seen in a real case:  Ludo, Tripeaks and other 'move N spaces round the board' levels.</t>
  </si>
  <si>
    <t>Reach for it when:  A counter going round and round a looped board, where the new position is the old one plus the roll. The Modulo Array 1-Based command (MOD1) wraps a formula in it.</t>
  </si>
  <si>
    <t>CompBot says:  Wraps the active array in BoardGameMove_byHadynWiseman: a board numbered 1 to N, so an exact lap lands on N rather than 0</t>
  </si>
  <si>
    <t>AFTER     =BoardGameMove_byHadynWiseman($I$14:$I$18,12)</t>
  </si>
  <si>
    <t>Wraps the active array in BoardGameMove_byHadynWiseman: a board numbered 1 to N, so an exact lap lands on N rather than 0</t>
  </si>
  <si>
    <t>•  A curated lambda collection: 75 lambdas picked from about 190 in the community, each credited to the person who wrote it, loaded into a case by Import Lambdas From CompBot or by Full Setup Case.</t>
  </si>
  <si>
    <t>•  Setup: Full Setup Case runs every step, and can be adjusted to your preferences in the new Setup Case Settings sheet. 2 new commands for merged cells.</t>
  </si>
  <si>
    <t>•  Bonuses: 5 new commands to save bonus answers, and 6 for a bonus dock or status bar.</t>
  </si>
  <si>
    <t>▸  Copy Map And Fill From Legend</t>
  </si>
  <si>
    <t>Copies the sheet, then fills every coloured map cell on the copy with its legend value, so the original map stays as it was. Each named range on the sheet gets a clr_ twin pointing at the copy (map becomes clr_map).</t>
  </si>
  <si>
    <t>Needs first:   stand on one coloured cell of the legend (it finds the rest), or select the legend</t>
  </si>
  <si>
    <t>Do it:         Ctrl+Shift+O   →   CFL   →   Enter</t>
  </si>
  <si>
    <t>Try it on:     Demo maps, block 1:  1. click one of the four legend swatches.  2. Run CFL: a clr_Demo maps sheet opens with the map as values.</t>
  </si>
  <si>
    <t>Reach for it when:  A map drawn in colour WITH a legend, when you want the values on a copy and the coloured original kept.</t>
  </si>
  <si>
    <t>⚠️ Watch out:  Every coloured cell on the copy that matches a legend colour is filled, not just the map. White and unfilled cells never are.</t>
  </si>
  <si>
    <t>CFL</t>
  </si>
  <si>
    <t>Copy Map And Fill From Legend</t>
  </si>
  <si>
    <t>stand on a coloured legend cell</t>
  </si>
  <si>
    <t>Turn a colour-coded map into values on a copy, keeping the original</t>
  </si>
  <si>
    <t>CFL   Copy Map And Fill From Legend</t>
  </si>
  <si>
    <t>•  Maps and sheets: 14 new commands: distances round obstacles, connected regions, nearest targets, walk routes, colour-coded maps into values (on a copy, if you like), stacking the same block from many sheets.</t>
  </si>
  <si>
    <t>Starts recording a route: every move you make adds the cells you pass over. Nothing appears while you walk: when you click diagonally off the path, the route opens on a NEW sheet. To watch it land beside the map instead, use Record Walk Route Here (RWH).</t>
  </si>
  <si>
    <t>RWR   Block 3: select the S, run RWR, Ctrl+arrow along the 1s, click END (diagonally off the path): the route opens on a NEW sheet.</t>
  </si>
  <si>
    <t>CompBot says:  Wraps the active formula in UNIQUE() to strip duplicates: distinct values, distinct colors, distinct answers</t>
  </si>
  <si>
    <t>CompBot says:  Turns a copied range into a list, one row per cell, carrying fill color, font color and border flags</t>
  </si>
  <si>
    <t>The same walk, but the route table goes on this sheet: level with where you started, in the first space to the right that is clear enough to hold it.</t>
  </si>
  <si>
    <t>CompBot says:  As Record Walk Route, but the route table goes on this sheet, level with where the walk started and to its right, in the first space clear enough to hold it</t>
  </si>
  <si>
    <t>Try it on:     Demo maps, the same path:  1. select the S.  2. Run RWH.  3. Ctrl+arrow along the 1s.  4. Click END: the route appears to the right of where you started.</t>
  </si>
  <si>
    <t>⚠️ Watch out:  It only looks for clear cells to the right on the start row's level; if there are none, the table goes after everything on the sheet.</t>
  </si>
  <si>
    <t>CompBot says:  Copies the selected cells' values over every cell sharing their fill color; turns a color-coded map into data in one run</t>
  </si>
  <si>
    <t>CompBot says:  Copy a color-coded map sheet: stand on a colored legend cell; copies the sheet and fills every map cell on the copy with its color's legend value (white is never a key); each named range on the sheet gets a clr_ twin on the copy</t>
  </si>
  <si>
    <t>CompBot says:  Selects every cell in the selection that shares the active cell's fill color, so a color group can be seen or counted at once</t>
  </si>
  <si>
    <t>RWH   The same with RWH: the route lands to the right of the S, in the first clear space.</t>
  </si>
  <si>
    <t>Copy a color-coded map sheet: stand on a colored legend cell; copies the sheet and fills every map cell on the copy with its color's legend value (white is never a key); each named range on the sheet gets a clr_ twin on the copy</t>
  </si>
  <si>
    <t>Copies the selected cells' values over every cell sharing their fill color; turns a color-coded map into data in one run</t>
  </si>
  <si>
    <t>Selects every cell in the selection that shares the active cell's fill color, so a color group can be seen or counted at once</t>
  </si>
  <si>
    <t>Turns a copied range into a list, one row per cell, carrying fill color, font color and border flags</t>
  </si>
  <si>
    <t>As Record Walk Route, but the route table goes on this sheet, level with where the walk started and to its right, in the first space clear enough to hold it</t>
  </si>
  <si>
    <t>Wraps the active formula in UNIQUE() to strip duplicates: distinct values, distinct colors, distinct answers</t>
  </si>
  <si>
    <t>=HugWall_byHadynWiseman($E$700:$J$705,"E700","→",0,,14,,1)</t>
  </si>
  <si>
    <t>[AllowMp] left out: the blank cells are the path, any value is a wall</t>
  </si>
  <si>
    <t>=Exists_byHadynWiseman("b",$E$760:$E$762)</t>
  </si>
  <si>
    <t>The same maze with blank path and # for wall (grey):</t>
  </si>
  <si>
    <t xml:space="preserve">1 | 2 | 3, 5 | 4 | # | 12
# | # | 6 | # | # | 11, 13
 |  | 7 | 8 | 9 | 10, 14
 | # | # | # | # | 15
 | # |  |  | # | 16
 |  |  | # |  | </t>
  </si>
  <si>
    <t>Seven hands, one per row (grey):</t>
  </si>
  <si>
    <t>7♦</t>
  </si>
  <si>
    <t>=CardSets_byHadynWiseman($E$81:$H$81,2,0,0,1)</t>
  </si>
  <si>
    <t>no set (or run) in the hand: 0</t>
  </si>
  <si>
    <t>Coins worth 5, 2 and 1 (grey):</t>
  </si>
  <si>
    <t>Coins worth 4, 3 and 1 (grey):</t>
  </si>
  <si>
    <t>=Coins_byHadynWiseman(7,$E$140:$E$142)</t>
  </si>
  <si>
    <t>=Coins_byHadynWiseman(8,$E$140:$E$142)</t>
  </si>
  <si>
    <t>=Coins_byHadynWiseman(6,$E$145:$E$147)</t>
  </si>
  <si>
    <t>=Clamp_byBoRydobon($E$174:$E$176,1,10)</t>
  </si>
  <si>
    <t>=Clamp_byBoRydobon($E$174:$E$176,5)</t>
  </si>
  <si>
    <t>=Clamp_byBoRydobon($E$174:$E$176,,10)</t>
  </si>
  <si>
    <t>=VStacks_byHadynWiseman($E$279:$E$280,3)</t>
  </si>
  <si>
    <t>=VStacks_byHadynWiseman($E$279:$E$280,2,1)</t>
  </si>
  <si>
    <t>=XLOOKUP2D_byBendeLeon($E$303:$G$307,"Tue","Close")</t>
  </si>
  <si>
    <t>=XLOOKUP2D_byBendeLeon($E$303:$G$307,"T*","Close",,,2)</t>
  </si>
  <si>
    <t>=XLOOKUP2D_byBendeLeon($E$303:$G$307,"T*","Close",,,2,-1)</t>
  </si>
  <si>
    <t>=XLOOKUP2D_byBendeLeon($E$303:$G$307,"Sun","Close",,,,,"shut")</t>
  </si>
  <si>
    <t>=Combinations_byHadynWiseman($E$331:$E$333,2)</t>
  </si>
  <si>
    <t>=Combinations_byHadynWiseman($E$331:$E$333,2,1)</t>
  </si>
  <si>
    <t>=Combinations_byHadynWiseman($E$331:$E$333,2,1,1)</t>
  </si>
  <si>
    <t>=Combinations_byHadynWiseman($E$331:$E$333,2,1,0,1)</t>
  </si>
  <si>
    <t>⚠️ Watch out:  Copy the range first. Like a paste, it overwrites the cell you click; if anything else is in the way, the list goes to a new sheet and that cell links to it.</t>
  </si>
  <si>
    <r>
      <t>PFF</t>
    </r>
    <r>
      <rPr>
        <sz val="9"/>
        <color rgb="FF1F2933"/>
        <rFont val="Verdana"/>
        <family val="2"/>
      </rPr>
      <t xml:space="preserve">   Block 2: copy the map, click the cell marked PFF, run PFF.</t>
    </r>
  </si>
  <si>
    <t>PFF  click here, then run PFF: the list starts in this cell</t>
  </si>
  <si>
    <t>⚠️ Watch out:  It writes values into every cell on the WHOLE sheet sharing those colours, not just your selection, so decorative colour elsewhere gets filled too. Close shades count as one colour; Copy Map And Fill From Legend (CFL) matches colours exactly.</t>
  </si>
  <si>
    <t>Selects every cell on the sheet that shares the ACTIVE cell's fill colour (only inside your selection if you select a range first), so a colour group can be seen or counted at once.</t>
  </si>
  <si>
    <t>Try it on:     Demo maps, the C7 checklist:  1. click one of the 'No legend' map's coloured cells.  2. Run SBC and read the count on the status bar.</t>
  </si>
  <si>
    <t>⚠️ Watch out:  Close shades count as one colour; Copy Map And Fill From Legend (CFL) matches colours exactly.</t>
  </si>
  <si>
    <r>
      <t>SBC</t>
    </r>
    <r>
      <rPr>
        <sz val="9"/>
        <color rgb="FF1F2933"/>
        <rFont val="Verdana"/>
        <family val="2"/>
      </rPr>
      <t xml:space="preserve">   Block 2: click a coloured cell of the map, run SBC: the count is on the status bar.</t>
    </r>
  </si>
  <si>
    <t>Reads the separators and language THIS machine is set to, and writes them into the Loaded column (dark blue) of CompBot's own Regional Settings sheet.</t>
  </si>
  <si>
    <t>Regional Settings, Loaded column, as CompBot ships</t>
  </si>
  <si>
    <t>Two more things worth knowing. These change EXCEL only; the Windows regional settings underneath are untouched. And the English (UK/US) and Afrikaans columns on CompBot's Regional Settings sheet are there for you to save your preferences in: set yours up BEFORE you travel, so on the day it is one paste into the yellow Inputted Settings column rather than six decisions.</t>
  </si>
  <si>
    <t>CompBot says:  Updates default settings to those in Regional Settings sheet</t>
  </si>
  <si>
    <t>Updates default settings to those in Regional Settings sheet</t>
  </si>
  <si>
    <t>Set Solve Folder</t>
  </si>
  <si>
    <t>SSF</t>
  </si>
  <si>
    <t>nothing: it opens a folder picker, pick the folder for your _Solve copies</t>
  </si>
  <si>
    <t>Choose the folder Full Setup Case saves your _Solve copy into, once (e.g. OneDrive)</t>
  </si>
  <si>
    <t>Level Inputs</t>
  </si>
  <si>
    <t>LI, LLI</t>
  </si>
  <si>
    <t>it will ASK for the levels; stand on an empty cell with room below and to the right</t>
  </si>
  <si>
    <t>Type a level, or levels like 4-5 or 3,5-6: their inputs land as an array to work on, with headers and game/level beside them (blank = this sheet's level)</t>
  </si>
  <si>
    <t>Clear Solve Folder</t>
  </si>
  <si>
    <t>CSF</t>
  </si>
  <si>
    <t>Forgets your Solve folder, so Full Setup Case saves the _Solve copy next to the case again</t>
  </si>
  <si>
    <t>select ONE cell: your answer formula on the example row</t>
  </si>
  <si>
    <t>Select your answer formula on the example row; the working right of the inputs is copied to every question and the answers linked</t>
  </si>
  <si>
    <t>Loads YOUR own lambda library (set once with SLL) into the active workbook: its lambdas and its stored values (named constants)</t>
  </si>
  <si>
    <t>Creates a case inputs sheet: one row per game with its Game and Level, then every input; names each level L01_Inputs, L02_Inputs, ...</t>
  </si>
  <si>
    <t>a bonus asks about one level's games: put its inputs here</t>
  </si>
  <si>
    <t>LI   Level Inputs  (type 6, 4-5 or 3,5-6)</t>
  </si>
  <si>
    <t>save my _Solve copies somewhere backed up, like OneDrive</t>
  </si>
  <si>
    <t>SSF  Set Solve Folder  (CSF to go back)</t>
  </si>
  <si>
    <t>CompBot says:  Select your answer formula on the example row; the working right of the inputs is copied to every question and the answers linked</t>
  </si>
  <si>
    <t>Needs first:   select ONE cell: your answer formula on the example row</t>
  </si>
  <si>
    <t>Gathers the case's inputs onto their own sheet, one row per game with its level, so you can filter to one level. Included in Full Setup Case unless you turn it off in Setup Case Settings (SCS).</t>
  </si>
  <si>
    <t>CompBot says:  Creates a case inputs sheet: one row per game with its Game and Level, then every input; names each level L01_Inputs, L02_Inputs, ...</t>
  </si>
  <si>
    <t>Needs first:   stand on any cell that has something in it</t>
  </si>
  <si>
    <t>⚠️ Watch out:  Run from an empty cell it builds a simpler sheet, without the levels.</t>
  </si>
  <si>
    <t>SLL tells CompBot where YOUR lambda library lives: pick the workbook once, in the file picker. CLL forgets it again. No library of your own? Skip this and ILL; CompBot's lambdas still load. Set Solve Folder (SSF) and Clear Solve Folder (CSF) work the same way, for the folder your _Solve copies are saved in.</t>
  </si>
  <si>
    <t>2026.10.1  ·  8 Oct 2026:  3 new commands (102 in all), no new lambdas (75)</t>
  </si>
  <si>
    <t>•  New: Set Solve Folder (SSF) and Clear Solve Folder (CSF) for where your _Solve copy is saved; Level Inputs (LI) puts a level's inputs where you are, for bonuses.</t>
  </si>
  <si>
    <t>2026.10  ·  5 Oct 2026:  61 new commands (99 in all), 75 new lambdas (75)</t>
  </si>
  <si>
    <r>
      <t xml:space="preserve">Found a </t>
    </r>
    <r>
      <rPr>
        <strike/>
        <u/>
        <sz val="10"/>
        <color rgb="FF1A5FB4"/>
        <rFont val="Verdana"/>
        <family val="2"/>
      </rPr>
      <t>bug</t>
    </r>
    <r>
      <rPr>
        <u/>
        <sz val="10"/>
        <color rgb="FF1A5FB4"/>
        <rFont val="Verdana"/>
        <family val="2"/>
      </rPr>
      <t xml:space="preserve"> feature or have an idea? Report it on GitHub (JaqK23/CompBot, Issues)</t>
    </r>
  </si>
  <si>
    <t>▸  Create Data Table Here</t>
  </si>
  <si>
    <t>CDTH  ·  DT</t>
  </si>
  <si>
    <t>Builds the same block as Create Data Table, but at the cell you are standing on, so you choose where it goes.</t>
  </si>
  <si>
    <t>CompBot says:  Builds the level's data table block at the selected cell, else beside the inputs</t>
  </si>
  <si>
    <t>Needs first:   stand on an empty cell in the level, right of its inputs</t>
  </si>
  <si>
    <t>Do it:         Ctrl+Shift+O   →   CDTH   →   Enter</t>
  </si>
  <si>
    <t>Try it on:     Level 2 on the Case sheet: stand on M22 and the block is built there, its input cell at N22.</t>
  </si>
  <si>
    <t>Reach for it when:  The space beside the inputs is where you want your working, or the block belongs somewhere else.</t>
  </si>
  <si>
    <t>⚠️ Watch out:  If the cell is not empty, or the block would not fit there, it builds where CDT would and the status bar says why.</t>
  </si>
  <si>
    <t>▸  Level Inputs</t>
  </si>
  <si>
    <t>LI  ·  LLI</t>
  </si>
  <si>
    <t>Puts one or more levels' inputs where you are standing, as an array to work on: the inputs two columns to the right, each game and level below you, headers above both.</t>
  </si>
  <si>
    <t>CompBot says:  Type a level, or levels like 4-5 or 3,5-6: their inputs land as an array to work on, with headers and game/level beside them (blank = this sheet's level)</t>
  </si>
  <si>
    <t>💼 CASE TEST.  Best tried in a real case after Full Setup Case: it reads the Case Inputs sheet.</t>
  </si>
  <si>
    <t>Run after:     Create Case Inputs Sheet (CIS), part of Full Setup Case.</t>
  </si>
  <si>
    <t>Do it:         Ctrl+Shift+O   →   LI   →   Enter, then type 6, 4-5 or 3,5-6</t>
  </si>
  <si>
    <t>Try it on:     the bonus sheet of a real case: type 4-5 for both levels' inputs in one array.</t>
  </si>
  <si>
    <t>Reach for it when:  A bonus asks about one level's games, or a few levels together.</t>
  </si>
  <si>
    <t>⚠️ Watch out:  It never overwrites: the cells it writes to must be empty. Left blank, it only works on a level sheet (L06 gives level 6).</t>
  </si>
  <si>
    <t>Bonuses are where cases are won and lost, and they are the thing you forget. Six of the nine commands here exist for that one problem.</t>
  </si>
  <si>
    <t>Create Data Table Here</t>
  </si>
  <si>
    <t>CDTH, DT</t>
  </si>
  <si>
    <t>stand on an empty cell in the level, right of its inputs</t>
  </si>
  <si>
    <t>Builds the level's data table block at the selected cell, else beside the inputs</t>
  </si>
  <si>
    <t>ANS, DT</t>
  </si>
  <si>
    <t>LSC, BDT, DT</t>
  </si>
  <si>
    <t>Data table: adds a bonus SIDE column pointed at the active cell; RDT fills it</t>
  </si>
  <si>
    <t>LDT, LG, DT</t>
  </si>
  <si>
    <t>Unmerge, M2C</t>
  </si>
  <si>
    <t>RDT, DT</t>
  </si>
  <si>
    <t>All 103, one line each, generated from CompBot's own definition. For when you know what you want and just need the keystroke.</t>
  </si>
  <si>
    <t>MAXLOOKUP_byJaqKennedy</t>
  </si>
  <si>
    <t>...the 2nd or 3rd highest, not just the top</t>
  </si>
  <si>
    <t>...but build the block where I am standing</t>
  </si>
  <si>
    <t>CDTH  Create Data Table Here</t>
  </si>
  <si>
    <t>The item on the same row as the biggest number, or the smallest: who scored most, which day was coldest.</t>
  </si>
  <si>
    <t>Scores (grey):</t>
  </si>
  <si>
    <t>the top score's name: Bob and Di both have 9, and the FIRST one wins</t>
  </si>
  <si>
    <t>Reach for it when:  'Who scored the most?' 'Which day was the coldest?' The name beside the biggest or smallest number, in one call.</t>
  </si>
  <si>
    <t>⚠️ Watch out:  A tie gives the first one only. For the 2nd or 3rd, or a tie-break, use Biggest_byHadynWiseman.</t>
  </si>
  <si>
    <t>Cy</t>
  </si>
  <si>
    <t>Di</t>
  </si>
  <si>
    <t>Ed</t>
  </si>
  <si>
    <t>=MAXLOOKUP_byJaqKennedy($F$389:$F$393,$E$389:$E$393)</t>
  </si>
  <si>
    <t>Needs first:   stand on an empty cell with room below and to the right; it will ASK for the levels</t>
  </si>
  <si>
    <t>▾  INSIDER</t>
  </si>
  <si>
    <t>I1 The Alves Method</t>
  </si>
  <si>
    <t>I1 · The Alves Method</t>
  </si>
  <si>
    <t>CompBot Insider only. The Alves Method, by Fredson Alves: build a solve wide, every step spilling where you can see it, then nest it into one row that copies down like any other.</t>
  </si>
  <si>
    <t>The method: build the solve on the example row as usual, every step spilling. Stand on the answer and run Alves Nest and Pack (NP): each step becomes one cell on the answer's row. Save From Example (SFE) then copies that row to every game. If a game looks wrong, Alves Unpack and Unnest (UU) on its answer lays it out again with every spill visible.</t>
  </si>
  <si>
    <t>▸  Alves Nest and Pack</t>
  </si>
  <si>
    <t>NP  ·  FA  ·  ALV</t>
  </si>
  <si>
    <t>Nest, then Pack, in one go: the solve behind the answer cell becomes one row of single cells, answer last, ready for Save From Example.</t>
  </si>
  <si>
    <t>CompBot says:  Alves Nest then Alves Pack: the solve behind the active answer cell becomes one row</t>
  </si>
  <si>
    <t>💼 CASE TEST.  CompBot Insider only: best tried in a copy of a real case.</t>
  </si>
  <si>
    <t>Needs first:   stand on the ANSWER cell of your solve on the example row</t>
  </si>
  <si>
    <t>Do it:         Ctrl+Shift+O   →   NP   →   Enter</t>
  </si>
  <si>
    <t>Try it on:     a level you have solved with spilling steps; then run SFE from the answer.</t>
  </si>
  <si>
    <t>Reach for it when:  The solve works on the example row, and its spills would collide if you filled it down.</t>
  </si>
  <si>
    <t>▸  Alves Unpack and Unnest</t>
  </si>
  <si>
    <t>UU  ·  UNP  ·  UFA  ·  ALV</t>
  </si>
  <si>
    <t>Lays one packed game back out in a scratch area, every step spilling again, so you can see what went wrong. The packed row is not touched.</t>
  </si>
  <si>
    <t>CompBot says:  Alves Unpack then Alves Unnest: one packed row laid out with every spill visible</t>
  </si>
  <si>
    <t>Needs first:   stand on the ANSWER cell of the packed game you want to see</t>
  </si>
  <si>
    <t>Do it:         Ctrl+Shift+O   →   UU   →   Enter</t>
  </si>
  <si>
    <t>Try it on:     after NP and SFE, a game whose answer you do not believe.</t>
  </si>
  <si>
    <t>Reach for it when:  One game's answer looks wrong and you want its working in front of you.</t>
  </si>
  <si>
    <t>▸  Alves Nest</t>
  </si>
  <si>
    <t>NST  ·  ALV</t>
  </si>
  <si>
    <t>Turns every spilling step the answer depends on into one cell holding its whole array; references to them lose their #.</t>
  </si>
  <si>
    <t>CompBot says:  Nests every spilling step of the solve behind the active answer cell into one cell each</t>
  </si>
  <si>
    <t>Do it:         Ctrl+Shift+O   →   NST   →   Enter</t>
  </si>
  <si>
    <t>Try it on:     your solve, when you want to nest without moving anything yet.</t>
  </si>
  <si>
    <t>Reach for it when:  You want Nest and Pack as two separate steps (NP does both).</t>
  </si>
  <si>
    <t>⚠️ Watch out:  It turns in-cell arrays on for the whole workbook (compatibility version 3).</t>
  </si>
  <si>
    <t>▸  Alves Pack</t>
  </si>
  <si>
    <t>PCK  ·  ALV</t>
  </si>
  <si>
    <t>Moves the nested steps onto the answer's row, right of the inputs, in the order they are worked out, answer last.</t>
  </si>
  <si>
    <t>CompBot says:  Moves the nested steps behind the active answer cell onto its row, in order, answer last</t>
  </si>
  <si>
    <t>Needs first:   stand on the ANSWER cell, after Alves Nest</t>
  </si>
  <si>
    <t>Do it:         Ctrl+Shift+O   →   PCK   →   Enter</t>
  </si>
  <si>
    <t>Try it on:     your solve after NST.</t>
  </si>
  <si>
    <t>Reach for it when:  After Alves Nest, when you are running the two steps separately.</t>
  </si>
  <si>
    <t>▸  Alves Unpack</t>
  </si>
  <si>
    <t>UPK  ·  ALV</t>
  </si>
  <si>
    <t>Copies one packed row's steps to a scratch area with room for each array, still nested. The packed row is not touched.</t>
  </si>
  <si>
    <t>CompBot says:  Copies one packed row's steps to a scratch area with room for each array, still nested</t>
  </si>
  <si>
    <t>Needs first:   stand on the ANSWER cell of a PACKED game row</t>
  </si>
  <si>
    <t>Do it:         Ctrl+Shift+O   →   UPK   →   Enter</t>
  </si>
  <si>
    <t>Try it on:     a packed game, before Alves Unnest.</t>
  </si>
  <si>
    <t>Reach for it when:  You want the steps laid out with room, to Unnest them yourself (UU does both).</t>
  </si>
  <si>
    <t>▸  Alves Unnest</t>
  </si>
  <si>
    <t>UNN  ·  ALV</t>
  </si>
  <si>
    <t>The reverse of Alves Nest: every nested step spills again, and references get their # back.</t>
  </si>
  <si>
    <t>CompBot says:  The reverse of Alves Nest: every nested step behind the active answer cell spills again</t>
  </si>
  <si>
    <t>Do it:         Ctrl+Shift+O   →   UNN   →   Enter</t>
  </si>
  <si>
    <t>Try it on:     your nested solve, or a game laid out by Alves Unpack.</t>
  </si>
  <si>
    <t>Reach for it when:  You want the spills back, to see or change a step.</t>
  </si>
  <si>
    <t>▸  INSIDER</t>
  </si>
  <si>
    <t>insider</t>
  </si>
  <si>
    <t>CompBot Insider only: the Alves Method, by Fredson Alves</t>
  </si>
  <si>
    <t>all 103, one line each</t>
  </si>
  <si>
    <t>•  Credits: CompBot's Info sheets gain a Credits column, naming who each command and lambda is from or who asked for it.</t>
  </si>
  <si>
    <t>2026.10.3  ·  15 Oct 2026:  a fix</t>
  </si>
  <si>
    <t>•  Run Data Table waits for Excel to finish each game, so a game run straight after a new SIDE or ANSWER formula no longer comes out #NUM! or #N/A.</t>
  </si>
  <si>
    <t>2026.10.2  ·  11 Oct 2026:  1 new command (103 in all), no new lambdas (75)</t>
  </si>
  <si>
    <t>•  New: Create Data Table Here (CDTH) builds the data table block where you stand. DT now lists the whole data table family.</t>
  </si>
  <si>
    <t>•  Fixes: Create Level Sheets copies each level's pictures onto its level sheet; Save From Example copies helper columns that start straight after the inputs.</t>
  </si>
  <si>
    <t>•  CompBot Insider: a second edition with the Alves Method by Fredson Alves, for Excel with in-cell arrays. See the Insider section.</t>
  </si>
  <si>
    <t>INSIDER ONLY (CompBot Insider)</t>
  </si>
  <si>
    <t>one row per game, every spilling step nested so the row copies down</t>
  </si>
  <si>
    <t>NP   Alves Nest and Pack, then SFE</t>
  </si>
  <si>
    <t>...lay one packed game back out, every spill visible, to debug it</t>
  </si>
  <si>
    <t>UU   Alves Unpack and Unnest</t>
  </si>
  <si>
    <t>CompBot says:  Loads YOUR own lambda library (set once with SLL) into the active workbook: its lambdas and its stored values (named constants)</t>
  </si>
  <si>
    <t>CompBot says:  Data table: adds a bonus SIDE column pointed at the active cell; RDT fills it</t>
  </si>
  <si>
    <t>Stand on the start (e.g. the S) in a map spill, with the target cell COPIED: lists the nearest targets with their addresses and distances, to the right of the sheet's contents</t>
  </si>
  <si>
    <t>Every pairing of the COPIED list with the active spill (each item of one with each item of the other), written to the right of the sheet's contents</t>
  </si>
  <si>
    <t>Counts the FALSE (0) values in an array: how many rows fail the test. Anything non-zero, such as 2 from an OR built with +, counts as TRUE</t>
  </si>
  <si>
    <t>▸  MAXLOOKUP_byJaqKennedy  ·  MINLOOKUP_byJaqKennedy</t>
  </si>
  <si>
    <t>You give it:  MAXLOOKUP_byJaqKennedy(numbers, what to return), or MINLOOKUP_byJaqKennedy for the smallest</t>
  </si>
  <si>
    <t>=MINLOOKUP_byJaqKennedy($F$389:$F$393,$E$389:$E$393)</t>
  </si>
  <si>
    <t>MINLOOKUP: the lowest score instead</t>
  </si>
  <si>
    <t>MINLOOKUP_byJaqKennedy</t>
  </si>
  <si>
    <t>Returns the item lined up with the MIN of a range</t>
  </si>
  <si>
    <t>...the LOWEST: who came last, which day was coldest</t>
  </si>
  <si>
    <t>all 77, one line each</t>
  </si>
  <si>
    <t>2026.10.4  ·  16 Oct 2026:  no new commands (103 in all), 2 new lambdas (77)</t>
  </si>
  <si>
    <t>•  New lambdas: MAXLOOKUP_byJaqKennedy and MINLOOKUP_byJaqKennedy, the name beside the biggest or smallest number (Level 4 Lookup).</t>
  </si>
  <si>
    <t>•  Fix: Full Setup Case copes with cases full of images. A level sheet gets its level's pictures only when there are 5 or fewer, and never one over the inputs.</t>
  </si>
  <si>
    <t>•  Tutorial: lessons for Create Data Table Here (C4) and Level Inputs (C3), and an Insider section for CompBot Insider, with a lesson for each Alves Method command.</t>
  </si>
  <si>
    <t>Returns the item lined up with the MAX of a range</t>
  </si>
  <si>
    <t>Check your Excel ↓   The cell below tries =FLATTEN(1), which only works with in-cell arrays.</t>
  </si>
  <si>
    <t>You need CompBot Insider and Excel with in-cell arrays, so far only in the Microsoft 365 Insider Beta Channel: check below. The competition machines in Las Vegas do not have it, so if you plan to compete there, practise with CompBot. A command moves into the COMMANDS lessons when its Excel feature reaches everyone.</t>
  </si>
  <si>
    <t>•  Fixes: Full Setup Case works on cases opened from OneDrive or SharePoint (thanks to Ashleigh Roberts for reporting it) and no longer stops on Excel's personal information warning; Save From Example brings your helper columns and can be re-run; Import Lambda Library brings named constants; Case Inputs gains a Level column.</t>
  </si>
  <si>
    <t>2026.10.5  ·  22 Oct 2026:  4 fixes</t>
  </si>
  <si>
    <t>•  Create Data Table finds every input column, including one the example leaves blank but the games fill in (thanks to Fabian Sjöblom for reporting it).</t>
  </si>
  <si>
    <t>•  Run Data Table keeps text answers as text, so an answer like 2-5-00 is no longer turned into a date (thanks to Danny Whittaker for reporting it).</t>
  </si>
  <si>
    <t>•  Run Data Table checks that every game really recalculates. If a cell stays on an old value (INDIRECT or OFFSET inside a lambda can cause it), it recalculates the whole sheet for every game, and the status bar warns if every game gives the same answer.</t>
  </si>
  <si>
    <t>•  Clear Unused Lambdas keeps a lambda you pass by name, as in MAP(A1:A3, MyLambda), instead of deleting it.</t>
  </si>
  <si>
    <t>2.  Type  SC.  "Full Setup Case" appears  →  CompBot is registered, and you have all 105 commands.</t>
  </si>
  <si>
    <t>Since the last major release (2026.10, 5 Oct 2026): 6 new commands (105 in all) and 2 new lambdas (77 in all).</t>
  </si>
  <si>
    <t>CompBot says:  Sets up the case: saves a _Solve copy, backs up the sheets, creates the level, bonus and Case inputs sheets, adds the Dr. Kazza level table, opens the bonus dock on L01, then imports lambdas. Choose the steps with SCS</t>
  </si>
  <si>
    <t>Sets up the case: saves a _Solve copy, backs up the sheets, creates the level, bonus and Case inputs sheets, adds the Dr. Kazza level table, opens the bonus dock on L01, then imports lambdas. Choose the steps with SCS</t>
  </si>
  <si>
    <t>Puts every UNANSWERED bonus question in a panel down the right of the Excel window. Answer one and it drops off by itself. Below them: each level's difficulty and points.</t>
  </si>
  <si>
    <t>CompBot says:  Shows the open bonus questions in a dock on the right; answered ones drop off. Ends with the Dr. Kazza level table</t>
  </si>
  <si>
    <t>Shows the open bonus questions in a dock on the right; answered ones drop off. Ends with the Dr. Kazza level table</t>
  </si>
  <si>
    <t>The one-key opening move. It saves your working copy (name_Solve), backs every sheet up, names the used ranges, creates the level, bonus and inputs sheets and the Dr. Kazza level table, then loads the lambdas and opens the bonus dock on L01. Switch steps off in SCS.</t>
  </si>
  <si>
    <t>▸  Convert to What-If Data Table</t>
  </si>
  <si>
    <t>A backup for RDT. Turns the data table block into a real Excel What-If data table, so Excel fills every game itself, SIDE columns included.</t>
  </si>
  <si>
    <t>CompBot says:  Backup for RDT: turns the level's data table block into an Excel What-If data table (=TABLE), so Excel fills every game itself</t>
  </si>
  <si>
    <t>Needs first:   stand anywhere in the block, with ANSWER pointing at your working</t>
  </si>
  <si>
    <t>Do it:         Ctrl+Shift+O   →   WDT   →   Enter</t>
  </si>
  <si>
    <t>Try it on:     Level 2 on the Case sheet: the results become a What-If table and Excel fills them.</t>
  </si>
  <si>
    <t>Reach for it when:  RDT gives #N/A or odd answers on your machine while the example matches, or you want Excel's own data table as a check.</t>
  </si>
  <si>
    <t>⚠️ Watch out:  A What-If table recalculates with the workbook and can slow it down. Once the answers are in, run HDT.</t>
  </si>
  <si>
    <t>WDT  ·  DT</t>
  </si>
  <si>
    <t>▸  Hardcode Data Table</t>
  </si>
  <si>
    <t>Replaces a What-If data table's results with plain values, so the workbook stops recalculating it. Works on any Excel data table, not only one WDT built.</t>
  </si>
  <si>
    <t>CompBot says:  Replaces a What-If data table's results with their values, so the workbook stops recalculating it</t>
  </si>
  <si>
    <t>Needs first:   stand on a result in the What-If table, or anywhere in a CompBot block</t>
  </si>
  <si>
    <t>Run after:     Convert to What-If Data Table (WDT), once the answers look right</t>
  </si>
  <si>
    <t>Do it:         Ctrl+Shift+O   →   HDT   →   Enter</t>
  </si>
  <si>
    <t>Try it on:     Level 2 on the Case sheet, after WDT: the same answers, now as plain values.</t>
  </si>
  <si>
    <t>Reach for it when:  The answers are in and a What-If table is slowing the workbook down.</t>
  </si>
  <si>
    <t>⚠️ Watch out:  The results no longer update. To change them, run RDT, or WDT again.</t>
  </si>
  <si>
    <t>HDT  ·  DT</t>
  </si>
  <si>
    <t>WDT  Convert to What-If Data Table, then HDT</t>
  </si>
  <si>
    <t>Convert to What-If Data Table</t>
  </si>
  <si>
    <t>WDT, DT</t>
  </si>
  <si>
    <t>stand anywhere in the block, with ANSWER pointing at your working</t>
  </si>
  <si>
    <t>Backup for RDT: turns the level's data table block into an Excel What-If data table (=TABLE), so Excel fills every game itself</t>
  </si>
  <si>
    <t>Hardcode Data Table</t>
  </si>
  <si>
    <t>HDT, DT</t>
  </si>
  <si>
    <t>stand on a result in the What-If table, or anywhere in a CompBot block</t>
  </si>
  <si>
    <t>Replaces a What-If data table's results with their values, so the workbook stops recalculating it</t>
  </si>
  <si>
    <t>2026.10.6  ·  23 Oct 2026:  2 new commands, a fix and the Dr. Kazza level table</t>
  </si>
  <si>
    <t>•  Full Setup Case adds the Dr. Kazza level table: each level's difficulty, points and bonus points beside the case intro. It then lands on L01 with the bonus dock open, and sheet B has no gridlines (thanks to Dr. Kazza for the idea).</t>
  </si>
  <si>
    <t>•  Run Data Table no longer writes #N/A for every game when Excel never reports a calculation as finished: it keeps each answer once it stops changing, and says so on the status bar (thanks to Chien Chi-He for reporting it).</t>
  </si>
  <si>
    <t>•  New: Convert to What-If Data Table (WDT) and Hardcode Data Table (HDT), a backup for RDT. WDT turns the block into an Excel What-If table; HDT then fixes its results as values.</t>
  </si>
  <si>
    <t>23 Oct 2026 16:19: 105 commands and 77 lambdas in CompBot</t>
  </si>
  <si>
    <t>RDT gives #N/A or odd answers: use Excel's own What-If table</t>
  </si>
  <si>
    <t>Eleven lessons (B1 to B5 are one), and the most valuable page in the workbook.</t>
  </si>
  <si>
    <t>WDT   Click in the block, run WDT: the results become a What-If table, the same answers.</t>
  </si>
  <si>
    <t>HDT   Click a result, run HDT: the same answers, now as plain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</si>
</sst>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0"/>
      <name val="Verdana"/>
      <family val="2"/>
    </font>
    <font>
      <b/>
      <sz val="20"/>
      <color rgb="FF1F2933"/>
      <name val="Verdana"/>
      <family val="2"/>
    </font>
    <font>
      <sz val="8"/>
      <color rgb="FF6B7A8C"/>
      <name val="Verdana"/>
      <family val="2"/>
    </font>
    <font>
      <b/>
      <sz val="13"/>
      <color rgb="FF1F2933"/>
      <name val="Verdana"/>
      <family val="2"/>
    </font>
    <font>
      <sz val="10"/>
      <color rgb="FF1F2933"/>
      <name val="Verdana"/>
      <family val="2"/>
    </font>
    <font>
      <b/>
      <sz val="11"/>
      <color rgb="FF1A5FB4"/>
      <name val="Verdana"/>
      <family val="2"/>
    </font>
    <font>
      <b/>
      <sz val="10"/>
      <color rgb="FFFFFFFF"/>
      <name val="Verdana"/>
      <family val="2"/>
    </font>
    <font>
      <sz val="10"/>
      <color rgb="FF1F2933"/>
      <name val="Consolas"/>
      <family val="3"/>
    </font>
    <font>
      <b/>
      <sz val="11"/>
      <color rgb="FF0B6E4F"/>
      <name val="Consolas"/>
      <family val="3"/>
    </font>
    <font>
      <u/>
      <sz val="10"/>
      <color rgb="FF1A5FB4"/>
      <name val="Verdana"/>
      <family val="2"/>
    </font>
    <font>
      <b/>
      <sz val="10"/>
      <color rgb="FF0B6E4F"/>
      <name val="Consolas"/>
      <family val="3"/>
    </font>
    <font>
      <sz val="12"/>
      <color rgb="FF1F2933"/>
      <name val="Consolas"/>
      <family val="3"/>
    </font>
    <font>
      <b/>
      <sz val="10"/>
      <color rgb="FF1F2933"/>
      <name val="Verdana"/>
      <family val="2"/>
    </font>
    <font>
      <sz val="7"/>
      <color rgb="FFD8DEE4"/>
      <name val="Verdana"/>
      <family val="2"/>
    </font>
    <font>
      <b/>
      <sz val="9"/>
      <color rgb="FFFFFFFF"/>
      <name val="Verdana"/>
      <family val="2"/>
    </font>
    <font>
      <b/>
      <sz val="9"/>
      <color rgb="FF1F2933"/>
      <name val="Verdana"/>
      <family val="2"/>
    </font>
    <font>
      <sz val="9"/>
      <color rgb="FFFFFFFF"/>
      <name val="Verdana"/>
      <family val="2"/>
    </font>
    <font>
      <b/>
      <sz val="9"/>
      <color rgb="FF1A5FB4"/>
      <name val="Verdana"/>
      <family val="2"/>
    </font>
    <font>
      <b/>
      <sz val="9"/>
      <color rgb="FFB07219"/>
      <name val="Verdana"/>
      <family val="2"/>
    </font>
    <font>
      <b/>
      <sz val="9"/>
      <color rgb="FF0B6E4F"/>
      <name val="Verdana"/>
      <family val="2"/>
    </font>
    <font>
      <b/>
      <sz val="9"/>
      <color rgb="FF6B7A8C"/>
      <name val="Verdana"/>
      <family val="2"/>
    </font>
    <font>
      <sz val="10"/>
      <color rgb="FF1F2933"/>
      <name val="Verdana"/>
      <family val="2"/>
    </font>
    <font>
      <i/>
      <sz val="10"/>
      <color rgb="FFB07219"/>
      <name val="Verdana"/>
      <family val="2"/>
    </font>
    <font>
      <sz val="10"/>
      <color rgb="FF1F2933"/>
      <name val="Consolas"/>
      <family val="3"/>
    </font>
    <font>
      <sz val="8"/>
      <color rgb="FF6B7A8C"/>
      <name val="Verdana"/>
      <family val="2"/>
    </font>
    <font>
      <b/>
      <sz val="13"/>
      <color rgb="FF1F2933"/>
      <name val="Verdana"/>
      <family val="2"/>
    </font>
    <font>
      <b/>
      <sz val="11"/>
      <color rgb="FF0B6E4F"/>
      <name val="Consolas"/>
      <family val="3"/>
    </font>
    <font>
      <b/>
      <sz val="10"/>
      <color rgb="FF1F2933"/>
      <name val="Verdana"/>
      <family val="2"/>
    </font>
    <font>
      <sz val="10"/>
      <color rgb="FFB07219"/>
      <name val="Verdana"/>
      <family val="2"/>
    </font>
    <font>
      <sz val="10"/>
      <color rgb="FF2E7D4F"/>
      <name val="Verdana"/>
      <family val="2"/>
    </font>
    <font>
      <sz val="10"/>
      <color rgb="FF1F4E79"/>
      <name val="Verdana"/>
      <family val="2"/>
    </font>
    <font>
      <sz val="10"/>
      <color rgb="FF5B3F9E"/>
      <name val="Verdana"/>
      <family val="2"/>
    </font>
    <font>
      <u/>
      <sz val="10"/>
      <color theme="10"/>
      <name val="Verdana"/>
      <family val="2"/>
    </font>
    <font>
      <b/>
      <sz val="10"/>
      <color rgb="FF2E7D4F"/>
      <name val="Verdana"/>
      <family val="2"/>
    </font>
    <font>
      <b/>
      <sz val="8"/>
      <color rgb="FF2E7D4F"/>
      <name val="Verdana"/>
      <family val="2"/>
    </font>
    <font>
      <b/>
      <sz val="11"/>
      <color rgb="FF1F2933"/>
      <name val="Verdana"/>
      <family val="2"/>
    </font>
    <font>
      <sz val="9"/>
      <color rgb="FF1F2933"/>
      <name val="Verdana"/>
      <family val="2"/>
    </font>
    <font>
      <b/>
      <sz val="9"/>
      <color rgb="FF2E7D4F"/>
      <name val="Verdana"/>
      <family val="2"/>
    </font>
    <font>
      <sz val="13"/>
      <color rgb="FF1F2933"/>
      <name val="Verdana"/>
      <family val="2"/>
    </font>
    <font>
      <b/>
      <sz val="10"/>
      <name val="Verdana"/>
      <family val="2"/>
    </font>
    <font>
      <b/>
      <sz val="8"/>
      <color rgb="FF6B7A8C"/>
      <name val="Verdana"/>
      <family val="2"/>
    </font>
    <font>
      <b/>
      <sz val="11"/>
      <color rgb="FFB07212"/>
      <name val="Consolas"/>
      <family val="3"/>
    </font>
    <font>
      <b/>
      <sz val="8"/>
      <color rgb="FFB07212"/>
      <name val="Verdana"/>
      <family val="2"/>
    </font>
    <font>
      <i/>
      <sz val="8"/>
      <color rgb="FF6B7A8C"/>
      <name val="Verdana"/>
      <family val="2"/>
    </font>
    <font>
      <sz val="10"/>
      <color rgb="FF60A18D"/>
      <name val="Consolas"/>
      <family val="3"/>
    </font>
    <font>
      <sz val="10"/>
      <color rgb="FF60A18D"/>
      <name val="Verdana"/>
      <family val="2"/>
    </font>
    <font>
      <strike/>
      <u/>
      <sz val="10"/>
      <color rgb="FF1A5FB4"/>
      <name val="Verdana"/>
      <family val="2"/>
    </font>
  </fonts>
  <fills count="41">
    <fill>
      <patternFill patternType="none"/>
    </fill>
    <fill>
      <patternFill patternType="gray125"/>
    </fill>
    <fill>
      <patternFill patternType="solid">
        <fgColor rgb="FFDFF3E4"/>
      </patternFill>
    </fill>
    <fill>
      <patternFill patternType="solid">
        <fgColor rgb="FF1F2933"/>
      </patternFill>
    </fill>
    <fill>
      <patternFill patternType="solid">
        <fgColor rgb="FFF2F5F8"/>
      </patternFill>
    </fill>
    <fill>
      <patternFill patternType="solid">
        <fgColor rgb="FFFFFBEF"/>
      </patternFill>
    </fill>
    <fill>
      <patternFill patternType="solid">
        <fgColor rgb="FFEFEFEF"/>
      </patternFill>
    </fill>
    <fill>
      <patternFill patternType="solid">
        <fgColor rgb="FFC6EFCE"/>
      </patternFill>
    </fill>
    <fill>
      <patternFill patternType="solid">
        <fgColor rgb="FFC6E0B4"/>
      </patternFill>
    </fill>
    <fill>
      <patternFill patternType="solid">
        <fgColor rgb="FFFFE699"/>
      </patternFill>
    </fill>
    <fill>
      <patternFill patternType="solid">
        <fgColor rgb="FF9DC3E6"/>
      </patternFill>
    </fill>
    <fill>
      <patternFill patternType="solid">
        <fgColor rgb="FFF8CBAD"/>
      </patternFill>
    </fill>
    <fill>
      <patternFill patternType="solid">
        <fgColor rgb="FFB7E1E0"/>
      </patternFill>
    </fill>
    <fill>
      <patternFill patternType="solid">
        <fgColor rgb="FFFFF7D6"/>
      </patternFill>
    </fill>
    <fill>
      <patternFill patternType="solid">
        <fgColor rgb="FFFFFFFF"/>
      </patternFill>
    </fill>
    <fill>
      <patternFill patternType="solid">
        <fgColor rgb="FF1A5FB4"/>
      </patternFill>
    </fill>
    <fill>
      <patternFill patternType="solid">
        <fgColor rgb="FFB07219"/>
      </patternFill>
    </fill>
    <fill>
      <patternFill patternType="solid">
        <fgColor rgb="FF0B6E4F"/>
      </patternFill>
    </fill>
    <fill>
      <patternFill patternType="solid">
        <fgColor rgb="FF6B7A8C"/>
      </patternFill>
    </fill>
    <fill>
      <patternFill patternType="solid">
        <fgColor rgb="FFF2F5F8"/>
        <bgColor indexed="64"/>
      </patternFill>
    </fill>
    <fill>
      <patternFill patternType="solid">
        <fgColor rgb="FFFFFBEF"/>
        <bgColor indexed="64"/>
      </patternFill>
    </fill>
    <fill>
      <patternFill patternType="solid">
        <fgColor rgb="FFDFF3E4"/>
        <bgColor indexed="64"/>
      </patternFill>
    </fill>
    <fill>
      <patternFill patternType="solid">
        <fgColor rgb="FFEFEFEF"/>
        <bgColor indexed="64"/>
      </patternFill>
    </fill>
    <fill>
      <patternFill patternType="solid">
        <fgColor rgb="FFDDEBF7"/>
        <bgColor indexed="64"/>
      </patternFill>
    </fill>
    <fill>
      <patternFill patternType="solid">
        <fgColor rgb="FFE8E4F8"/>
        <bgColor indexed="64"/>
      </patternFill>
    </fill>
    <fill>
      <patternFill patternType="solid">
        <fgColor rgb="FFC2B6F4"/>
        <bgColor indexed="64"/>
      </patternFill>
    </fill>
    <fill>
      <patternFill patternType="solid">
        <fgColor rgb="FFFFF0C6"/>
        <bgColor indexed="64"/>
      </patternFill>
    </fill>
    <fill>
      <patternFill patternType="solid">
        <fgColor rgb="FFE7E6E6"/>
        <bgColor indexed="64"/>
      </patternFill>
    </fill>
    <fill>
      <patternFill patternType="solid">
        <fgColor rgb="FFFFFFFF"/>
        <bgColor indexed="64"/>
      </patternFill>
    </fill>
    <fill>
      <patternFill patternType="solid">
        <fgColor rgb="FF0B6E4F"/>
        <bgColor indexed="64"/>
      </patternFill>
    </fill>
    <fill>
      <patternFill patternType="solid">
        <fgColor rgb="FFF2F2F2"/>
        <bgColor indexed="64"/>
      </patternFill>
    </fill>
    <fill>
      <patternFill patternType="solid">
        <fgColor rgb="FFFFFDF7"/>
        <bgColor indexed="64"/>
      </patternFill>
    </fill>
    <fill>
      <patternFill patternType="solid">
        <fgColor rgb="FF1F2933"/>
        <bgColor indexed="64"/>
      </patternFill>
    </fill>
    <fill>
      <patternFill patternType="solid">
        <fgColor rgb="FF1A5FB4"/>
        <bgColor indexed="64"/>
      </patternFill>
    </fill>
    <fill>
      <patternFill patternType="solid">
        <fgColor rgb="FFB07219"/>
        <bgColor indexed="64"/>
      </patternFill>
    </fill>
    <fill>
      <patternFill patternType="solid">
        <fgColor rgb="FF6B7A8C"/>
        <bgColor indexed="64"/>
      </patternFill>
    </fill>
    <fill>
      <patternFill patternType="solid">
        <fgColor rgb="FFA9D08E"/>
        <bgColor indexed="64"/>
      </patternFill>
    </fill>
    <fill>
      <patternFill patternType="solid">
        <fgColor rgb="FFD5A6E6"/>
        <bgColor indexed="64"/>
      </patternFill>
    </fill>
    <fill>
      <patternFill patternType="solid">
        <fgColor rgb="FFF4B6C2"/>
        <bgColor indexed="64"/>
      </patternFill>
    </fill>
    <fill>
      <patternFill patternType="solid">
        <fgColor rgb="FFFFC000"/>
        <bgColor indexed="64"/>
      </patternFill>
    </fill>
    <fill>
      <patternFill patternType="solid">
        <fgColor rgb="FF5B3F9E"/>
        <bgColor indexed="64"/>
      </patternFill>
    </fill>
  </fills>
  <borders count="39">
    <border>
      <left/>
      <right/>
      <top/>
      <bottom/>
      <diagonal/>
    </border>
    <border>
      <left style="thin">
        <color rgb="FFD5DCE4"/>
      </left>
      <right style="thin">
        <color rgb="FFD5DCE4"/>
      </right>
      <top style="thin">
        <color rgb="FFD5DCE4"/>
      </top>
      <bottom style="thin">
        <color rgb="FFD5DCE4"/>
      </bottom>
      <diagonal/>
    </border>
    <border>
      <left style="thin">
        <color rgb="FFD5DCE4"/>
      </left>
      <right style="thin">
        <color rgb="FFD5DCE4"/>
      </right>
      <top/>
      <bottom/>
      <diagonal/>
    </border>
    <border>
      <left style="thin">
        <color rgb="FFD5DCE4"/>
      </left>
      <right style="thin">
        <color rgb="FFD5DCE4"/>
      </right>
      <top/>
      <bottom style="thin">
        <color rgb="FFD5DCE4"/>
      </bottom>
      <diagonal/>
    </border>
    <border>
      <left style="medium">
        <color rgb="FFD4AF37"/>
      </left>
      <right style="medium">
        <color rgb="FFD4AF37"/>
      </right>
      <top style="medium">
        <color rgb="FFD4AF37"/>
      </top>
      <bottom style="medium">
        <color rgb="FFD4AF37"/>
      </bottom>
      <diagonal/>
    </border>
    <border>
      <left style="thin">
        <color rgb="FFD5DCE4"/>
      </left>
      <right style="thin">
        <color rgb="FFD5DCE4"/>
      </right>
      <top style="thin">
        <color rgb="FFD5DCE4"/>
      </top>
      <bottom/>
      <diagonal/>
    </border>
    <border>
      <left style="thin">
        <color rgb="FFD5DCE4"/>
      </left>
      <right/>
      <top style="thin">
        <color rgb="FFD5DCE4"/>
      </top>
      <bottom style="thin">
        <color rgb="FFD5DCE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07219"/>
      </left>
      <right/>
      <top style="thin">
        <color rgb="FFB07219"/>
      </top>
      <bottom style="thin">
        <color rgb="FFB07219"/>
      </bottom>
      <diagonal/>
    </border>
    <border>
      <left/>
      <right/>
      <top style="thin">
        <color rgb="FFB07219"/>
      </top>
      <bottom style="thin">
        <color rgb="FFB07219"/>
      </bottom>
      <diagonal/>
    </border>
    <border>
      <left/>
      <right style="thin">
        <color rgb="FFB07219"/>
      </right>
      <top style="thin">
        <color rgb="FFB07219"/>
      </top>
      <bottom style="thin">
        <color rgb="FFB07219"/>
      </bottom>
      <diagonal/>
    </border>
    <border>
      <left style="thin">
        <color rgb="FF2E7D4F"/>
      </left>
      <right/>
      <top style="thin">
        <color rgb="FF2E7D4F"/>
      </top>
      <bottom style="thin">
        <color rgb="FF2E7D4F"/>
      </bottom>
      <diagonal/>
    </border>
    <border>
      <left/>
      <right/>
      <top style="thin">
        <color rgb="FF2E7D4F"/>
      </top>
      <bottom style="thin">
        <color rgb="FF2E7D4F"/>
      </bottom>
      <diagonal/>
    </border>
    <border>
      <left/>
      <right style="thin">
        <color rgb="FF2E7D4F"/>
      </right>
      <top style="thin">
        <color rgb="FF2E7D4F"/>
      </top>
      <bottom style="thin">
        <color rgb="FF2E7D4F"/>
      </bottom>
      <diagonal/>
    </border>
    <border>
      <left style="thin">
        <color rgb="FF1F4E79"/>
      </left>
      <right/>
      <top style="thin">
        <color rgb="FF1F4E79"/>
      </top>
      <bottom style="thin">
        <color rgb="FF1F4E79"/>
      </bottom>
      <diagonal/>
    </border>
    <border>
      <left/>
      <right/>
      <top style="thin">
        <color rgb="FF1F4E79"/>
      </top>
      <bottom style="thin">
        <color rgb="FF1F4E79"/>
      </bottom>
      <diagonal/>
    </border>
    <border>
      <left/>
      <right style="thin">
        <color rgb="FF1F4E79"/>
      </right>
      <top style="thin">
        <color rgb="FF1F4E79"/>
      </top>
      <bottom style="thin">
        <color rgb="FF1F4E79"/>
      </bottom>
      <diagonal/>
    </border>
    <border>
      <left style="thin">
        <color rgb="FF5B3F9E"/>
      </left>
      <right/>
      <top style="thin">
        <color rgb="FF5B3F9E"/>
      </top>
      <bottom/>
      <diagonal/>
    </border>
    <border>
      <left/>
      <right/>
      <top style="thin">
        <color rgb="FF5B3F9E"/>
      </top>
      <bottom/>
      <diagonal/>
    </border>
    <border>
      <left style="thin">
        <color rgb="FF5B3F9E"/>
      </left>
      <right/>
      <top style="thin">
        <color rgb="FF5B3F9E"/>
      </top>
      <bottom style="thin">
        <color rgb="FF5B3F9E"/>
      </bottom>
      <diagonal/>
    </border>
    <border>
      <left/>
      <right/>
      <top style="thin">
        <color rgb="FF5B3F9E"/>
      </top>
      <bottom style="thin">
        <color rgb="FF5B3F9E"/>
      </bottom>
      <diagonal/>
    </border>
    <border>
      <left/>
      <right style="thin">
        <color rgb="FF5B3F9E"/>
      </right>
      <top style="thin">
        <color rgb="FF5B3F9E"/>
      </top>
      <bottom style="thin">
        <color rgb="FF5B3F9E"/>
      </bottom>
      <diagonal/>
    </border>
    <border>
      <left style="thin">
        <color rgb="FF5B3F9E"/>
      </left>
      <right/>
      <top/>
      <bottom style="thin">
        <color rgb="FF5B3F9E"/>
      </bottom>
      <diagonal/>
    </border>
    <border>
      <left/>
      <right/>
      <top/>
      <bottom style="thin">
        <color rgb="FF5B3F9E"/>
      </bottom>
      <diagonal/>
    </border>
    <border>
      <left/>
      <right style="thin">
        <color rgb="FF5B3F9E"/>
      </right>
      <top style="thin">
        <color rgb="FF5B3F9E"/>
      </top>
      <bottom/>
      <diagonal/>
    </border>
    <border>
      <left/>
      <right style="thin">
        <color rgb="FF5B3F9E"/>
      </right>
      <top/>
      <bottom style="thin">
        <color rgb="FF5B3F9E"/>
      </bottom>
      <diagonal/>
    </border>
    <border>
      <left style="thin">
        <color rgb="FF1F4E79"/>
      </left>
      <right/>
      <top/>
      <bottom style="thin">
        <color rgb="FF1F4E79"/>
      </bottom>
      <diagonal/>
    </border>
    <border>
      <left/>
      <right/>
      <top/>
      <bottom style="thin">
        <color rgb="FF1F4E79"/>
      </bottom>
      <diagonal/>
    </border>
    <border>
      <left/>
      <right style="thin">
        <color rgb="FF1F4E79"/>
      </right>
      <top/>
      <bottom style="thin">
        <color rgb="FF1F4E79"/>
      </bottom>
      <diagonal/>
    </border>
    <border>
      <left style="thin">
        <color rgb="FFBFBFBF"/>
      </left>
      <right/>
      <top style="thin">
        <color rgb="FFBFBFBF"/>
      </top>
      <bottom style="thin">
        <color rgb="FFBFBFBF"/>
      </bottom>
      <diagonal/>
    </border>
    <border>
      <left style="thin">
        <color rgb="FFD5DCE4"/>
      </left>
      <right/>
      <top/>
      <bottom style="thin">
        <color rgb="FFD5DCE4"/>
      </bottom>
      <diagonal/>
    </border>
    <border>
      <left/>
      <right/>
      <top/>
      <bottom style="thin">
        <color rgb="FFD5DCE4"/>
      </bottom>
      <diagonal/>
    </border>
    <border>
      <left style="thin">
        <color rgb="FFD5DCE4"/>
      </left>
      <right/>
      <top/>
      <bottom/>
      <diagonal/>
    </border>
    <border>
      <left/>
      <right/>
      <top style="thin">
        <color rgb="FFD5DCE4"/>
      </top>
      <bottom style="thin">
        <color rgb="FFD5DCE4"/>
      </bottom>
      <diagonal/>
    </border>
    <border>
      <left/>
      <right style="thin">
        <color rgb="FFD5DCE4"/>
      </right>
      <top style="thin">
        <color rgb="FFD5DCE4"/>
      </top>
      <bottom style="thin">
        <color rgb="FFD5DCE4"/>
      </bottom>
      <diagonal/>
    </border>
    <border>
      <left style="thin">
        <color rgb="FF7F7F7F"/>
      </left>
      <right style="thin">
        <color rgb="FF7F7F7F"/>
      </right>
      <top style="thin">
        <color rgb="FF7F7F7F"/>
      </top>
      <bottom style="thin">
        <color rgb="FF7F7F7F"/>
      </bottom>
      <diagonal/>
    </border>
    <border>
      <left style="thin">
        <color rgb="FFBFBFBF"/>
      </left>
      <right style="thin">
        <color rgb="FFBFBFBF"/>
      </right>
      <top style="thin">
        <color rgb="FFBFBFBF"/>
      </top>
      <bottom/>
      <diagonal/>
    </border>
    <border>
      <left style="thin">
        <color rgb="FFD5DCE4"/>
      </left>
      <right/>
      <top style="thin">
        <color rgb="FFD5DCE4"/>
      </top>
      <bottom/>
      <diagonal/>
    </border>
  </borders>
  <cellStyleXfs count="2">
    <xf numFmtId="0" fontId="0" fillId="0" borderId="0"/>
    <xf numFmtId="0" fontId="32" fillId="0" borderId="0" applyNumberFormat="0" applyFill="0" applyBorder="0" applyAlignment="0" applyProtection="0"/>
  </cellStyleXfs>
  <cellXfs count="271">
    <xf numFmtId="0" fontId="0" fillId="0" borderId="0" xfId="0"/>
    <xf numFmtId="0" fontId="0" fillId="3" borderId="0" xfId="0" applyFill="1"/>
    <xf numFmtId="0" fontId="12" fillId="14" borderId="0" xfId="0" applyFont="1" applyFill="1" applyAlignment="1">
      <alignment vertical="center"/>
    </xf>
    <xf numFmtId="0" fontId="1" fillId="0" borderId="0" xfId="0" applyFont="1"/>
    <xf numFmtId="0" fontId="13" fillId="3" borderId="0" xfId="0" applyFont="1" applyFill="1" applyAlignment="1">
      <alignment vertical="center"/>
    </xf>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0" fontId="5" fillId="0" borderId="0" xfId="0" applyFont="1"/>
    <xf numFmtId="0" fontId="6" fillId="3" borderId="1" xfId="0" applyFont="1" applyFill="1" applyBorder="1"/>
    <xf numFmtId="0" fontId="7" fillId="0" borderId="1" xfId="0" applyFont="1" applyBorder="1" applyAlignment="1">
      <alignment vertical="top" wrapText="1"/>
    </xf>
    <xf numFmtId="0" fontId="4" fillId="0" borderId="1" xfId="0" applyFont="1" applyBorder="1" applyAlignment="1">
      <alignment vertical="top" wrapText="1"/>
    </xf>
    <xf numFmtId="0" fontId="7" fillId="4" borderId="1" xfId="0" applyFont="1" applyFill="1" applyBorder="1" applyAlignment="1">
      <alignment vertical="top" wrapText="1"/>
    </xf>
    <xf numFmtId="0" fontId="4" fillId="4" borderId="1" xfId="0" applyFont="1" applyFill="1" applyBorder="1" applyAlignment="1">
      <alignment vertical="top" wrapText="1"/>
    </xf>
    <xf numFmtId="0" fontId="6" fillId="3" borderId="0" xfId="0" applyFont="1" applyFill="1" applyAlignment="1">
      <alignment vertical="center"/>
    </xf>
    <xf numFmtId="0" fontId="4" fillId="0" borderId="1" xfId="0" applyFont="1" applyBorder="1"/>
    <xf numFmtId="0" fontId="8" fillId="0" borderId="1" xfId="0" applyFont="1" applyBorder="1"/>
    <xf numFmtId="0" fontId="4" fillId="4" borderId="1" xfId="0" applyFont="1" applyFill="1" applyBorder="1"/>
    <xf numFmtId="0" fontId="8" fillId="4" borderId="1" xfId="0" applyFont="1" applyFill="1" applyBorder="1"/>
    <xf numFmtId="0" fontId="0" fillId="15" borderId="0" xfId="0" applyFill="1"/>
    <xf numFmtId="0" fontId="6" fillId="15" borderId="0" xfId="0" applyFont="1" applyFill="1" applyAlignment="1">
      <alignment vertical="center"/>
    </xf>
    <xf numFmtId="0" fontId="13" fillId="15" borderId="0" xfId="0" applyFont="1" applyFill="1" applyAlignment="1">
      <alignment vertical="center"/>
    </xf>
    <xf numFmtId="0" fontId="2" fillId="0" borderId="0" xfId="0" applyFont="1"/>
    <xf numFmtId="0" fontId="7" fillId="6" borderId="1" xfId="0" applyFont="1" applyFill="1" applyBorder="1" applyAlignment="1">
      <alignment horizontal="center"/>
    </xf>
    <xf numFmtId="0" fontId="6" fillId="3" borderId="0" xfId="0" applyFont="1" applyFill="1"/>
    <xf numFmtId="0" fontId="10" fillId="5" borderId="1" xfId="0" applyFont="1" applyFill="1" applyBorder="1"/>
    <xf numFmtId="0" fontId="10" fillId="2" borderId="1" xfId="0" applyFont="1" applyFill="1" applyBorder="1"/>
    <xf numFmtId="0" fontId="7" fillId="0" borderId="1" xfId="0" applyFont="1" applyBorder="1"/>
    <xf numFmtId="0" fontId="7" fillId="7" borderId="1" xfId="0" applyFont="1" applyFill="1" applyBorder="1"/>
    <xf numFmtId="0" fontId="7" fillId="0" borderId="1" xfId="0" applyFont="1" applyBorder="1" applyAlignment="1">
      <alignment horizontal="center"/>
    </xf>
    <xf numFmtId="0" fontId="7" fillId="7" borderId="1" xfId="0" applyFont="1" applyFill="1" applyBorder="1" applyAlignment="1">
      <alignment horizontal="center"/>
    </xf>
    <xf numFmtId="0" fontId="0" fillId="16" borderId="0" xfId="0" applyFill="1"/>
    <xf numFmtId="0" fontId="6" fillId="16" borderId="0" xfId="0" applyFont="1" applyFill="1" applyAlignment="1">
      <alignment vertical="center"/>
    </xf>
    <xf numFmtId="0" fontId="13" fillId="16" borderId="0" xfId="0" applyFont="1" applyFill="1" applyAlignment="1">
      <alignment vertical="center"/>
    </xf>
    <xf numFmtId="0" fontId="7" fillId="8" borderId="1" xfId="0" applyFont="1" applyFill="1" applyBorder="1" applyAlignment="1">
      <alignment horizontal="center"/>
    </xf>
    <xf numFmtId="0" fontId="7" fillId="9" borderId="1" xfId="0" applyFont="1" applyFill="1" applyBorder="1" applyAlignment="1">
      <alignment horizontal="center"/>
    </xf>
    <xf numFmtId="0" fontId="7" fillId="10" borderId="1" xfId="0" applyFont="1" applyFill="1" applyBorder="1" applyAlignment="1">
      <alignment horizontal="center"/>
    </xf>
    <xf numFmtId="0" fontId="7" fillId="11" borderId="1" xfId="0" applyFont="1" applyFill="1" applyBorder="1" applyAlignment="1">
      <alignment horizontal="center"/>
    </xf>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7" fillId="12" borderId="1" xfId="0" applyFont="1" applyFill="1" applyBorder="1" applyAlignment="1">
      <alignment horizontal="center"/>
    </xf>
    <xf numFmtId="0" fontId="6" fillId="3" borderId="1" xfId="0" applyFont="1" applyFill="1" applyBorder="1" applyAlignment="1">
      <alignment horizontal="center"/>
    </xf>
    <xf numFmtId="0" fontId="0" fillId="17" borderId="0" xfId="0" applyFill="1"/>
    <xf numFmtId="0" fontId="6" fillId="17" borderId="0" xfId="0" applyFont="1" applyFill="1" applyAlignment="1">
      <alignment vertical="center"/>
    </xf>
    <xf numFmtId="0" fontId="13" fillId="17" borderId="0" xfId="0" applyFont="1" applyFill="1" applyAlignment="1">
      <alignment vertical="center"/>
    </xf>
    <xf numFmtId="0" fontId="4" fillId="0" borderId="0" xfId="0" applyFont="1"/>
    <xf numFmtId="0" fontId="11" fillId="13" borderId="4" xfId="0" applyFont="1" applyFill="1" applyBorder="1" applyAlignment="1">
      <alignment vertical="center" indent="1"/>
    </xf>
    <xf numFmtId="0" fontId="0" fillId="18" borderId="0" xfId="0" applyFill="1"/>
    <xf numFmtId="0" fontId="6" fillId="18" borderId="0" xfId="0" applyFont="1" applyFill="1" applyAlignment="1">
      <alignment vertical="center"/>
    </xf>
    <xf numFmtId="0" fontId="13" fillId="18" borderId="0" xfId="0" applyFont="1" applyFill="1" applyAlignment="1">
      <alignment vertical="center"/>
    </xf>
    <xf numFmtId="0" fontId="8" fillId="0" borderId="0" xfId="0" applyFont="1" applyAlignment="1">
      <alignment vertical="top" wrapText="1"/>
    </xf>
    <xf numFmtId="0" fontId="7" fillId="19" borderId="1" xfId="0" applyFont="1" applyFill="1" applyBorder="1" applyAlignment="1">
      <alignment vertical="top" wrapText="1"/>
    </xf>
    <xf numFmtId="0" fontId="4" fillId="19" borderId="1" xfId="0" applyFont="1" applyFill="1" applyBorder="1" applyAlignment="1">
      <alignment vertical="top" wrapText="1"/>
    </xf>
    <xf numFmtId="0" fontId="4" fillId="0" borderId="3" xfId="0" applyFont="1" applyBorder="1" applyAlignment="1">
      <alignment vertical="top" wrapText="1"/>
    </xf>
    <xf numFmtId="0" fontId="21" fillId="19" borderId="1" xfId="0" applyFont="1" applyFill="1" applyBorder="1" applyAlignment="1">
      <alignment vertical="top" wrapText="1"/>
    </xf>
    <xf numFmtId="0" fontId="23" fillId="19" borderId="1" xfId="0" applyFont="1" applyFill="1" applyBorder="1" applyAlignment="1">
      <alignment vertical="top" wrapText="1"/>
    </xf>
    <xf numFmtId="0" fontId="26" fillId="0" borderId="0" xfId="0" applyFont="1" applyAlignment="1">
      <alignment vertical="top" wrapText="1"/>
    </xf>
    <xf numFmtId="0" fontId="7" fillId="19" borderId="6" xfId="0" applyFont="1" applyFill="1" applyBorder="1" applyAlignment="1">
      <alignment vertical="top" wrapText="1"/>
    </xf>
    <xf numFmtId="0" fontId="4" fillId="19" borderId="6" xfId="0" applyFont="1" applyFill="1" applyBorder="1" applyAlignment="1">
      <alignment vertical="top" wrapText="1"/>
    </xf>
    <xf numFmtId="0" fontId="7" fillId="19" borderId="31" xfId="0" applyFont="1" applyFill="1" applyBorder="1" applyAlignment="1">
      <alignment vertical="top" wrapText="1"/>
    </xf>
    <xf numFmtId="0" fontId="4" fillId="19" borderId="31" xfId="0" applyFont="1" applyFill="1" applyBorder="1" applyAlignment="1">
      <alignment vertical="top" wrapText="1"/>
    </xf>
    <xf numFmtId="0" fontId="4" fillId="19" borderId="3" xfId="0" applyFont="1" applyFill="1" applyBorder="1" applyAlignment="1">
      <alignment vertical="top" wrapText="1"/>
    </xf>
    <xf numFmtId="0" fontId="7" fillId="19" borderId="5" xfId="0" applyFont="1" applyFill="1" applyBorder="1" applyAlignment="1">
      <alignment vertical="top" wrapText="1"/>
    </xf>
    <xf numFmtId="0" fontId="4" fillId="19" borderId="5" xfId="0" applyFont="1" applyFill="1" applyBorder="1" applyAlignment="1">
      <alignment vertical="top" wrapText="1"/>
    </xf>
    <xf numFmtId="0" fontId="23" fillId="19" borderId="31" xfId="0" applyFont="1" applyFill="1" applyBorder="1" applyAlignment="1">
      <alignment vertical="top" wrapText="1"/>
    </xf>
    <xf numFmtId="0" fontId="21" fillId="19" borderId="31" xfId="0" applyFont="1" applyFill="1" applyBorder="1" applyAlignment="1">
      <alignment vertical="top" wrapText="1"/>
    </xf>
    <xf numFmtId="0" fontId="21" fillId="19" borderId="3" xfId="0" applyFont="1" applyFill="1" applyBorder="1" applyAlignment="1">
      <alignment vertical="top" wrapText="1"/>
    </xf>
    <xf numFmtId="0" fontId="7" fillId="19" borderId="2" xfId="0" applyFont="1" applyFill="1" applyBorder="1" applyAlignment="1">
      <alignment vertical="top" wrapText="1"/>
    </xf>
    <xf numFmtId="0" fontId="4" fillId="19" borderId="2" xfId="0" applyFont="1" applyFill="1" applyBorder="1" applyAlignment="1">
      <alignment vertical="top"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4" fillId="0" borderId="0" xfId="0" applyFont="1" applyAlignment="1">
      <alignment horizontal="left" vertical="top" wrapText="1"/>
    </xf>
    <xf numFmtId="0" fontId="38" fillId="0" borderId="0" xfId="0" applyFont="1"/>
    <xf numFmtId="0" fontId="7" fillId="0" borderId="1" xfId="0" applyFont="1" applyBorder="1" applyAlignment="1">
      <alignment horizontal="right"/>
    </xf>
    <xf numFmtId="0" fontId="0" fillId="0" borderId="0" xfId="0" applyAlignment="1">
      <alignment horizontal="right"/>
    </xf>
    <xf numFmtId="0" fontId="2" fillId="0" borderId="0" xfId="0" applyFont="1" applyAlignment="1">
      <alignment horizontal="right"/>
    </xf>
    <xf numFmtId="0" fontId="2" fillId="0" borderId="0" xfId="0" applyFont="1" applyAlignment="1">
      <alignment horizontal="left" vertical="top" wrapText="1"/>
    </xf>
    <xf numFmtId="0" fontId="2" fillId="0" borderId="0" xfId="0" applyFont="1" applyAlignment="1">
      <alignment horizontal="left"/>
    </xf>
    <xf numFmtId="0" fontId="2" fillId="0" borderId="0" xfId="0" applyFont="1" applyAlignment="1">
      <alignment horizontal="left" vertical="top"/>
    </xf>
    <xf numFmtId="0" fontId="0" fillId="0" borderId="0" xfId="0" applyAlignment="1">
      <alignment horizontal="left" vertical="top" wrapText="1"/>
    </xf>
    <xf numFmtId="0" fontId="7" fillId="20" borderId="1" xfId="0" applyFont="1" applyFill="1" applyBorder="1" applyAlignment="1">
      <alignment horizontal="center"/>
    </xf>
    <xf numFmtId="0" fontId="7" fillId="25" borderId="1" xfId="0" applyFont="1" applyFill="1" applyBorder="1" applyAlignment="1">
      <alignment horizontal="center"/>
    </xf>
    <xf numFmtId="0" fontId="40" fillId="0" borderId="0" xfId="0" applyFont="1" applyAlignment="1">
      <alignment horizontal="left" vertical="top"/>
    </xf>
    <xf numFmtId="0" fontId="0" fillId="26" borderId="36" xfId="0" applyFill="1" applyBorder="1"/>
    <xf numFmtId="0" fontId="0" fillId="27" borderId="7" xfId="0" applyFill="1" applyBorder="1"/>
    <xf numFmtId="0" fontId="0" fillId="27" borderId="37" xfId="0" applyFill="1" applyBorder="1"/>
    <xf numFmtId="0" fontId="0" fillId="0" borderId="0" xfId="0" applyAlignment="1">
      <alignment horizontal="left"/>
    </xf>
    <xf numFmtId="3" fontId="2" fillId="0" borderId="0" xfId="0" applyNumberFormat="1" applyFont="1" applyAlignment="1">
      <alignment vertical="top" wrapText="1"/>
    </xf>
    <xf numFmtId="0" fontId="2" fillId="0" borderId="0" xfId="0" quotePrefix="1" applyFont="1" applyAlignment="1">
      <alignment horizontal="left" vertical="top" wrapText="1"/>
    </xf>
    <xf numFmtId="0" fontId="19" fillId="28" borderId="0" xfId="0" applyFont="1" applyFill="1" applyAlignment="1">
      <alignment horizontal="left" indent="1"/>
    </xf>
    <xf numFmtId="0" fontId="16" fillId="29" borderId="0" xfId="1" applyFont="1" applyFill="1" applyAlignment="1">
      <alignment horizontal="left" indent="1"/>
    </xf>
    <xf numFmtId="3" fontId="2" fillId="0" borderId="0" xfId="0" quotePrefix="1" applyNumberFormat="1" applyFont="1" applyAlignment="1">
      <alignment horizontal="left" vertical="top" wrapText="1"/>
    </xf>
    <xf numFmtId="0" fontId="43" fillId="0" borderId="0" xfId="0" applyFont="1" applyAlignment="1">
      <alignment horizontal="center"/>
    </xf>
    <xf numFmtId="0" fontId="7" fillId="30" borderId="1" xfId="0" applyFont="1" applyFill="1" applyBorder="1" applyAlignment="1">
      <alignment horizontal="center"/>
    </xf>
    <xf numFmtId="0" fontId="44" fillId="31" borderId="0" xfId="0" applyFont="1" applyFill="1"/>
    <xf numFmtId="0" fontId="45" fillId="31" borderId="0" xfId="0" applyFont="1" applyFill="1"/>
    <xf numFmtId="0" fontId="7" fillId="30" borderId="1" xfId="0" quotePrefix="1" applyFont="1" applyFill="1" applyBorder="1" applyAlignment="1">
      <alignment horizontal="center"/>
    </xf>
    <xf numFmtId="0" fontId="16" fillId="32" borderId="0" xfId="0" applyFont="1" applyFill="1"/>
    <xf numFmtId="0" fontId="14" fillId="32" borderId="0" xfId="1" applyFont="1" applyFill="1" applyAlignment="1"/>
    <xf numFmtId="0" fontId="15" fillId="28" borderId="0" xfId="0" applyFont="1" applyFill="1" applyAlignment="1">
      <alignment horizontal="left" vertical="center" indent="1"/>
    </xf>
    <xf numFmtId="0" fontId="16" fillId="32" borderId="0" xfId="1" applyFont="1" applyFill="1" applyAlignment="1">
      <alignment horizontal="left" indent="1"/>
    </xf>
    <xf numFmtId="0" fontId="16" fillId="33" borderId="0" xfId="0" applyFont="1" applyFill="1"/>
    <xf numFmtId="0" fontId="14" fillId="33" borderId="0" xfId="1" applyFont="1" applyFill="1" applyAlignment="1"/>
    <xf numFmtId="0" fontId="17" fillId="28" borderId="0" xfId="0" applyFont="1" applyFill="1" applyAlignment="1">
      <alignment horizontal="left" vertical="center" indent="1"/>
    </xf>
    <xf numFmtId="0" fontId="16" fillId="33" borderId="0" xfId="1" applyFont="1" applyFill="1" applyAlignment="1">
      <alignment horizontal="left" indent="1"/>
    </xf>
    <xf numFmtId="0" fontId="16" fillId="34" borderId="0" xfId="0" applyFont="1" applyFill="1"/>
    <xf numFmtId="0" fontId="14" fillId="34" borderId="0" xfId="1" applyFont="1" applyFill="1" applyAlignment="1"/>
    <xf numFmtId="0" fontId="16" fillId="34" borderId="0" xfId="1" applyFont="1" applyFill="1" applyAlignment="1">
      <alignment horizontal="left" indent="1"/>
    </xf>
    <xf numFmtId="0" fontId="18" fillId="28" borderId="0" xfId="0" applyFont="1" applyFill="1" applyAlignment="1">
      <alignment horizontal="left" vertical="center" indent="1"/>
    </xf>
    <xf numFmtId="0" fontId="16" fillId="29" borderId="0" xfId="0" applyFont="1" applyFill="1"/>
    <xf numFmtId="0" fontId="16" fillId="29" borderId="0" xfId="1" applyFont="1" applyFill="1" applyAlignment="1">
      <alignment horizontal="left"/>
    </xf>
    <xf numFmtId="0" fontId="14" fillId="29" borderId="0" xfId="1" applyFont="1" applyFill="1" applyAlignment="1"/>
    <xf numFmtId="0" fontId="16" fillId="35" borderId="0" xfId="0" applyFont="1" applyFill="1"/>
    <xf numFmtId="0" fontId="16" fillId="35" borderId="0" xfId="0" applyFont="1" applyFill="1" applyAlignment="1">
      <alignment vertical="center"/>
    </xf>
    <xf numFmtId="0" fontId="14" fillId="35" borderId="0" xfId="1" applyFont="1" applyFill="1" applyAlignment="1"/>
    <xf numFmtId="0" fontId="16" fillId="35" borderId="0" xfId="1" applyFont="1" applyFill="1" applyAlignment="1">
      <alignment horizontal="left" indent="1"/>
    </xf>
    <xf numFmtId="0" fontId="6" fillId="3" borderId="5" xfId="0" applyFont="1" applyFill="1" applyBorder="1"/>
    <xf numFmtId="0" fontId="5" fillId="0" borderId="0" xfId="0" applyFont="1" applyAlignment="1">
      <alignment vertical="top" wrapText="1"/>
    </xf>
    <xf numFmtId="0" fontId="16" fillId="35" borderId="0" xfId="0" applyFont="1" applyFill="1" applyAlignment="1">
      <alignment horizontal="left" vertical="center"/>
    </xf>
    <xf numFmtId="0" fontId="20" fillId="28" borderId="0" xfId="0" applyFont="1" applyFill="1" applyAlignment="1">
      <alignment horizontal="left" indent="1"/>
    </xf>
    <xf numFmtId="0" fontId="16" fillId="35" borderId="0" xfId="1" applyFont="1" applyFill="1" applyAlignment="1">
      <alignment horizontal="left" vertical="center" indent="1"/>
    </xf>
    <xf numFmtId="0" fontId="0" fillId="28" borderId="0" xfId="0" applyFill="1"/>
    <xf numFmtId="0" fontId="4" fillId="19" borderId="38" xfId="0" applyFont="1" applyFill="1" applyBorder="1" applyAlignment="1">
      <alignment vertical="top" wrapText="1"/>
    </xf>
    <xf numFmtId="0" fontId="7" fillId="19" borderId="38" xfId="0" applyFont="1" applyFill="1" applyBorder="1" applyAlignment="1">
      <alignment vertical="top" wrapText="1"/>
    </xf>
    <xf numFmtId="0" fontId="7" fillId="30" borderId="1" xfId="0" applyFont="1" applyFill="1" applyBorder="1" applyAlignment="1">
      <alignment horizontal="left"/>
    </xf>
    <xf numFmtId="0" fontId="7" fillId="36" borderId="1" xfId="0" applyFont="1" applyFill="1" applyBorder="1" applyAlignment="1">
      <alignment horizontal="center"/>
    </xf>
    <xf numFmtId="0" fontId="7" fillId="37" borderId="1" xfId="0" applyFont="1" applyFill="1" applyBorder="1" applyAlignment="1">
      <alignment horizontal="center"/>
    </xf>
    <xf numFmtId="0" fontId="7" fillId="38" borderId="1" xfId="0" applyFont="1" applyFill="1" applyBorder="1" applyAlignment="1">
      <alignment horizontal="center"/>
    </xf>
    <xf numFmtId="0" fontId="39" fillId="39" borderId="0" xfId="0" applyFont="1" applyFill="1" applyAlignment="1">
      <alignment horizontal="center"/>
    </xf>
    <xf numFmtId="0" fontId="4" fillId="0" borderId="6" xfId="0" applyFont="1" applyBorder="1" applyAlignment="1">
      <alignment vertical="top" wrapText="1"/>
    </xf>
    <xf numFmtId="0" fontId="7" fillId="0" borderId="6" xfId="0" applyFont="1" applyBorder="1" applyAlignment="1">
      <alignment vertical="top" wrapText="1"/>
    </xf>
    <xf numFmtId="0" fontId="4" fillId="0" borderId="2" xfId="0" applyFont="1" applyBorder="1" applyAlignment="1">
      <alignment vertical="top" wrapText="1"/>
    </xf>
    <xf numFmtId="0" fontId="4" fillId="0" borderId="5" xfId="0" applyFont="1" applyBorder="1" applyAlignment="1">
      <alignment vertical="top" wrapText="1"/>
    </xf>
    <xf numFmtId="0" fontId="7" fillId="0" borderId="5" xfId="0" applyFont="1" applyBorder="1" applyAlignment="1">
      <alignment vertical="top" wrapText="1"/>
    </xf>
    <xf numFmtId="0" fontId="7" fillId="0" borderId="3" xfId="0" applyFont="1" applyBorder="1" applyAlignment="1">
      <alignment vertical="top" wrapText="1"/>
    </xf>
    <xf numFmtId="0" fontId="0" fillId="40" borderId="0" xfId="0" applyFill="1"/>
    <xf numFmtId="0" fontId="6" fillId="40" borderId="0" xfId="0" applyFont="1" applyFill="1" applyAlignment="1">
      <alignment vertical="center"/>
    </xf>
    <xf numFmtId="0" fontId="13" fillId="40" borderId="0" xfId="0" applyFont="1" applyFill="1" applyAlignment="1">
      <alignment vertical="center"/>
    </xf>
    <xf numFmtId="0" fontId="14" fillId="40" borderId="0" xfId="1" applyFont="1" applyFill="1" applyAlignment="1"/>
    <xf numFmtId="0" fontId="16" fillId="40" borderId="0" xfId="0" applyFont="1" applyFill="1"/>
    <xf numFmtId="0" fontId="21" fillId="0" borderId="1" xfId="0" applyFont="1" applyBorder="1" applyAlignment="1">
      <alignment vertical="top" wrapText="1"/>
    </xf>
    <xf numFmtId="0" fontId="23" fillId="0" borderId="1" xfId="0" applyFont="1" applyBorder="1" applyAlignment="1">
      <alignment vertical="top" wrapText="1"/>
    </xf>
    <xf numFmtId="0" fontId="4" fillId="0" borderId="38" xfId="0" applyFont="1" applyBorder="1" applyAlignment="1">
      <alignment vertical="top" wrapText="1"/>
    </xf>
    <xf numFmtId="0" fontId="7" fillId="0" borderId="38" xfId="0" applyFont="1" applyBorder="1" applyAlignment="1">
      <alignment vertical="top" wrapText="1"/>
    </xf>
    <xf numFmtId="0" fontId="4" fillId="0" borderId="33" xfId="0" applyFont="1" applyBorder="1" applyAlignment="1">
      <alignment vertical="top" wrapText="1"/>
    </xf>
    <xf numFmtId="0" fontId="7" fillId="0" borderId="33" xfId="0" applyFont="1" applyBorder="1" applyAlignment="1">
      <alignment vertical="top" wrapText="1"/>
    </xf>
    <xf numFmtId="0" fontId="2" fillId="0" borderId="0" xfId="0" applyFont="1" applyAlignment="1">
      <alignment vertical="top" wrapText="1"/>
    </xf>
    <xf numFmtId="0" fontId="0" fillId="0" borderId="0" xfId="0"/>
    <xf numFmtId="0" fontId="0" fillId="0" borderId="0" xfId="0" applyAlignment="1">
      <alignment vertical="top" wrapText="1"/>
    </xf>
    <xf numFmtId="0" fontId="4" fillId="2" borderId="0" xfId="0" applyFont="1" applyFill="1" applyAlignment="1">
      <alignment vertical="top" wrapText="1"/>
    </xf>
    <xf numFmtId="0" fontId="3" fillId="0" borderId="0" xfId="0" applyFont="1"/>
    <xf numFmtId="0" fontId="4" fillId="0" borderId="0" xfId="0" applyFont="1" applyAlignment="1">
      <alignment vertical="top" wrapText="1"/>
    </xf>
    <xf numFmtId="0" fontId="31" fillId="24" borderId="23" xfId="0" applyFont="1" applyFill="1" applyBorder="1" applyAlignment="1">
      <alignment horizontal="left" vertical="top" wrapText="1"/>
    </xf>
    <xf numFmtId="0" fontId="31" fillId="24" borderId="24" xfId="0" applyFont="1" applyFill="1" applyBorder="1" applyAlignment="1">
      <alignment horizontal="left" vertical="top" wrapText="1"/>
    </xf>
    <xf numFmtId="0" fontId="31" fillId="24" borderId="26" xfId="0" applyFont="1" applyFill="1" applyBorder="1" applyAlignment="1">
      <alignment horizontal="left" vertical="top" wrapText="1"/>
    </xf>
    <xf numFmtId="0" fontId="28" fillId="20" borderId="9" xfId="0" applyFont="1" applyFill="1" applyBorder="1" applyAlignment="1">
      <alignment vertical="top" wrapText="1"/>
    </xf>
    <xf numFmtId="0" fontId="28" fillId="20" borderId="10" xfId="0" applyFont="1" applyFill="1" applyBorder="1" applyAlignment="1">
      <alignment vertical="top" wrapText="1"/>
    </xf>
    <xf numFmtId="0" fontId="28" fillId="20" borderId="11" xfId="0" applyFont="1" applyFill="1" applyBorder="1" applyAlignment="1">
      <alignment vertical="top" wrapText="1"/>
    </xf>
    <xf numFmtId="0" fontId="3" fillId="0" borderId="0" xfId="0" applyFont="1" applyAlignment="1">
      <alignment vertical="top" wrapText="1"/>
    </xf>
    <xf numFmtId="0" fontId="29" fillId="21" borderId="12" xfId="0" applyFont="1" applyFill="1" applyBorder="1" applyAlignment="1">
      <alignment horizontal="left" vertical="top" wrapText="1"/>
    </xf>
    <xf numFmtId="0" fontId="29" fillId="21" borderId="13" xfId="0" applyFont="1" applyFill="1" applyBorder="1" applyAlignment="1">
      <alignment horizontal="left" vertical="top" wrapText="1"/>
    </xf>
    <xf numFmtId="0" fontId="29" fillId="21" borderId="14" xfId="0" applyFont="1" applyFill="1" applyBorder="1" applyAlignment="1">
      <alignment horizontal="left" vertical="top" wrapText="1"/>
    </xf>
    <xf numFmtId="0" fontId="30" fillId="23" borderId="27" xfId="0" applyFont="1" applyFill="1" applyBorder="1" applyAlignment="1">
      <alignment horizontal="left" vertical="top" wrapText="1"/>
    </xf>
    <xf numFmtId="0" fontId="30" fillId="23" borderId="28" xfId="0" applyFont="1" applyFill="1" applyBorder="1" applyAlignment="1">
      <alignment horizontal="left" vertical="top" wrapText="1"/>
    </xf>
    <xf numFmtId="0" fontId="30" fillId="23" borderId="29" xfId="0" applyFont="1" applyFill="1" applyBorder="1" applyAlignment="1">
      <alignment horizontal="left" vertical="top" wrapText="1"/>
    </xf>
    <xf numFmtId="0" fontId="9" fillId="0" borderId="0" xfId="0" applyFont="1" applyAlignment="1">
      <alignment vertical="top" wrapText="1"/>
    </xf>
    <xf numFmtId="0" fontId="4" fillId="5" borderId="0" xfId="0" applyFont="1" applyFill="1" applyAlignment="1">
      <alignment vertical="top" wrapText="1"/>
    </xf>
    <xf numFmtId="0" fontId="30" fillId="23" borderId="15" xfId="0" applyFont="1" applyFill="1" applyBorder="1" applyAlignment="1">
      <alignment vertical="top" wrapText="1"/>
    </xf>
    <xf numFmtId="0" fontId="30" fillId="23" borderId="16" xfId="0" applyFont="1" applyFill="1" applyBorder="1" applyAlignment="1">
      <alignment vertical="top" wrapText="1"/>
    </xf>
    <xf numFmtId="0" fontId="30" fillId="23" borderId="17" xfId="0" applyFont="1" applyFill="1" applyBorder="1" applyAlignment="1">
      <alignment vertical="top" wrapText="1"/>
    </xf>
    <xf numFmtId="0" fontId="7" fillId="6" borderId="0" xfId="0" applyFont="1" applyFill="1" applyAlignment="1">
      <alignment vertical="top" wrapText="1"/>
    </xf>
    <xf numFmtId="0" fontId="28" fillId="5" borderId="9" xfId="0" applyFont="1" applyFill="1" applyBorder="1" applyAlignment="1">
      <alignment vertical="top" wrapText="1"/>
    </xf>
    <xf numFmtId="0" fontId="28" fillId="5" borderId="10" xfId="0" applyFont="1" applyFill="1" applyBorder="1" applyAlignment="1">
      <alignment vertical="top" wrapText="1"/>
    </xf>
    <xf numFmtId="0" fontId="28" fillId="5" borderId="11" xfId="0" applyFont="1" applyFill="1" applyBorder="1" applyAlignment="1">
      <alignment vertical="top" wrapText="1"/>
    </xf>
    <xf numFmtId="0" fontId="25" fillId="0" borderId="0" xfId="0" applyFont="1" applyAlignment="1">
      <alignment vertical="top" wrapText="1"/>
    </xf>
    <xf numFmtId="0" fontId="24" fillId="0" borderId="0" xfId="0" applyFont="1" applyAlignment="1">
      <alignment vertical="top" wrapText="1"/>
    </xf>
    <xf numFmtId="0" fontId="21" fillId="0" borderId="0" xfId="0" applyFont="1" applyAlignment="1">
      <alignment vertical="top" wrapText="1"/>
    </xf>
    <xf numFmtId="0" fontId="27" fillId="22" borderId="7" xfId="0" applyFont="1" applyFill="1" applyBorder="1" applyAlignment="1">
      <alignment horizontal="center" vertical="top" wrapText="1"/>
    </xf>
    <xf numFmtId="0" fontId="27" fillId="22" borderId="30" xfId="0" applyFont="1" applyFill="1" applyBorder="1" applyAlignment="1">
      <alignment horizontal="center" vertical="top" wrapText="1"/>
    </xf>
    <xf numFmtId="0" fontId="21" fillId="22" borderId="8" xfId="0" applyFont="1" applyFill="1" applyBorder="1" applyAlignment="1">
      <alignment horizontal="center" vertical="center"/>
    </xf>
    <xf numFmtId="0" fontId="21" fillId="22" borderId="7" xfId="0" applyFont="1" applyFill="1" applyBorder="1" applyAlignment="1">
      <alignment horizontal="center" vertical="center"/>
    </xf>
    <xf numFmtId="0" fontId="29" fillId="21" borderId="12" xfId="0" applyFont="1" applyFill="1" applyBorder="1" applyAlignment="1">
      <alignment vertical="top" wrapText="1"/>
    </xf>
    <xf numFmtId="0" fontId="29" fillId="21" borderId="13" xfId="0" applyFont="1" applyFill="1" applyBorder="1" applyAlignment="1">
      <alignment vertical="top" wrapText="1"/>
    </xf>
    <xf numFmtId="0" fontId="29" fillId="21" borderId="14" xfId="0" applyFont="1" applyFill="1" applyBorder="1" applyAlignment="1">
      <alignment vertical="top" wrapText="1"/>
    </xf>
    <xf numFmtId="0" fontId="26" fillId="0" borderId="0" xfId="0" applyFont="1"/>
    <xf numFmtId="0" fontId="25" fillId="0" borderId="0" xfId="0" applyFont="1"/>
    <xf numFmtId="0" fontId="31" fillId="24" borderId="18" xfId="0" applyFont="1" applyFill="1" applyBorder="1" applyAlignment="1">
      <alignment vertical="top" wrapText="1"/>
    </xf>
    <xf numFmtId="0" fontId="31" fillId="24" borderId="19" xfId="0" applyFont="1" applyFill="1" applyBorder="1" applyAlignment="1">
      <alignment vertical="top" wrapText="1"/>
    </xf>
    <xf numFmtId="0" fontId="31" fillId="24" borderId="25" xfId="0" applyFont="1" applyFill="1" applyBorder="1" applyAlignment="1">
      <alignment vertical="top" wrapText="1"/>
    </xf>
    <xf numFmtId="0" fontId="31" fillId="24" borderId="23" xfId="0" applyFont="1" applyFill="1" applyBorder="1" applyAlignment="1">
      <alignment vertical="top" wrapText="1"/>
    </xf>
    <xf numFmtId="0" fontId="31" fillId="24" borderId="24" xfId="0" applyFont="1" applyFill="1" applyBorder="1" applyAlignment="1">
      <alignment vertical="top" wrapText="1"/>
    </xf>
    <xf numFmtId="0" fontId="31" fillId="24" borderId="26" xfId="0" applyFont="1" applyFill="1" applyBorder="1" applyAlignment="1">
      <alignment vertical="top" wrapText="1"/>
    </xf>
    <xf numFmtId="0" fontId="31" fillId="24" borderId="20" xfId="0" applyFont="1" applyFill="1" applyBorder="1" applyAlignment="1">
      <alignment vertical="top" wrapText="1"/>
    </xf>
    <xf numFmtId="0" fontId="31" fillId="24" borderId="21" xfId="0" applyFont="1" applyFill="1" applyBorder="1" applyAlignment="1">
      <alignment vertical="top" wrapText="1"/>
    </xf>
    <xf numFmtId="0" fontId="31" fillId="24" borderId="22" xfId="0" applyFont="1" applyFill="1" applyBorder="1" applyAlignment="1">
      <alignment vertical="top" wrapText="1"/>
    </xf>
    <xf numFmtId="0" fontId="34" fillId="0" borderId="0" xfId="1" quotePrefix="1" applyFont="1" applyAlignment="1">
      <alignment horizontal="left" vertical="top"/>
    </xf>
    <xf numFmtId="0" fontId="34" fillId="0" borderId="0" xfId="0" applyFont="1" applyAlignment="1">
      <alignment horizontal="left" vertical="top"/>
    </xf>
    <xf numFmtId="0" fontId="33" fillId="21" borderId="12" xfId="1" quotePrefix="1" applyFont="1" applyFill="1" applyBorder="1" applyAlignment="1">
      <alignment horizontal="left" vertical="top" wrapText="1"/>
    </xf>
    <xf numFmtId="0" fontId="33" fillId="21" borderId="13" xfId="0" applyFont="1" applyFill="1" applyBorder="1" applyAlignment="1">
      <alignment horizontal="left" vertical="top" wrapText="1"/>
    </xf>
    <xf numFmtId="0" fontId="33" fillId="21" borderId="14" xfId="0" applyFont="1" applyFill="1" applyBorder="1" applyAlignment="1">
      <alignment horizontal="left" vertical="top" wrapText="1"/>
    </xf>
    <xf numFmtId="0" fontId="24" fillId="0" borderId="0" xfId="0" applyFont="1" applyAlignment="1">
      <alignment wrapText="1"/>
    </xf>
    <xf numFmtId="0" fontId="29" fillId="2" borderId="12" xfId="0" applyFont="1" applyFill="1" applyBorder="1" applyAlignment="1">
      <alignment vertical="top" wrapText="1"/>
    </xf>
    <xf numFmtId="0" fontId="29" fillId="0" borderId="13" xfId="0" applyFont="1" applyBorder="1" applyAlignment="1">
      <alignment vertical="top" wrapText="1"/>
    </xf>
    <xf numFmtId="0" fontId="29" fillId="0" borderId="14" xfId="0" applyFont="1" applyBorder="1" applyAlignment="1">
      <alignment vertical="top" wrapText="1"/>
    </xf>
    <xf numFmtId="0" fontId="3" fillId="0" borderId="0" xfId="0" applyFont="1" applyAlignment="1">
      <alignment vertical="top"/>
    </xf>
    <xf numFmtId="0" fontId="4"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42" fillId="0" borderId="0" xfId="0" applyFont="1" applyAlignment="1">
      <alignment vertical="top" wrapText="1"/>
    </xf>
    <xf numFmtId="0" fontId="8" fillId="0" borderId="0" xfId="0" applyFont="1" applyAlignment="1">
      <alignment vertical="top" wrapText="1"/>
    </xf>
    <xf numFmtId="0" fontId="28" fillId="0" borderId="10" xfId="0" applyFont="1" applyBorder="1" applyAlignment="1">
      <alignment vertical="top" wrapText="1"/>
    </xf>
    <xf numFmtId="0" fontId="28" fillId="0" borderId="11" xfId="0" applyFont="1" applyBorder="1" applyAlignment="1">
      <alignment vertical="top" wrapText="1"/>
    </xf>
    <xf numFmtId="0" fontId="29" fillId="0" borderId="13" xfId="0" applyFont="1" applyBorder="1"/>
    <xf numFmtId="0" fontId="29" fillId="0" borderId="14" xfId="0" applyFont="1" applyBorder="1"/>
    <xf numFmtId="0" fontId="4" fillId="0" borderId="6" xfId="0" applyFont="1" applyBorder="1" applyAlignment="1">
      <alignment vertical="top" wrapText="1"/>
    </xf>
    <xf numFmtId="0" fontId="4" fillId="0" borderId="34" xfId="0" applyFont="1" applyBorder="1" applyAlignment="1">
      <alignment vertical="top" wrapText="1"/>
    </xf>
    <xf numFmtId="0" fontId="4" fillId="0" borderId="35" xfId="0" applyFont="1" applyBorder="1" applyAlignment="1">
      <alignment vertical="top" wrapText="1"/>
    </xf>
    <xf numFmtId="0" fontId="35" fillId="0" borderId="0" xfId="0" applyFont="1" applyAlignment="1">
      <alignment horizontal="left" vertical="top"/>
    </xf>
    <xf numFmtId="0" fontId="15" fillId="0" borderId="0" xfId="0" applyFont="1" applyAlignment="1">
      <alignment horizontal="left" vertical="top" wrapText="1"/>
    </xf>
    <xf numFmtId="0" fontId="36" fillId="0" borderId="0" xfId="0" applyFont="1" applyAlignment="1">
      <alignment horizontal="left" vertical="top" wrapText="1"/>
    </xf>
    <xf numFmtId="0" fontId="37" fillId="0" borderId="0" xfId="1" quotePrefix="1" applyFont="1" applyAlignment="1">
      <alignment horizontal="left" vertical="top"/>
    </xf>
    <xf numFmtId="0" fontId="37" fillId="0" borderId="0" xfId="0" applyFont="1" applyAlignment="1">
      <alignment horizontal="left" vertical="top"/>
    </xf>
    <xf numFmtId="0" fontId="6" fillId="3" borderId="33" xfId="0" applyFont="1" applyFill="1" applyBorder="1" applyAlignment="1">
      <alignment wrapText="1"/>
    </xf>
    <xf numFmtId="0" fontId="6" fillId="3" borderId="0" xfId="0" applyFont="1" applyFill="1" applyAlignment="1">
      <alignment wrapText="1"/>
    </xf>
    <xf numFmtId="0" fontId="2" fillId="0" borderId="32" xfId="0" applyFont="1" applyBorder="1" applyAlignment="1">
      <alignment vertical="top" wrapText="1"/>
    </xf>
    <xf numFmtId="0" fontId="35" fillId="0" borderId="0" xfId="0" applyFont="1" applyAlignment="1">
      <alignment horizontal="left"/>
    </xf>
    <xf numFmtId="0" fontId="2" fillId="0" borderId="0" xfId="1" quotePrefix="1" applyFont="1" applyAlignment="1">
      <alignment horizontal="left" vertical="top"/>
    </xf>
    <xf numFmtId="0" fontId="2" fillId="0" borderId="0" xfId="0" applyFont="1" applyAlignment="1">
      <alignment horizontal="left" vertical="top"/>
    </xf>
    <xf numFmtId="0" fontId="7" fillId="0" borderId="0" xfId="0" quotePrefix="1" applyFont="1" applyAlignment="1">
      <alignment vertical="top" wrapText="1"/>
    </xf>
    <xf numFmtId="0" fontId="2" fillId="0" borderId="0" xfId="0" quotePrefix="1" applyFont="1" applyAlignment="1">
      <alignment horizontal="left" vertical="top" wrapText="1"/>
    </xf>
    <xf numFmtId="0" fontId="12" fillId="0" borderId="0" xfId="0" applyFont="1" applyAlignment="1">
      <alignment vertical="top" wrapText="1"/>
    </xf>
    <xf numFmtId="0" fontId="7" fillId="19" borderId="1" xfId="0" applyFont="1" applyFill="1" applyBorder="1" applyAlignment="1">
      <alignment vertical="top" wrapText="1"/>
    </xf>
    <xf numFmtId="0" fontId="0" fillId="19" borderId="2" xfId="0" applyFill="1" applyBorder="1"/>
    <xf numFmtId="0" fontId="0" fillId="19" borderId="3" xfId="0" applyFill="1" applyBorder="1"/>
    <xf numFmtId="0" fontId="4" fillId="19" borderId="1" xfId="0" applyFont="1" applyFill="1" applyBorder="1" applyAlignment="1">
      <alignment vertical="top" wrapText="1"/>
    </xf>
    <xf numFmtId="0" fontId="7" fillId="0" borderId="1" xfId="0" applyFont="1" applyBorder="1" applyAlignment="1">
      <alignment vertical="top" wrapText="1"/>
    </xf>
    <xf numFmtId="0" fontId="4" fillId="0" borderId="1" xfId="0" applyFont="1" applyBorder="1" applyAlignment="1">
      <alignment vertical="top" wrapText="1"/>
    </xf>
    <xf numFmtId="0" fontId="0" fillId="0" borderId="2" xfId="0" applyBorder="1"/>
    <xf numFmtId="0" fontId="39" fillId="0" borderId="0" xfId="0" applyFont="1"/>
    <xf numFmtId="0" fontId="9" fillId="0" borderId="0" xfId="1" applyFont="1"/>
    <xf numFmtId="0" fontId="4" fillId="0" borderId="1" xfId="0" applyFont="1" applyFill="1" applyBorder="1" applyAlignment="1">
      <alignment vertical="top" wrapText="1"/>
    </xf>
    <xf numFmtId="0" fontId="7" fillId="0" borderId="1" xfId="0" applyFont="1" applyFill="1" applyBorder="1" applyAlignment="1">
      <alignment vertical="top" wrapText="1"/>
    </xf>
    <xf numFmtId="0" fontId="4" fillId="0" borderId="5" xfId="0" applyFont="1" applyFill="1" applyBorder="1" applyAlignment="1">
      <alignment vertical="top" wrapText="1"/>
    </xf>
    <xf numFmtId="0" fontId="7" fillId="0" borderId="5" xfId="0" applyFont="1" applyFill="1" applyBorder="1" applyAlignment="1">
      <alignment vertical="top" wrapText="1"/>
    </xf>
    <xf numFmtId="0" fontId="6" fillId="0" borderId="1" xfId="0" applyFont="1" applyFill="1" applyBorder="1"/>
    <xf numFmtId="0" fontId="21" fillId="0" borderId="1" xfId="0" applyFont="1" applyFill="1" applyBorder="1" applyAlignment="1">
      <alignment vertical="top" wrapText="1"/>
    </xf>
    <xf numFmtId="0" fontId="23" fillId="0" borderId="1" xfId="0" applyFont="1" applyFill="1" applyBorder="1" applyAlignment="1">
      <alignment vertical="top" wrapText="1"/>
    </xf>
    <xf numFmtId="0" fontId="21" fillId="19" borderId="5" xfId="0" applyFont="1" applyFill="1" applyBorder="1" applyAlignment="1">
      <alignment vertical="top" wrapText="1"/>
    </xf>
    <xf numFmtId="0" fontId="23" fillId="19" borderId="5" xfId="0" applyFont="1" applyFill="1" applyBorder="1" applyAlignment="1">
      <alignment vertical="top" wrapText="1"/>
    </xf>
    <xf numFmtId="0" fontId="21" fillId="0" borderId="6" xfId="0" applyFont="1" applyFill="1" applyBorder="1" applyAlignment="1">
      <alignment vertical="top" wrapText="1"/>
    </xf>
    <xf numFmtId="0" fontId="7" fillId="0" borderId="5" xfId="0" applyFont="1" applyFill="1" applyBorder="1" applyAlignment="1">
      <alignment vertical="top" wrapText="1"/>
    </xf>
    <xf numFmtId="0" fontId="4" fillId="0" borderId="5" xfId="0" applyFont="1" applyFill="1" applyBorder="1" applyAlignment="1">
      <alignment vertical="top" wrapText="1"/>
    </xf>
    <xf numFmtId="0" fontId="7" fillId="0" borderId="3" xfId="0" applyFont="1" applyFill="1" applyBorder="1" applyAlignment="1">
      <alignment vertical="top" wrapText="1"/>
    </xf>
    <xf numFmtId="0" fontId="4" fillId="0" borderId="3" xfId="0" applyFont="1" applyFill="1" applyBorder="1" applyAlignment="1">
      <alignment vertical="top" wrapText="1"/>
    </xf>
    <xf numFmtId="0" fontId="7" fillId="0" borderId="1" xfId="0" applyFont="1" applyFill="1" applyBorder="1" applyAlignment="1">
      <alignment vertical="top" wrapText="1"/>
    </xf>
    <xf numFmtId="0" fontId="4" fillId="0" borderId="1" xfId="0" applyFont="1" applyFill="1" applyBorder="1" applyAlignment="1">
      <alignment vertical="top" wrapText="1"/>
    </xf>
    <xf numFmtId="0" fontId="0" fillId="0" borderId="3" xfId="0" applyFill="1" applyBorder="1"/>
    <xf numFmtId="0" fontId="7" fillId="0" borderId="6" xfId="0" applyFont="1" applyFill="1" applyBorder="1" applyAlignment="1">
      <alignment vertical="top" wrapText="1"/>
    </xf>
    <xf numFmtId="0" fontId="4" fillId="0" borderId="6" xfId="0" applyFont="1" applyFill="1" applyBorder="1" applyAlignment="1">
      <alignment vertical="top" wrapText="1"/>
    </xf>
    <xf numFmtId="0" fontId="7" fillId="0" borderId="31" xfId="0" applyFont="1" applyFill="1" applyBorder="1" applyAlignment="1">
      <alignment vertical="top" wrapText="1"/>
    </xf>
    <xf numFmtId="0" fontId="4" fillId="0" borderId="31" xfId="0" applyFont="1" applyFill="1" applyBorder="1" applyAlignment="1">
      <alignment vertical="top" wrapText="1"/>
    </xf>
    <xf numFmtId="0" fontId="4" fillId="0" borderId="3" xfId="0" applyFont="1" applyFill="1" applyBorder="1" applyAlignment="1">
      <alignment vertical="top" wrapText="1"/>
    </xf>
    <xf numFmtId="0" fontId="7" fillId="0" borderId="2" xfId="0" applyFont="1" applyFill="1" applyBorder="1" applyAlignment="1">
      <alignment vertical="top" wrapText="1"/>
    </xf>
    <xf numFmtId="0" fontId="4" fillId="0" borderId="2" xfId="0" applyFont="1" applyFill="1" applyBorder="1" applyAlignment="1">
      <alignment vertical="top" wrapText="1"/>
    </xf>
    <xf numFmtId="0" fontId="7" fillId="0" borderId="3" xfId="0" applyFont="1" applyFill="1" applyBorder="1" applyAlignment="1">
      <alignment vertical="top" wrapText="1"/>
    </xf>
    <xf numFmtId="0" fontId="23" fillId="0" borderId="6" xfId="0" applyFont="1" applyFill="1" applyBorder="1" applyAlignment="1">
      <alignment vertical="top" wrapText="1"/>
    </xf>
    <xf numFmtId="0" fontId="23" fillId="0" borderId="31" xfId="0" applyFont="1" applyFill="1" applyBorder="1" applyAlignment="1">
      <alignment vertical="top" wrapText="1"/>
    </xf>
    <xf numFmtId="0" fontId="21" fillId="0" borderId="31" xfId="0" applyFont="1" applyFill="1" applyBorder="1" applyAlignment="1">
      <alignment vertical="top" wrapText="1"/>
    </xf>
    <xf numFmtId="0" fontId="21" fillId="0" borderId="3" xfId="0" applyFont="1" applyFill="1" applyBorder="1" applyAlignment="1">
      <alignment vertical="top" wrapText="1"/>
    </xf>
  </cellXfs>
  <cellStyles count="2">
    <cellStyle name="Hyperlink" xfId="1" builtinId="8"/>
    <cellStyle name="Normal" xfId="0" builtinId="0"/>
  </cellStyles>
  <dxfs count="4">
    <dxf>
      <font>
        <color rgb="FFB71C1C"/>
      </font>
    </dxf>
    <dxf>
      <font>
        <color rgb="FF2E7D32"/>
      </font>
    </dxf>
    <dxf>
      <fill>
        <patternFill>
          <bgColor rgb="FFF2F5F8"/>
        </patternFill>
      </fill>
    </dxf>
    <dxf>
      <border>
        <bottom style="thin">
          <color rgb="FFD5DCE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microsoft.com/office/2022/11/relationships/FeaturePropertyBag" Target="featurePropertyBag/featurePropertyBag.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Case'!A1"/></Relationships>
</file>

<file path=xl/drawings/_rels/drawing2.xml.rels><?xml version="1.0" encoding="UTF-8" standalone="yes"?>
<Relationships xmlns="http://schemas.openxmlformats.org/package/2006/relationships"><Relationship Id="rId1" Type="http://schemas.openxmlformats.org/officeDocument/2006/relationships/hyperlink" Target="#'Case'!A1"/></Relationships>
</file>

<file path=xl/drawings/_rels/drawing3.xml.rels><?xml version="1.0" encoding="UTF-8" standalone="yes"?>
<Relationships xmlns="http://schemas.openxmlformats.org/package/2006/relationships"><Relationship Id="rId1" Type="http://schemas.openxmlformats.org/officeDocument/2006/relationships/hyperlink" Target="#'Case'!A1"/></Relationships>
</file>

<file path=xl/drawings/drawing1.xml><?xml version="1.0" encoding="utf-8"?>
<xdr:wsDr xmlns:xdr="http://schemas.openxmlformats.org/drawingml/2006/spreadsheetDrawing" xmlns:a="http://schemas.openxmlformats.org/drawingml/2006/main">
  <xdr:twoCellAnchor editAs="absolute">
    <xdr:from>
      <xdr:col>5</xdr:col>
      <xdr:colOff>0</xdr:colOff>
      <xdr:row>2</xdr:row>
      <xdr:rowOff>0</xdr:rowOff>
    </xdr:from>
    <xdr:to>
      <xdr:col>7</xdr:col>
      <xdr:colOff>533400</xdr:colOff>
      <xdr:row>3</xdr:row>
      <xdr:rowOff>142875</xdr:rowOff>
    </xdr:to>
    <xdr:sp macro="" textlink="">
      <xdr:nvSpPr>
        <xdr:cNvPr id="2" name="BackToCase">
          <a:hlinkClick xmlns:r="http://schemas.openxmlformats.org/officeDocument/2006/relationships" r:id="rId1" tooltip="Back to the Case sheet"/>
          <a:extLst>
            <a:ext uri="{FF2B5EF4-FFF2-40B4-BE49-F238E27FC236}">
              <a16:creationId xmlns:a16="http://schemas.microsoft.com/office/drawing/2014/main" id="{E08122B7-F9EF-F8BD-0D12-E1DD37648FE6}"/>
            </a:ext>
          </a:extLst>
        </xdr:cNvPr>
        <xdr:cNvSpPr/>
      </xdr:nvSpPr>
      <xdr:spPr>
        <a:xfrm>
          <a:off x="3619500" y="323850"/>
          <a:ext cx="1905000" cy="304800"/>
        </a:xfrm>
        <a:prstGeom prst="roundRect">
          <a:avLst/>
        </a:prstGeom>
        <a:solidFill>
          <a:srgbClr val="B07219"/>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900" b="1">
              <a:solidFill>
                <a:srgbClr val="FFFFFF"/>
              </a:solidFill>
              <a:latin typeface="Verdana" panose="020B0604030504040204" pitchFamily="34" charset="0"/>
            </a:rPr>
            <a:t>⌂  Back to the Case sheet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0</xdr:colOff>
      <xdr:row>2</xdr:row>
      <xdr:rowOff>0</xdr:rowOff>
    </xdr:from>
    <xdr:to>
      <xdr:col>7</xdr:col>
      <xdr:colOff>533400</xdr:colOff>
      <xdr:row>3</xdr:row>
      <xdr:rowOff>142875</xdr:rowOff>
    </xdr:to>
    <xdr:sp macro="" textlink="">
      <xdr:nvSpPr>
        <xdr:cNvPr id="2" name="BackToCase">
          <a:hlinkClick xmlns:r="http://schemas.openxmlformats.org/officeDocument/2006/relationships" r:id="rId1" tooltip="Back to the Case sheet"/>
          <a:extLst>
            <a:ext uri="{FF2B5EF4-FFF2-40B4-BE49-F238E27FC236}">
              <a16:creationId xmlns:a16="http://schemas.microsoft.com/office/drawing/2014/main" id="{8A65B377-0B25-57F5-7D4F-8FADCCBDA38C}"/>
            </a:ext>
          </a:extLst>
        </xdr:cNvPr>
        <xdr:cNvSpPr/>
      </xdr:nvSpPr>
      <xdr:spPr>
        <a:xfrm>
          <a:off x="3619500" y="323850"/>
          <a:ext cx="1905000" cy="304800"/>
        </a:xfrm>
        <a:prstGeom prst="roundRect">
          <a:avLst/>
        </a:prstGeom>
        <a:solidFill>
          <a:srgbClr val="B07219"/>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900" b="1">
              <a:solidFill>
                <a:srgbClr val="FFFFFF"/>
              </a:solidFill>
              <a:latin typeface="Verdana" panose="020B0604030504040204" pitchFamily="34" charset="0"/>
            </a:rPr>
            <a:t>⌂  Back to the Case sheet</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0</xdr:colOff>
      <xdr:row>2</xdr:row>
      <xdr:rowOff>0</xdr:rowOff>
    </xdr:from>
    <xdr:to>
      <xdr:col>7</xdr:col>
      <xdr:colOff>533400</xdr:colOff>
      <xdr:row>3</xdr:row>
      <xdr:rowOff>142875</xdr:rowOff>
    </xdr:to>
    <xdr:sp macro="" textlink="">
      <xdr:nvSpPr>
        <xdr:cNvPr id="2" name="BackToCase">
          <a:hlinkClick xmlns:r="http://schemas.openxmlformats.org/officeDocument/2006/relationships" r:id="rId1" tooltip="Back to the Case sheet"/>
          <a:extLst>
            <a:ext uri="{FF2B5EF4-FFF2-40B4-BE49-F238E27FC236}">
              <a16:creationId xmlns:a16="http://schemas.microsoft.com/office/drawing/2014/main" id="{3DC69068-3F94-A92E-7D65-65C54D890052}"/>
            </a:ext>
          </a:extLst>
        </xdr:cNvPr>
        <xdr:cNvSpPr/>
      </xdr:nvSpPr>
      <xdr:spPr>
        <a:xfrm>
          <a:off x="3619500" y="323850"/>
          <a:ext cx="1905000" cy="304800"/>
        </a:xfrm>
        <a:prstGeom prst="roundRect">
          <a:avLst/>
        </a:prstGeom>
        <a:solidFill>
          <a:srgbClr val="B07219"/>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900" b="1">
              <a:solidFill>
                <a:srgbClr val="FFFFFF"/>
              </a:solidFill>
              <a:latin typeface="Verdana" panose="020B0604030504040204" pitchFamily="34" charset="0"/>
            </a:rPr>
            <a:t>⌂  Back to the Case sheet</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04" row="11">
    <wetp:webextensionref xmlns:r="http://schemas.openxmlformats.org/officeDocument/2006/relationships" r:id="rId1"/>
  </wetp:taskpane>
  <wetp:taskpane dockstate="right" visibility="0" width="525" row="1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2C48E40-3AEE-49B9-942C-1F6046BC2B99}">
  <we:reference id="wa200003696" version="1.3.0.0" store="en-US" storeType="OMEX"/>
  <we:alternateReferences>
    <we:reference id="WA200003696" version="1.3.0.0" store="" storeType="OMEX"/>
  </we:alternateReferences>
  <we:properties>
    <we:property name="projectV0_1-56c6e055-265e-4713-816e-a646dbb708de" value="{&quot;kind&quot;:&quot;AFEJSONBlobNode&quot;,&quot;id&quot;:&quot;{DB75D044-D14C-46B9-B18F-FB21AE37D1B1}&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ebextensions/webextension2.xml><?xml version="1.0" encoding="utf-8"?>
<we:webextension xmlns:we="http://schemas.microsoft.com/office/webextensions/webextension/2010/11" id="{3331CFE6-4B1A-46AA-B887-DC7B6265EA7D}">
  <we:reference id="wa200001584" version="2.8.1.5" store="en-US" storeType="OMEX"/>
  <we:alternateReferences>
    <we:reference id="WA200001584" version="2.8.1.5"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hyperlink" Target="https://youtu.be/aqeKzC58m84"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7.xml.rels><?xml version="1.0" encoding="UTF-8" standalone="yes"?>
<Relationships xmlns="http://schemas.openxmlformats.org/package/2006/relationships"><Relationship Id="rId1" Type="http://schemas.openxmlformats.org/officeDocument/2006/relationships/hyperlink" Target="https://github.com/JaqK23/CompBot/issues/new/choo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1F2933"/>
  </sheetPr>
  <dimension ref="A1:J76"/>
  <sheetViews>
    <sheetView showGridLines="0" tabSelected="1"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 customWidth="1"/>
    <col min="2" max="2" width="27" style="1" customWidth="1"/>
    <col min="3" max="3" width="1.5" style="1" customWidth="1"/>
    <col min="4" max="4" width="2.5" customWidth="1"/>
    <col min="5" max="5" width="30" customWidth="1"/>
    <col min="6" max="6" width="12" customWidth="1"/>
    <col min="7" max="7" width="68" customWidth="1"/>
  </cols>
  <sheetData>
    <row r="1" spans="2:7" ht="12.75" x14ac:dyDescent="0.2"/>
    <row r="2" spans="2:7" ht="30" customHeight="1" x14ac:dyDescent="0.3">
      <c r="B2" s="2" t="s">
        <v>0</v>
      </c>
      <c r="E2" s="3" t="s">
        <v>1</v>
      </c>
    </row>
    <row r="3" spans="2:7" ht="15" customHeight="1" x14ac:dyDescent="0.2">
      <c r="B3" s="4" t="s">
        <v>2</v>
      </c>
      <c r="E3" s="147" t="s">
        <v>3</v>
      </c>
      <c r="F3" s="148"/>
      <c r="G3" s="148"/>
    </row>
    <row r="4" spans="2:7" ht="15" customHeight="1" x14ac:dyDescent="0.2">
      <c r="E4" s="148"/>
      <c r="F4" s="148"/>
      <c r="G4" s="148"/>
    </row>
    <row r="5" spans="2:7" ht="12.75" x14ac:dyDescent="0.2"/>
    <row r="6" spans="2:7" ht="15" customHeight="1" x14ac:dyDescent="0.2">
      <c r="B6" s="99" t="s">
        <v>4</v>
      </c>
      <c r="E6" s="151" t="s">
        <v>5</v>
      </c>
      <c r="F6" s="148"/>
      <c r="G6" s="148"/>
    </row>
    <row r="7" spans="2:7" ht="15" customHeight="1" x14ac:dyDescent="0.2">
      <c r="B7" s="100" t="s">
        <v>6</v>
      </c>
      <c r="E7" s="148"/>
      <c r="F7" s="148"/>
      <c r="G7" s="148"/>
    </row>
    <row r="8" spans="2:7" ht="12.75" x14ac:dyDescent="0.2">
      <c r="B8" s="101" t="s">
        <v>7</v>
      </c>
    </row>
    <row r="9" spans="2:7" ht="15" customHeight="1" x14ac:dyDescent="0.2">
      <c r="B9" s="101" t="s">
        <v>8</v>
      </c>
      <c r="E9" s="152" t="s">
        <v>1375</v>
      </c>
      <c r="F9" s="148"/>
      <c r="G9" s="148"/>
    </row>
    <row r="10" spans="2:7" ht="15" customHeight="1" x14ac:dyDescent="0.2">
      <c r="B10" s="99" t="s">
        <v>10</v>
      </c>
      <c r="E10" s="150" t="s">
        <v>9</v>
      </c>
      <c r="F10" s="148"/>
      <c r="G10" s="148"/>
    </row>
    <row r="11" spans="2:7" ht="15" customHeight="1" x14ac:dyDescent="0.2">
      <c r="B11" s="99" t="s">
        <v>11</v>
      </c>
      <c r="E11" s="150" t="s">
        <v>3449</v>
      </c>
      <c r="F11" s="148"/>
      <c r="G11" s="148"/>
    </row>
    <row r="12" spans="2:7" ht="15" customHeight="1" x14ac:dyDescent="0.2">
      <c r="B12" s="99" t="s">
        <v>13</v>
      </c>
      <c r="E12" s="150" t="s">
        <v>12</v>
      </c>
      <c r="F12" s="148"/>
      <c r="G12" s="148"/>
    </row>
    <row r="13" spans="2:7" ht="12.75" x14ac:dyDescent="0.2">
      <c r="B13" s="99" t="s">
        <v>3407</v>
      </c>
    </row>
    <row r="14" spans="2:7" ht="15" customHeight="1" x14ac:dyDescent="0.2">
      <c r="B14" s="99" t="s">
        <v>14</v>
      </c>
      <c r="E14" s="151" t="s">
        <v>15</v>
      </c>
      <c r="F14" s="148"/>
      <c r="G14" s="148"/>
    </row>
    <row r="15" spans="2:7" ht="15" customHeight="1" x14ac:dyDescent="0.2">
      <c r="B15" s="98"/>
      <c r="E15" s="148"/>
      <c r="F15" s="148"/>
      <c r="G15" s="148"/>
    </row>
    <row r="16" spans="2:7" ht="12.75" x14ac:dyDescent="0.2">
      <c r="B16" s="98"/>
    </row>
    <row r="17" spans="2:7" ht="15" customHeight="1" x14ac:dyDescent="0.2">
      <c r="B17" s="98"/>
      <c r="E17" s="152" t="s">
        <v>1376</v>
      </c>
      <c r="F17" s="148"/>
      <c r="G17" s="148"/>
    </row>
    <row r="18" spans="2:7" ht="15" customHeight="1" x14ac:dyDescent="0.2">
      <c r="B18" s="98"/>
      <c r="E18" s="148"/>
      <c r="F18" s="148"/>
      <c r="G18" s="148"/>
    </row>
    <row r="19" spans="2:7" ht="15" customHeight="1" x14ac:dyDescent="0.2">
      <c r="B19" s="98"/>
      <c r="E19" s="148"/>
      <c r="F19" s="148"/>
      <c r="G19" s="148"/>
    </row>
    <row r="20" spans="2:7" ht="15" customHeight="1" x14ac:dyDescent="0.2">
      <c r="B20" s="98"/>
      <c r="E20" s="148"/>
      <c r="F20" s="148"/>
      <c r="G20" s="148"/>
    </row>
    <row r="21" spans="2:7" ht="12.75" x14ac:dyDescent="0.2">
      <c r="B21" s="98"/>
    </row>
    <row r="22" spans="2:7" ht="15.75" customHeight="1" x14ac:dyDescent="0.2">
      <c r="B22" s="98"/>
      <c r="E22" s="159" t="s">
        <v>16</v>
      </c>
      <c r="F22" s="159"/>
      <c r="G22" s="159"/>
    </row>
    <row r="23" spans="2:7" ht="12.75" x14ac:dyDescent="0.2">
      <c r="B23" s="98"/>
    </row>
    <row r="24" spans="2:7" ht="14.25" x14ac:dyDescent="0.2">
      <c r="B24" s="98"/>
      <c r="E24" s="8" t="s">
        <v>17</v>
      </c>
    </row>
    <row r="25" spans="2:7" ht="25.5" customHeight="1" x14ac:dyDescent="0.2">
      <c r="B25" s="98"/>
      <c r="E25" s="152" t="s">
        <v>1377</v>
      </c>
      <c r="F25" s="152"/>
      <c r="G25" s="152"/>
    </row>
    <row r="26" spans="2:7" ht="12.75" x14ac:dyDescent="0.2">
      <c r="B26" s="98"/>
    </row>
    <row r="27" spans="2:7" ht="14.25" x14ac:dyDescent="0.2">
      <c r="B27" s="98"/>
      <c r="E27" s="8" t="s">
        <v>18</v>
      </c>
    </row>
    <row r="28" spans="2:7" ht="15" customHeight="1" x14ac:dyDescent="0.2">
      <c r="B28" s="98"/>
      <c r="E28" s="152" t="s">
        <v>19</v>
      </c>
      <c r="F28" s="149"/>
      <c r="G28" s="149"/>
    </row>
    <row r="29" spans="2:7" ht="12.75" x14ac:dyDescent="0.2">
      <c r="B29" s="98"/>
    </row>
    <row r="30" spans="2:7" ht="14.25" x14ac:dyDescent="0.2">
      <c r="B30" s="98"/>
      <c r="E30" s="8" t="s">
        <v>20</v>
      </c>
    </row>
    <row r="31" spans="2:7" ht="15" customHeight="1" x14ac:dyDescent="0.2">
      <c r="B31" s="98"/>
      <c r="E31" s="152" t="s">
        <v>21</v>
      </c>
      <c r="F31" s="149"/>
      <c r="G31" s="149"/>
    </row>
    <row r="32" spans="2:7" ht="12.75" x14ac:dyDescent="0.2">
      <c r="B32" s="98"/>
    </row>
    <row r="33" spans="2:10" ht="14.25" x14ac:dyDescent="0.2">
      <c r="B33" s="98"/>
      <c r="E33" s="8" t="s">
        <v>1730</v>
      </c>
    </row>
    <row r="34" spans="2:10" ht="15" customHeight="1" x14ac:dyDescent="0.2">
      <c r="B34" s="98"/>
      <c r="E34" s="160" t="s">
        <v>1714</v>
      </c>
      <c r="F34" s="161"/>
      <c r="G34" s="161"/>
      <c r="H34" s="161"/>
      <c r="I34" s="161"/>
      <c r="J34" s="162"/>
    </row>
    <row r="35" spans="2:10" ht="15" customHeight="1" x14ac:dyDescent="0.2">
      <c r="B35" s="98"/>
      <c r="E35" s="163" t="s">
        <v>1715</v>
      </c>
      <c r="F35" s="164"/>
      <c r="G35" s="164"/>
      <c r="H35" s="164"/>
      <c r="I35" s="164"/>
      <c r="J35" s="165"/>
    </row>
    <row r="36" spans="2:10" ht="15" customHeight="1" x14ac:dyDescent="0.2">
      <c r="B36" s="98"/>
      <c r="E36" s="153" t="s">
        <v>1712</v>
      </c>
      <c r="F36" s="154"/>
      <c r="G36" s="154"/>
      <c r="H36" s="154"/>
      <c r="I36" s="154"/>
      <c r="J36" s="155"/>
    </row>
    <row r="37" spans="2:10" ht="12.75" x14ac:dyDescent="0.2">
      <c r="B37" s="98"/>
    </row>
    <row r="38" spans="2:10" ht="14.25" x14ac:dyDescent="0.2">
      <c r="B38" s="98"/>
      <c r="E38" s="8" t="s">
        <v>22</v>
      </c>
    </row>
    <row r="39" spans="2:10" ht="25.5" customHeight="1" x14ac:dyDescent="0.2">
      <c r="B39" s="98"/>
      <c r="E39" s="152" t="s">
        <v>23</v>
      </c>
      <c r="F39" s="152"/>
      <c r="G39" s="152"/>
    </row>
    <row r="40" spans="2:10" ht="12.75" x14ac:dyDescent="0.2">
      <c r="B40" s="98"/>
    </row>
    <row r="41" spans="2:10" ht="14.25" x14ac:dyDescent="0.2">
      <c r="B41" s="98"/>
      <c r="E41" s="8" t="s">
        <v>1673</v>
      </c>
    </row>
    <row r="42" spans="2:10" ht="15" customHeight="1" x14ac:dyDescent="0.2">
      <c r="B42" s="98"/>
      <c r="E42" s="156" t="s">
        <v>1713</v>
      </c>
      <c r="F42" s="157"/>
      <c r="G42" s="157"/>
      <c r="H42" s="157"/>
      <c r="I42" s="157"/>
      <c r="J42" s="158"/>
    </row>
    <row r="43" spans="2:10" ht="12.75" x14ac:dyDescent="0.2">
      <c r="B43" s="98"/>
    </row>
    <row r="44" spans="2:10" ht="12.75" x14ac:dyDescent="0.2">
      <c r="B44" s="98"/>
    </row>
    <row r="45" spans="2:10" ht="15.75" customHeight="1" x14ac:dyDescent="0.2">
      <c r="B45" s="98"/>
      <c r="E45" s="159" t="s">
        <v>24</v>
      </c>
      <c r="F45" s="159"/>
      <c r="G45" s="159"/>
    </row>
    <row r="46" spans="2:10" ht="12.75" x14ac:dyDescent="0.2">
      <c r="B46" s="98"/>
    </row>
    <row r="47" spans="2:10" ht="12.75" x14ac:dyDescent="0.2">
      <c r="E47" s="9" t="s">
        <v>25</v>
      </c>
      <c r="F47" s="9" t="s">
        <v>26</v>
      </c>
      <c r="G47" s="9" t="s">
        <v>27</v>
      </c>
    </row>
    <row r="48" spans="2:10" ht="15" customHeight="1" x14ac:dyDescent="0.2">
      <c r="E48" s="134" t="s">
        <v>6</v>
      </c>
      <c r="F48" s="133" t="s">
        <v>28</v>
      </c>
      <c r="G48" s="133" t="s">
        <v>29</v>
      </c>
    </row>
    <row r="49" spans="5:7" ht="25.5" customHeight="1" x14ac:dyDescent="0.2">
      <c r="E49" s="59" t="s">
        <v>7</v>
      </c>
      <c r="F49" s="60" t="s">
        <v>28</v>
      </c>
      <c r="G49" s="54" t="s">
        <v>30</v>
      </c>
    </row>
    <row r="50" spans="5:7" ht="15" customHeight="1" x14ac:dyDescent="0.2">
      <c r="E50" s="135" t="s">
        <v>8</v>
      </c>
      <c r="F50" s="55" t="s">
        <v>28</v>
      </c>
      <c r="G50" s="55" t="s">
        <v>31</v>
      </c>
    </row>
    <row r="51" spans="5:7" ht="15" customHeight="1" x14ac:dyDescent="0.2">
      <c r="E51" s="53" t="s">
        <v>32</v>
      </c>
      <c r="F51" s="54" t="s">
        <v>33</v>
      </c>
      <c r="G51" s="54" t="s">
        <v>34</v>
      </c>
    </row>
    <row r="52" spans="5:7" ht="15" customHeight="1" x14ac:dyDescent="0.2">
      <c r="E52" s="10" t="s">
        <v>35</v>
      </c>
      <c r="F52" s="11" t="s">
        <v>33</v>
      </c>
      <c r="G52" s="11" t="s">
        <v>36</v>
      </c>
    </row>
    <row r="53" spans="5:7" ht="15" customHeight="1" x14ac:dyDescent="0.2">
      <c r="E53" s="53" t="s">
        <v>37</v>
      </c>
      <c r="F53" s="54" t="s">
        <v>33</v>
      </c>
      <c r="G53" s="54" t="s">
        <v>38</v>
      </c>
    </row>
    <row r="54" spans="5:7" ht="15" customHeight="1" x14ac:dyDescent="0.2">
      <c r="E54" s="10" t="s">
        <v>39</v>
      </c>
      <c r="F54" s="11" t="s">
        <v>33</v>
      </c>
      <c r="G54" s="11" t="s">
        <v>1378</v>
      </c>
    </row>
    <row r="55" spans="5:7" ht="15" customHeight="1" x14ac:dyDescent="0.2">
      <c r="E55" s="53" t="s">
        <v>40</v>
      </c>
      <c r="F55" s="54" t="s">
        <v>33</v>
      </c>
      <c r="G55" s="54" t="s">
        <v>41</v>
      </c>
    </row>
    <row r="56" spans="5:7" ht="15" customHeight="1" x14ac:dyDescent="0.2">
      <c r="E56" s="10" t="s">
        <v>42</v>
      </c>
      <c r="F56" s="11" t="s">
        <v>33</v>
      </c>
      <c r="G56" s="11" t="s">
        <v>43</v>
      </c>
    </row>
    <row r="57" spans="5:7" ht="15" customHeight="1" x14ac:dyDescent="0.2">
      <c r="E57" s="53" t="s">
        <v>44</v>
      </c>
      <c r="F57" s="54" t="s">
        <v>33</v>
      </c>
      <c r="G57" s="54" t="s">
        <v>45</v>
      </c>
    </row>
    <row r="58" spans="5:7" ht="15" customHeight="1" x14ac:dyDescent="0.2">
      <c r="E58" s="10" t="s">
        <v>46</v>
      </c>
      <c r="F58" s="11" t="s">
        <v>33</v>
      </c>
      <c r="G58" s="11" t="s">
        <v>47</v>
      </c>
    </row>
    <row r="59" spans="5:7" ht="15" customHeight="1" x14ac:dyDescent="0.2">
      <c r="E59" s="53" t="s">
        <v>48</v>
      </c>
      <c r="F59" s="54" t="s">
        <v>49</v>
      </c>
      <c r="G59" s="54" t="s">
        <v>1379</v>
      </c>
    </row>
    <row r="60" spans="5:7" ht="15" customHeight="1" x14ac:dyDescent="0.2">
      <c r="E60" s="10" t="s">
        <v>50</v>
      </c>
      <c r="F60" s="11" t="s">
        <v>49</v>
      </c>
      <c r="G60" s="11" t="s">
        <v>51</v>
      </c>
    </row>
    <row r="61" spans="5:7" ht="15" customHeight="1" x14ac:dyDescent="0.2">
      <c r="E61" s="53" t="s">
        <v>52</v>
      </c>
      <c r="F61" s="54" t="s">
        <v>49</v>
      </c>
      <c r="G61" s="54" t="s">
        <v>53</v>
      </c>
    </row>
    <row r="62" spans="5:7" ht="15" customHeight="1" x14ac:dyDescent="0.2">
      <c r="E62" s="10" t="s">
        <v>54</v>
      </c>
      <c r="F62" s="11" t="s">
        <v>55</v>
      </c>
      <c r="G62" s="11" t="s">
        <v>3189</v>
      </c>
    </row>
    <row r="63" spans="5:7" ht="15" customHeight="1" x14ac:dyDescent="0.2">
      <c r="E63" s="53" t="s">
        <v>56</v>
      </c>
      <c r="F63" s="54" t="s">
        <v>55</v>
      </c>
      <c r="G63" s="54" t="s">
        <v>57</v>
      </c>
    </row>
    <row r="64" spans="5:7" ht="15" customHeight="1" x14ac:dyDescent="0.2">
      <c r="E64" s="10" t="s">
        <v>58</v>
      </c>
      <c r="F64" s="11" t="s">
        <v>55</v>
      </c>
      <c r="G64" s="11" t="s">
        <v>59</v>
      </c>
    </row>
    <row r="65" spans="5:7" ht="15" customHeight="1" x14ac:dyDescent="0.2">
      <c r="E65" s="53" t="s">
        <v>3181</v>
      </c>
      <c r="F65" s="54" t="s">
        <v>55</v>
      </c>
      <c r="G65" s="54" t="s">
        <v>61</v>
      </c>
    </row>
    <row r="66" spans="5:7" ht="15" customHeight="1" x14ac:dyDescent="0.2">
      <c r="E66" s="10" t="s">
        <v>3182</v>
      </c>
      <c r="F66" s="11" t="s">
        <v>55</v>
      </c>
      <c r="G66" s="11" t="s">
        <v>3186</v>
      </c>
    </row>
    <row r="67" spans="5:7" ht="15" customHeight="1" x14ac:dyDescent="0.2">
      <c r="E67" s="53" t="s">
        <v>3179</v>
      </c>
      <c r="F67" s="54" t="s">
        <v>55</v>
      </c>
      <c r="G67" s="54" t="s">
        <v>3187</v>
      </c>
    </row>
    <row r="68" spans="5:7" ht="15" customHeight="1" x14ac:dyDescent="0.2">
      <c r="E68" s="10" t="s">
        <v>3180</v>
      </c>
      <c r="F68" s="11" t="s">
        <v>55</v>
      </c>
      <c r="G68" s="11" t="s">
        <v>60</v>
      </c>
    </row>
    <row r="69" spans="5:7" ht="15" customHeight="1" x14ac:dyDescent="0.2">
      <c r="E69" s="53" t="s">
        <v>3355</v>
      </c>
      <c r="F69" s="54" t="s">
        <v>3408</v>
      </c>
      <c r="G69" s="54" t="s">
        <v>3409</v>
      </c>
    </row>
    <row r="70" spans="5:7" ht="15" customHeight="1" x14ac:dyDescent="0.2">
      <c r="E70" s="10" t="s">
        <v>63</v>
      </c>
      <c r="F70" s="11" t="s">
        <v>62</v>
      </c>
      <c r="G70" s="11" t="s">
        <v>3410</v>
      </c>
    </row>
    <row r="71" spans="5:7" ht="15" customHeight="1" x14ac:dyDescent="0.2">
      <c r="E71" s="53" t="s">
        <v>64</v>
      </c>
      <c r="F71" s="54" t="s">
        <v>62</v>
      </c>
      <c r="G71" s="54" t="s">
        <v>3435</v>
      </c>
    </row>
    <row r="72" spans="5:7" ht="15" customHeight="1" x14ac:dyDescent="0.2">
      <c r="E72" s="10" t="s">
        <v>65</v>
      </c>
      <c r="F72" s="11" t="s">
        <v>62</v>
      </c>
      <c r="G72" s="11" t="s">
        <v>1512</v>
      </c>
    </row>
    <row r="73" spans="5:7" ht="12.75" x14ac:dyDescent="0.2"/>
    <row r="74" spans="5:7" ht="12.75" x14ac:dyDescent="0.2"/>
    <row r="75" spans="5:7" ht="15" customHeight="1" x14ac:dyDescent="0.2">
      <c r="E75" s="147" t="s">
        <v>3489</v>
      </c>
      <c r="F75" s="149"/>
      <c r="G75" s="149"/>
    </row>
    <row r="76" spans="5:7" ht="12.75" x14ac:dyDescent="0.2"/>
  </sheetData>
  <mergeCells count="19">
    <mergeCell ref="E34:J34"/>
    <mergeCell ref="E35:J35"/>
    <mergeCell ref="E22:G22"/>
    <mergeCell ref="E3:G4"/>
    <mergeCell ref="E75:G75"/>
    <mergeCell ref="E11:G11"/>
    <mergeCell ref="E14:G15"/>
    <mergeCell ref="E17:G20"/>
    <mergeCell ref="E12:G12"/>
    <mergeCell ref="E6:G7"/>
    <mergeCell ref="E10:G10"/>
    <mergeCell ref="E36:J36"/>
    <mergeCell ref="E42:J42"/>
    <mergeCell ref="E45:G45"/>
    <mergeCell ref="E39:G39"/>
    <mergeCell ref="E25:G25"/>
    <mergeCell ref="E28:G28"/>
    <mergeCell ref="E31:G31"/>
    <mergeCell ref="E9:G9"/>
  </mergeCells>
  <hyperlinks>
    <hyperlink ref="B2" location="'Start here'!E6" tooltip="back to Start here" display="⌂  CompBot Tutorial" xr:uid="{00000000-0004-0000-0000-000000000000}"/>
    <hyperlink ref="B6" location="'Start here'!E6" display="▾  START" xr:uid="{3EB1C779-2C1C-47A5-A01C-6BD3FD7C0EF4}"/>
    <hyperlink ref="B8" location="'Get set up'!E6" display="Get set up" xr:uid="{D6651DE6-A3B1-4B5D-B6C8-9FC4294EEBE7}"/>
    <hyperlink ref="B9" location="'Find it'!E6" display="Find it" xr:uid="{666B9D3C-93C0-48D2-8B49-1E5BF3EAB27A}"/>
    <hyperlink ref="B10" location="'C1 Your machine'!E6" display="▸  COMMANDS" xr:uid="{A65B28D6-F968-4E19-8E3F-B03FD37F222C}"/>
    <hyperlink ref="B11" location="'Demo maps'!E6" display="▸  DEMO SHEETS" xr:uid="{FB37E7E3-F223-493D-9169-4DA318F14F11}"/>
    <hyperlink ref="B12" location="'Level 1 Basics'!E6" display="▸  LAMBDAS" xr:uid="{61D70B39-E7DE-4690-B87D-96D57F49C299}"/>
    <hyperlink ref="B14" location="'Command cheat sheet'!E6" display="▸  REFERENCE" xr:uid="{AE411751-9D13-4C91-9954-F62CDFA028AB}"/>
    <hyperlink ref="B13" location="'I1 The Alves Method'!E6" display="▸  INSIDER" xr:uid="{52344203-63F8-4A24-961E-43D37F24549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1F2933"/>
  </sheetPr>
  <dimension ref="A1:G63"/>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 customWidth="1"/>
    <col min="2" max="2" width="27" style="1" customWidth="1"/>
    <col min="3" max="3" width="1.5" style="1" customWidth="1"/>
    <col min="4" max="4" width="2.5" customWidth="1"/>
    <col min="5" max="5" width="62" customWidth="1"/>
    <col min="6" max="6" width="24" customWidth="1"/>
    <col min="7" max="7" width="18.625" customWidth="1"/>
  </cols>
  <sheetData>
    <row r="1" spans="2:7" ht="12.75" x14ac:dyDescent="0.2"/>
    <row r="2" spans="2:7" ht="30" customHeight="1" x14ac:dyDescent="0.3">
      <c r="B2" s="14" t="s">
        <v>0</v>
      </c>
      <c r="E2" s="3" t="s">
        <v>7</v>
      </c>
    </row>
    <row r="3" spans="2:7" ht="15" customHeight="1" x14ac:dyDescent="0.2">
      <c r="B3" s="4" t="s">
        <v>2</v>
      </c>
      <c r="E3" s="147" t="s">
        <v>66</v>
      </c>
      <c r="F3" s="148"/>
      <c r="G3" s="148"/>
    </row>
    <row r="4" spans="2:7" ht="15" customHeight="1" x14ac:dyDescent="0.2">
      <c r="E4" s="148"/>
      <c r="F4" s="148"/>
      <c r="G4" s="148"/>
    </row>
    <row r="5" spans="2:7" ht="12.75" x14ac:dyDescent="0.2"/>
    <row r="6" spans="2:7" ht="15" customHeight="1" x14ac:dyDescent="0.2">
      <c r="B6" s="99" t="s">
        <v>4</v>
      </c>
      <c r="E6" s="151" t="s">
        <v>67</v>
      </c>
      <c r="F6" s="148"/>
      <c r="G6" s="148"/>
    </row>
    <row r="7" spans="2:7" ht="15" customHeight="1" x14ac:dyDescent="0.2">
      <c r="B7" s="101" t="s">
        <v>6</v>
      </c>
      <c r="E7" s="148"/>
      <c r="F7" s="148"/>
      <c r="G7" s="148"/>
    </row>
    <row r="8" spans="2:7" ht="12.75" x14ac:dyDescent="0.2">
      <c r="B8" s="100" t="s">
        <v>7</v>
      </c>
    </row>
    <row r="9" spans="2:7" ht="15" customHeight="1" x14ac:dyDescent="0.2">
      <c r="B9" s="101" t="s">
        <v>8</v>
      </c>
      <c r="E9" s="152" t="s">
        <v>68</v>
      </c>
      <c r="F9" s="148"/>
      <c r="G9" s="148"/>
    </row>
    <row r="10" spans="2:7" ht="15" customHeight="1" x14ac:dyDescent="0.2">
      <c r="B10" s="99" t="s">
        <v>10</v>
      </c>
      <c r="E10" s="148"/>
      <c r="F10" s="148"/>
      <c r="G10" s="148"/>
    </row>
    <row r="11" spans="2:7" ht="15" customHeight="1" x14ac:dyDescent="0.2">
      <c r="B11" s="99" t="s">
        <v>11</v>
      </c>
      <c r="E11" s="148"/>
      <c r="F11" s="148"/>
      <c r="G11" s="148"/>
    </row>
    <row r="12" spans="2:7" ht="12.75" x14ac:dyDescent="0.2">
      <c r="B12" s="99" t="s">
        <v>13</v>
      </c>
    </row>
    <row r="13" spans="2:7" ht="15" customHeight="1" x14ac:dyDescent="0.2">
      <c r="B13" s="99" t="s">
        <v>3407</v>
      </c>
      <c r="E13" s="151" t="s">
        <v>1380</v>
      </c>
      <c r="F13" s="148"/>
      <c r="G13" s="148"/>
    </row>
    <row r="14" spans="2:7" ht="15" customHeight="1" x14ac:dyDescent="0.2">
      <c r="B14" s="99" t="s">
        <v>14</v>
      </c>
      <c r="E14" s="148"/>
      <c r="F14" s="148"/>
      <c r="G14" s="148"/>
    </row>
    <row r="15" spans="2:7" ht="12.75" x14ac:dyDescent="0.2">
      <c r="B15" s="98"/>
    </row>
    <row r="16" spans="2:7" ht="15" customHeight="1" x14ac:dyDescent="0.2">
      <c r="B16" s="98"/>
      <c r="E16" s="152" t="s">
        <v>69</v>
      </c>
      <c r="F16" s="148"/>
      <c r="G16" s="148"/>
    </row>
    <row r="17" spans="2:7" ht="15" customHeight="1" x14ac:dyDescent="0.2">
      <c r="B17" s="98"/>
      <c r="E17" s="148"/>
      <c r="F17" s="148"/>
      <c r="G17" s="148"/>
    </row>
    <row r="18" spans="2:7" ht="15" customHeight="1" x14ac:dyDescent="0.2">
      <c r="B18" s="98"/>
      <c r="E18" s="148"/>
      <c r="F18" s="148"/>
      <c r="G18" s="148"/>
    </row>
    <row r="19" spans="2:7" ht="15" customHeight="1" x14ac:dyDescent="0.2">
      <c r="B19" s="98"/>
      <c r="E19" s="148"/>
      <c r="F19" s="148"/>
      <c r="G19" s="148"/>
    </row>
    <row r="20" spans="2:7" ht="12.75" x14ac:dyDescent="0.2">
      <c r="B20" s="98"/>
    </row>
    <row r="21" spans="2:7" ht="15" customHeight="1" x14ac:dyDescent="0.2">
      <c r="B21" s="98"/>
      <c r="E21" s="147" t="s">
        <v>70</v>
      </c>
      <c r="F21" s="149"/>
      <c r="G21" s="149"/>
    </row>
    <row r="22" spans="2:7" ht="12.75" x14ac:dyDescent="0.2">
      <c r="B22" s="98"/>
      <c r="E22" s="9" t="s">
        <v>71</v>
      </c>
      <c r="F22" s="9" t="s">
        <v>72</v>
      </c>
    </row>
    <row r="23" spans="2:7" x14ac:dyDescent="0.25">
      <c r="B23" s="98"/>
      <c r="E23" s="15" t="s">
        <v>73</v>
      </c>
      <c r="F23" s="16" t="s">
        <v>74</v>
      </c>
    </row>
    <row r="24" spans="2:7" x14ac:dyDescent="0.25">
      <c r="B24" s="98"/>
      <c r="E24" s="17" t="s">
        <v>75</v>
      </c>
      <c r="F24" s="18" t="s">
        <v>76</v>
      </c>
    </row>
    <row r="25" spans="2:7" x14ac:dyDescent="0.25">
      <c r="B25" s="98"/>
      <c r="E25" s="15" t="s">
        <v>77</v>
      </c>
      <c r="F25" s="16" t="s">
        <v>78</v>
      </c>
    </row>
    <row r="26" spans="2:7" x14ac:dyDescent="0.25">
      <c r="B26" s="98"/>
      <c r="E26" s="17" t="s">
        <v>79</v>
      </c>
      <c r="F26" s="18" t="s">
        <v>80</v>
      </c>
    </row>
    <row r="27" spans="2:7" x14ac:dyDescent="0.25">
      <c r="B27" s="98"/>
      <c r="E27" s="15" t="s">
        <v>81</v>
      </c>
      <c r="F27" s="16" t="s">
        <v>82</v>
      </c>
    </row>
    <row r="28" spans="2:7" ht="12.75" x14ac:dyDescent="0.2">
      <c r="B28" s="98"/>
    </row>
    <row r="29" spans="2:7" ht="15.75" customHeight="1" x14ac:dyDescent="0.2">
      <c r="B29" s="98"/>
      <c r="E29" s="159" t="s">
        <v>83</v>
      </c>
      <c r="F29" s="159"/>
      <c r="G29" s="159"/>
    </row>
    <row r="30" spans="2:7" ht="12.75" x14ac:dyDescent="0.2">
      <c r="B30" s="98"/>
    </row>
    <row r="31" spans="2:7" ht="25.5" customHeight="1" x14ac:dyDescent="0.2">
      <c r="B31" s="98"/>
      <c r="E31" s="152" t="s">
        <v>84</v>
      </c>
      <c r="F31" s="152"/>
      <c r="G31" s="152"/>
    </row>
    <row r="32" spans="2:7" ht="15" customHeight="1" x14ac:dyDescent="0.2">
      <c r="B32" s="98"/>
      <c r="E32" s="150" t="s">
        <v>85</v>
      </c>
      <c r="F32" s="149"/>
      <c r="G32" s="149"/>
    </row>
    <row r="33" spans="2:7" ht="15" customHeight="1" x14ac:dyDescent="0.2">
      <c r="B33" s="98"/>
      <c r="E33" s="150" t="s">
        <v>86</v>
      </c>
      <c r="F33" s="149"/>
      <c r="G33" s="149"/>
    </row>
    <row r="34" spans="2:7" ht="15" customHeight="1" x14ac:dyDescent="0.2">
      <c r="B34" s="98"/>
      <c r="E34" s="150" t="s">
        <v>87</v>
      </c>
      <c r="F34" s="149"/>
      <c r="G34" s="149"/>
    </row>
    <row r="35" spans="2:7" ht="15" customHeight="1" x14ac:dyDescent="0.2">
      <c r="B35" s="98"/>
      <c r="E35" s="150" t="s">
        <v>88</v>
      </c>
      <c r="F35" s="149"/>
      <c r="G35" s="149"/>
    </row>
    <row r="36" spans="2:7" ht="15" customHeight="1" x14ac:dyDescent="0.2">
      <c r="B36" s="98"/>
      <c r="E36" s="166" t="s">
        <v>89</v>
      </c>
      <c r="F36" s="149"/>
      <c r="G36" s="149"/>
    </row>
    <row r="37" spans="2:7" ht="12.75" x14ac:dyDescent="0.2">
      <c r="B37" s="98"/>
    </row>
    <row r="38" spans="2:7" ht="15.75" customHeight="1" x14ac:dyDescent="0.2">
      <c r="B38" s="98"/>
      <c r="E38" s="159" t="s">
        <v>1543</v>
      </c>
      <c r="F38" s="159"/>
      <c r="G38" s="159"/>
    </row>
    <row r="39" spans="2:7" ht="12.75" x14ac:dyDescent="0.2">
      <c r="B39" s="98"/>
    </row>
    <row r="40" spans="2:7" ht="165.75" customHeight="1" x14ac:dyDescent="0.2">
      <c r="B40" s="98"/>
      <c r="E40" s="167" t="s">
        <v>1672</v>
      </c>
      <c r="F40" s="167"/>
      <c r="G40" s="167"/>
    </row>
    <row r="41" spans="2:7" ht="12.75" x14ac:dyDescent="0.2">
      <c r="B41" s="98"/>
    </row>
    <row r="42" spans="2:7" ht="15.75" customHeight="1" x14ac:dyDescent="0.2">
      <c r="B42" s="98"/>
      <c r="E42" s="159" t="s">
        <v>90</v>
      </c>
      <c r="F42" s="159"/>
      <c r="G42" s="159"/>
    </row>
    <row r="43" spans="2:7" ht="12.75" x14ac:dyDescent="0.2">
      <c r="B43" s="98"/>
    </row>
    <row r="44" spans="2:7" ht="51" customHeight="1" x14ac:dyDescent="0.2">
      <c r="B44" s="98"/>
      <c r="E44" s="152" t="s">
        <v>1381</v>
      </c>
      <c r="F44" s="152"/>
      <c r="G44" s="152"/>
    </row>
    <row r="45" spans="2:7" ht="12.75" x14ac:dyDescent="0.2">
      <c r="B45" s="98"/>
    </row>
    <row r="46" spans="2:7" ht="15.75" customHeight="1" x14ac:dyDescent="0.2">
      <c r="B46" s="98"/>
      <c r="E46" s="159" t="s">
        <v>91</v>
      </c>
      <c r="F46" s="159"/>
      <c r="G46" s="159"/>
    </row>
    <row r="47" spans="2:7" ht="12.75" x14ac:dyDescent="0.2"/>
    <row r="48" spans="2:7" ht="15" customHeight="1" x14ac:dyDescent="0.2">
      <c r="E48" s="147" t="s">
        <v>1566</v>
      </c>
      <c r="F48" s="147"/>
      <c r="G48" s="147"/>
    </row>
    <row r="49" spans="5:7" ht="12.75" x14ac:dyDescent="0.2">
      <c r="E49" s="9" t="s">
        <v>92</v>
      </c>
      <c r="F49" s="9" t="s">
        <v>71</v>
      </c>
      <c r="G49" s="9" t="s">
        <v>1544</v>
      </c>
    </row>
    <row r="50" spans="5:7" ht="15" customHeight="1" x14ac:dyDescent="0.2">
      <c r="E50" s="10" t="s">
        <v>93</v>
      </c>
      <c r="F50" s="11" t="s">
        <v>79</v>
      </c>
      <c r="G50" s="11" t="s">
        <v>94</v>
      </c>
    </row>
    <row r="51" spans="5:7" ht="15" customHeight="1" x14ac:dyDescent="0.2">
      <c r="E51" s="12" t="s">
        <v>95</v>
      </c>
      <c r="F51" s="13" t="s">
        <v>79</v>
      </c>
      <c r="G51" s="13" t="s">
        <v>96</v>
      </c>
    </row>
    <row r="52" spans="5:7" ht="15" customHeight="1" x14ac:dyDescent="0.2">
      <c r="E52" s="10" t="s">
        <v>97</v>
      </c>
      <c r="F52" s="11" t="s">
        <v>79</v>
      </c>
      <c r="G52" s="11" t="s">
        <v>98</v>
      </c>
    </row>
    <row r="53" spans="5:7" ht="15" customHeight="1" x14ac:dyDescent="0.2">
      <c r="E53" s="12" t="s">
        <v>99</v>
      </c>
      <c r="F53" s="13" t="s">
        <v>79</v>
      </c>
      <c r="G53" s="13" t="s">
        <v>100</v>
      </c>
    </row>
    <row r="54" spans="5:7" ht="15" customHeight="1" x14ac:dyDescent="0.2">
      <c r="E54" s="10" t="s">
        <v>101</v>
      </c>
      <c r="F54" s="11" t="s">
        <v>79</v>
      </c>
      <c r="G54" s="11" t="s">
        <v>100</v>
      </c>
    </row>
    <row r="55" spans="5:7" ht="15" customHeight="1" x14ac:dyDescent="0.2">
      <c r="E55" s="12" t="s">
        <v>102</v>
      </c>
      <c r="F55" s="13" t="s">
        <v>73</v>
      </c>
      <c r="G55" s="13" t="s">
        <v>100</v>
      </c>
    </row>
    <row r="56" spans="5:7" ht="15" customHeight="1" x14ac:dyDescent="0.2">
      <c r="E56" s="10" t="s">
        <v>103</v>
      </c>
      <c r="F56" s="11" t="s">
        <v>79</v>
      </c>
      <c r="G56" s="11" t="s">
        <v>104</v>
      </c>
    </row>
    <row r="57" spans="5:7" ht="15" customHeight="1" x14ac:dyDescent="0.2">
      <c r="E57" s="12" t="s">
        <v>105</v>
      </c>
      <c r="F57" s="13" t="s">
        <v>77</v>
      </c>
      <c r="G57" s="13" t="s">
        <v>106</v>
      </c>
    </row>
    <row r="58" spans="5:7" ht="15" customHeight="1" x14ac:dyDescent="0.2">
      <c r="E58" s="10" t="s">
        <v>107</v>
      </c>
      <c r="F58" s="11" t="s">
        <v>79</v>
      </c>
      <c r="G58" s="11" t="s">
        <v>108</v>
      </c>
    </row>
    <row r="59" spans="5:7" ht="15" customHeight="1" x14ac:dyDescent="0.2">
      <c r="E59" s="12" t="s">
        <v>109</v>
      </c>
      <c r="F59" s="13" t="s">
        <v>77</v>
      </c>
      <c r="G59" s="13" t="s">
        <v>110</v>
      </c>
    </row>
    <row r="60" spans="5:7" ht="12.75" x14ac:dyDescent="0.2"/>
    <row r="61" spans="5:7" ht="12.75" x14ac:dyDescent="0.2"/>
    <row r="62" spans="5:7" ht="38.25" customHeight="1" x14ac:dyDescent="0.2">
      <c r="E62" s="152" t="s">
        <v>1567</v>
      </c>
      <c r="F62" s="152"/>
      <c r="G62" s="152"/>
    </row>
    <row r="63" spans="5:7" ht="12.75" x14ac:dyDescent="0.2"/>
  </sheetData>
  <mergeCells count="20">
    <mergeCell ref="E62:G62"/>
    <mergeCell ref="E48:G48"/>
    <mergeCell ref="E46:G46"/>
    <mergeCell ref="E44:G44"/>
    <mergeCell ref="E42:G42"/>
    <mergeCell ref="E3:G4"/>
    <mergeCell ref="E33:G33"/>
    <mergeCell ref="E9:G11"/>
    <mergeCell ref="E13:G14"/>
    <mergeCell ref="E34:G34"/>
    <mergeCell ref="E21:G21"/>
    <mergeCell ref="E6:G7"/>
    <mergeCell ref="E36:G36"/>
    <mergeCell ref="E32:G32"/>
    <mergeCell ref="E35:G35"/>
    <mergeCell ref="E16:G19"/>
    <mergeCell ref="E40:G40"/>
    <mergeCell ref="E38:G38"/>
    <mergeCell ref="E31:G31"/>
    <mergeCell ref="E29:G29"/>
  </mergeCells>
  <hyperlinks>
    <hyperlink ref="B2" location="'Start here'!E6" tooltip="back to Start here" display="⌂  CompBot Tutorial" xr:uid="{00000000-0004-0000-0100-000000000000}"/>
    <hyperlink ref="E36" r:id="rId1" xr:uid="{00000000-0004-0000-0100-000008000000}"/>
    <hyperlink ref="B6" location="'Start here'!E6" display="▾  START" xr:uid="{827CFBFF-7A97-4492-9C2D-AFBF0C00A42F}"/>
    <hyperlink ref="B7" location="'Start here'!E6" display="Start here" xr:uid="{9DB0B9BD-5E0F-440D-ABC7-CCE0A0872251}"/>
    <hyperlink ref="B9" location="'Find it'!E6" display="Find it" xr:uid="{69201594-90B1-40A7-85E4-220A358CB5DE}"/>
    <hyperlink ref="B10" location="'C1 Your machine'!E6" display="▸  COMMANDS" xr:uid="{DD09FCB7-95B2-4831-9B88-2BC7FB2D5B4E}"/>
    <hyperlink ref="B11" location="'Demo maps'!E6" display="▸  DEMO SHEETS" xr:uid="{ABEB11B1-F8FC-48C8-832D-21E87A3FAFA8}"/>
    <hyperlink ref="B12" location="'Level 1 Basics'!E6" display="▸  LAMBDAS" xr:uid="{4D735F71-7073-4791-BFB1-4E1EFFD7D841}"/>
    <hyperlink ref="B14" location="'Command cheat sheet'!E6" display="▸  REFERENCE" xr:uid="{1AEB31E0-B89B-4B2A-9966-F76C6ABD6DDC}"/>
    <hyperlink ref="B13" location="'I1 The Alves Method'!E6" display="▸  INSIDER" xr:uid="{B4201D09-5C07-4C5D-A219-7847E4D88846}"/>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1F2933"/>
  </sheetPr>
  <dimension ref="A1:F160"/>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 customWidth="1"/>
    <col min="2" max="2" width="27" style="1" customWidth="1"/>
    <col min="3" max="3" width="1.5" style="1" customWidth="1"/>
    <col min="4" max="4" width="2.5" customWidth="1"/>
    <col min="5" max="5" width="76" customWidth="1"/>
    <col min="6" max="6" width="58" customWidth="1"/>
  </cols>
  <sheetData>
    <row r="1" spans="2:6" ht="12.75" x14ac:dyDescent="0.2"/>
    <row r="2" spans="2:6" ht="30" customHeight="1" x14ac:dyDescent="0.3">
      <c r="B2" s="14" t="s">
        <v>0</v>
      </c>
      <c r="E2" s="3" t="s">
        <v>1382</v>
      </c>
    </row>
    <row r="3" spans="2:6" ht="15" customHeight="1" x14ac:dyDescent="0.2">
      <c r="B3" s="4" t="s">
        <v>2</v>
      </c>
      <c r="E3" s="147" t="s">
        <v>1383</v>
      </c>
      <c r="F3" s="148"/>
    </row>
    <row r="4" spans="2:6" ht="15" customHeight="1" x14ac:dyDescent="0.2">
      <c r="E4" s="148"/>
      <c r="F4" s="148"/>
    </row>
    <row r="5" spans="2:6" ht="12.75" x14ac:dyDescent="0.2"/>
    <row r="6" spans="2:6" ht="15" customHeight="1" x14ac:dyDescent="0.2">
      <c r="B6" s="99" t="s">
        <v>4</v>
      </c>
      <c r="E6" s="9" t="s">
        <v>111</v>
      </c>
      <c r="F6" s="9" t="s">
        <v>112</v>
      </c>
    </row>
    <row r="7" spans="2:6" ht="15" customHeight="1" x14ac:dyDescent="0.2">
      <c r="B7" s="101" t="s">
        <v>6</v>
      </c>
      <c r="E7" s="11" t="s">
        <v>113</v>
      </c>
      <c r="F7" s="10" t="s">
        <v>1787</v>
      </c>
    </row>
    <row r="8" spans="2:6" ht="15" customHeight="1" x14ac:dyDescent="0.2">
      <c r="B8" s="101" t="s">
        <v>7</v>
      </c>
      <c r="E8" s="54" t="s">
        <v>114</v>
      </c>
      <c r="F8" s="53" t="s">
        <v>115</v>
      </c>
    </row>
    <row r="9" spans="2:6" ht="15" customHeight="1" x14ac:dyDescent="0.2">
      <c r="B9" s="100" t="s">
        <v>8</v>
      </c>
      <c r="E9" s="11" t="s">
        <v>116</v>
      </c>
      <c r="F9" s="10" t="s">
        <v>117</v>
      </c>
    </row>
    <row r="10" spans="2:6" ht="15" customHeight="1" x14ac:dyDescent="0.2">
      <c r="B10" s="99" t="s">
        <v>10</v>
      </c>
      <c r="E10" s="54" t="s">
        <v>118</v>
      </c>
      <c r="F10" s="53" t="s">
        <v>119</v>
      </c>
    </row>
    <row r="11" spans="2:6" ht="15" customHeight="1" x14ac:dyDescent="0.2">
      <c r="B11" s="99" t="s">
        <v>11</v>
      </c>
      <c r="E11" s="11" t="s">
        <v>120</v>
      </c>
      <c r="F11" s="10" t="s">
        <v>1554</v>
      </c>
    </row>
    <row r="12" spans="2:6" ht="15" customHeight="1" x14ac:dyDescent="0.2">
      <c r="B12" s="99"/>
      <c r="E12" s="54" t="s">
        <v>3296</v>
      </c>
      <c r="F12" s="53" t="s">
        <v>3297</v>
      </c>
    </row>
    <row r="13" spans="2:6" ht="15" customHeight="1" x14ac:dyDescent="0.2">
      <c r="B13" s="99" t="s">
        <v>13</v>
      </c>
    </row>
    <row r="14" spans="2:6" ht="15" customHeight="1" x14ac:dyDescent="0.2">
      <c r="B14" s="99" t="s">
        <v>3407</v>
      </c>
      <c r="E14" s="9" t="s">
        <v>121</v>
      </c>
      <c r="F14" s="9" t="s">
        <v>112</v>
      </c>
    </row>
    <row r="15" spans="2:6" ht="15" customHeight="1" x14ac:dyDescent="0.2">
      <c r="B15" s="99" t="s">
        <v>14</v>
      </c>
      <c r="E15" s="141" t="s">
        <v>123</v>
      </c>
      <c r="F15" s="142" t="s">
        <v>1696</v>
      </c>
    </row>
    <row r="16" spans="2:6" ht="15" customHeight="1" x14ac:dyDescent="0.2">
      <c r="B16" s="98"/>
      <c r="E16" s="56" t="s">
        <v>1575</v>
      </c>
      <c r="F16" s="57" t="s">
        <v>122</v>
      </c>
    </row>
    <row r="17" spans="2:6" ht="15" customHeight="1" x14ac:dyDescent="0.2">
      <c r="B17" s="98"/>
      <c r="E17" s="141" t="s">
        <v>124</v>
      </c>
      <c r="F17" s="142" t="s">
        <v>125</v>
      </c>
    </row>
    <row r="18" spans="2:6" ht="15" customHeight="1" x14ac:dyDescent="0.2">
      <c r="B18" s="98"/>
      <c r="E18" s="56" t="s">
        <v>126</v>
      </c>
      <c r="F18" s="57" t="s">
        <v>1576</v>
      </c>
    </row>
    <row r="19" spans="2:6" ht="15" customHeight="1" x14ac:dyDescent="0.2">
      <c r="B19" s="98"/>
      <c r="E19" s="141" t="s">
        <v>1577</v>
      </c>
      <c r="F19" s="142" t="s">
        <v>1578</v>
      </c>
    </row>
    <row r="20" spans="2:6" ht="15" customHeight="1" x14ac:dyDescent="0.2">
      <c r="B20" s="98"/>
      <c r="E20" s="56" t="s">
        <v>127</v>
      </c>
      <c r="F20" s="57" t="s">
        <v>128</v>
      </c>
    </row>
    <row r="21" spans="2:6" ht="15" customHeight="1" x14ac:dyDescent="0.2">
      <c r="B21" s="98"/>
      <c r="E21" s="141" t="s">
        <v>1579</v>
      </c>
      <c r="F21" s="142" t="s">
        <v>1580</v>
      </c>
    </row>
    <row r="22" spans="2:6" ht="15" customHeight="1" x14ac:dyDescent="0.2">
      <c r="B22" s="98"/>
      <c r="E22" s="56" t="s">
        <v>3294</v>
      </c>
      <c r="F22" s="57" t="s">
        <v>3295</v>
      </c>
    </row>
    <row r="23" spans="2:6" ht="15" customHeight="1" x14ac:dyDescent="0.2">
      <c r="B23" s="98"/>
      <c r="E23" s="141" t="s">
        <v>1581</v>
      </c>
      <c r="F23" s="142" t="s">
        <v>1582</v>
      </c>
    </row>
    <row r="24" spans="2:6" ht="15" customHeight="1" x14ac:dyDescent="0.2">
      <c r="B24" s="98"/>
    </row>
    <row r="25" spans="2:6" ht="15" customHeight="1" x14ac:dyDescent="0.2">
      <c r="B25" s="98"/>
      <c r="E25" s="9" t="s">
        <v>129</v>
      </c>
      <c r="F25" s="9" t="s">
        <v>112</v>
      </c>
    </row>
    <row r="26" spans="2:6" ht="15" customHeight="1" x14ac:dyDescent="0.2">
      <c r="B26" s="98"/>
      <c r="E26" s="242" t="s">
        <v>130</v>
      </c>
      <c r="F26" s="243" t="s">
        <v>131</v>
      </c>
    </row>
    <row r="27" spans="2:6" ht="15" customHeight="1" x14ac:dyDescent="0.2">
      <c r="B27" s="98"/>
      <c r="E27" s="54" t="s">
        <v>1588</v>
      </c>
      <c r="F27" s="53" t="s">
        <v>1777</v>
      </c>
    </row>
    <row r="28" spans="2:6" ht="15" customHeight="1" x14ac:dyDescent="0.2">
      <c r="B28" s="98"/>
      <c r="E28" s="242" t="s">
        <v>3342</v>
      </c>
      <c r="F28" s="243" t="s">
        <v>3343</v>
      </c>
    </row>
    <row r="29" spans="2:6" ht="15" customHeight="1" x14ac:dyDescent="0.2">
      <c r="B29" s="98"/>
      <c r="E29" s="54" t="s">
        <v>132</v>
      </c>
      <c r="F29" s="53" t="s">
        <v>1589</v>
      </c>
    </row>
    <row r="30" spans="2:6" ht="15" customHeight="1" x14ac:dyDescent="0.2">
      <c r="B30" s="98"/>
      <c r="E30" s="244" t="s">
        <v>3490</v>
      </c>
      <c r="F30" s="245" t="s">
        <v>3476</v>
      </c>
    </row>
    <row r="31" spans="2:6" ht="15" customHeight="1" x14ac:dyDescent="0.2">
      <c r="B31" s="98"/>
      <c r="E31" s="65" t="s">
        <v>133</v>
      </c>
      <c r="F31" s="64" t="s">
        <v>134</v>
      </c>
    </row>
    <row r="32" spans="2:6" ht="15" customHeight="1" x14ac:dyDescent="0.2">
      <c r="B32" s="98"/>
      <c r="E32" s="242" t="s">
        <v>1771</v>
      </c>
      <c r="F32" s="243" t="s">
        <v>1772</v>
      </c>
    </row>
    <row r="33" spans="2:6" ht="15" customHeight="1" x14ac:dyDescent="0.2">
      <c r="B33" s="98"/>
      <c r="E33" s="54" t="s">
        <v>1773</v>
      </c>
      <c r="F33" s="53" t="s">
        <v>1774</v>
      </c>
    </row>
    <row r="34" spans="2:6" ht="15" customHeight="1" x14ac:dyDescent="0.2">
      <c r="B34" s="98"/>
    </row>
    <row r="35" spans="2:6" ht="15" customHeight="1" x14ac:dyDescent="0.2">
      <c r="B35" s="98"/>
      <c r="E35" s="246" t="s">
        <v>135</v>
      </c>
      <c r="F35" s="246" t="s">
        <v>112</v>
      </c>
    </row>
    <row r="36" spans="2:6" ht="15" customHeight="1" x14ac:dyDescent="0.2">
      <c r="B36" s="98"/>
      <c r="E36" s="56" t="s">
        <v>136</v>
      </c>
      <c r="F36" s="57" t="s">
        <v>137</v>
      </c>
    </row>
    <row r="37" spans="2:6" ht="15" customHeight="1" x14ac:dyDescent="0.2">
      <c r="B37" s="98"/>
      <c r="E37" s="247" t="s">
        <v>138</v>
      </c>
      <c r="F37" s="248" t="s">
        <v>139</v>
      </c>
    </row>
    <row r="38" spans="2:6" ht="15" customHeight="1" x14ac:dyDescent="0.2">
      <c r="B38" s="98"/>
      <c r="E38" s="249" t="s">
        <v>140</v>
      </c>
      <c r="F38" s="250" t="s">
        <v>141</v>
      </c>
    </row>
    <row r="39" spans="2:6" ht="15" customHeight="1" x14ac:dyDescent="0.2">
      <c r="B39" s="98"/>
      <c r="E39" s="251" t="s">
        <v>1573</v>
      </c>
      <c r="F39" s="248" t="s">
        <v>1574</v>
      </c>
    </row>
    <row r="40" spans="2:6" ht="15" customHeight="1" x14ac:dyDescent="0.2">
      <c r="B40" s="98"/>
    </row>
    <row r="41" spans="2:6" ht="15" customHeight="1" x14ac:dyDescent="0.2">
      <c r="B41" s="98"/>
      <c r="E41" s="9" t="s">
        <v>142</v>
      </c>
      <c r="F41" s="9" t="s">
        <v>112</v>
      </c>
    </row>
    <row r="42" spans="2:6" ht="12.75" customHeight="1" x14ac:dyDescent="0.2">
      <c r="B42" s="98"/>
      <c r="E42" s="11" t="s">
        <v>143</v>
      </c>
      <c r="F42" s="10" t="s">
        <v>144</v>
      </c>
    </row>
    <row r="43" spans="2:6" ht="15" customHeight="1" x14ac:dyDescent="0.2">
      <c r="B43" s="98"/>
      <c r="E43" s="54" t="s">
        <v>3218</v>
      </c>
      <c r="F43" s="53" t="s">
        <v>3219</v>
      </c>
    </row>
    <row r="44" spans="2:6" ht="15" customHeight="1" x14ac:dyDescent="0.2">
      <c r="B44" s="98"/>
      <c r="E44" s="11" t="s">
        <v>145</v>
      </c>
      <c r="F44" s="10" t="s">
        <v>146</v>
      </c>
    </row>
    <row r="45" spans="2:6" ht="15" customHeight="1" x14ac:dyDescent="0.2">
      <c r="B45" s="98"/>
      <c r="E45" s="54" t="s">
        <v>147</v>
      </c>
      <c r="F45" s="53" t="s">
        <v>2255</v>
      </c>
    </row>
    <row r="46" spans="2:6" ht="15" customHeight="1" x14ac:dyDescent="0.2">
      <c r="B46" s="98"/>
      <c r="E46" s="11" t="s">
        <v>148</v>
      </c>
      <c r="F46" s="10" t="s">
        <v>149</v>
      </c>
    </row>
    <row r="47" spans="2:6" ht="15" customHeight="1" x14ac:dyDescent="0.2">
      <c r="B47" s="98"/>
      <c r="E47" s="54" t="s">
        <v>150</v>
      </c>
      <c r="F47" s="53" t="s">
        <v>2257</v>
      </c>
    </row>
    <row r="48" spans="2:6" ht="15" customHeight="1" x14ac:dyDescent="0.2">
      <c r="B48" s="98"/>
    </row>
    <row r="49" spans="2:6" ht="15" customHeight="1" x14ac:dyDescent="0.2">
      <c r="B49" s="98"/>
      <c r="E49" s="9" t="s">
        <v>151</v>
      </c>
      <c r="F49" s="9" t="s">
        <v>112</v>
      </c>
    </row>
    <row r="50" spans="2:6" ht="15" customHeight="1" x14ac:dyDescent="0.2">
      <c r="B50" s="98"/>
      <c r="E50" s="11" t="s">
        <v>152</v>
      </c>
      <c r="F50" s="10" t="s">
        <v>153</v>
      </c>
    </row>
    <row r="51" spans="2:6" ht="15" customHeight="1" x14ac:dyDescent="0.2">
      <c r="E51" s="54" t="s">
        <v>1572</v>
      </c>
      <c r="F51" s="53" t="s">
        <v>2254</v>
      </c>
    </row>
    <row r="52" spans="2:6" ht="15" customHeight="1" x14ac:dyDescent="0.2">
      <c r="E52" s="11" t="s">
        <v>154</v>
      </c>
      <c r="F52" s="10" t="s">
        <v>155</v>
      </c>
    </row>
    <row r="53" spans="2:6" ht="15" customHeight="1" x14ac:dyDescent="0.2">
      <c r="E53" s="54" t="s">
        <v>156</v>
      </c>
      <c r="F53" s="53" t="s">
        <v>2256</v>
      </c>
    </row>
    <row r="54" spans="2:6" ht="15" customHeight="1" x14ac:dyDescent="0.2">
      <c r="E54" s="11" t="s">
        <v>157</v>
      </c>
      <c r="F54" s="10" t="s">
        <v>158</v>
      </c>
    </row>
    <row r="55" spans="2:6" ht="15" customHeight="1" x14ac:dyDescent="0.2">
      <c r="E55" s="54" t="s">
        <v>2258</v>
      </c>
      <c r="F55" s="53" t="s">
        <v>2259</v>
      </c>
    </row>
    <row r="57" spans="2:6" ht="15" customHeight="1" x14ac:dyDescent="0.2">
      <c r="E57" s="9" t="s">
        <v>159</v>
      </c>
      <c r="F57" s="9" t="s">
        <v>112</v>
      </c>
    </row>
    <row r="58" spans="2:6" ht="15" customHeight="1" x14ac:dyDescent="0.2">
      <c r="E58" s="11" t="s">
        <v>160</v>
      </c>
      <c r="F58" s="10" t="s">
        <v>161</v>
      </c>
    </row>
    <row r="59" spans="2:6" ht="15" customHeight="1" x14ac:dyDescent="0.2">
      <c r="E59" s="54" t="s">
        <v>162</v>
      </c>
      <c r="F59" s="53" t="s">
        <v>163</v>
      </c>
    </row>
    <row r="61" spans="2:6" ht="15" customHeight="1" x14ac:dyDescent="0.2">
      <c r="E61" s="9" t="s">
        <v>164</v>
      </c>
      <c r="F61" s="9" t="s">
        <v>112</v>
      </c>
    </row>
    <row r="62" spans="2:6" ht="15" customHeight="1" x14ac:dyDescent="0.2">
      <c r="E62" s="11" t="s">
        <v>165</v>
      </c>
      <c r="F62" s="10" t="s">
        <v>166</v>
      </c>
    </row>
    <row r="63" spans="2:6" ht="15" customHeight="1" x14ac:dyDescent="0.2">
      <c r="E63" s="54" t="s">
        <v>2008</v>
      </c>
      <c r="F63" s="53" t="s">
        <v>2009</v>
      </c>
    </row>
    <row r="64" spans="2:6" ht="15" customHeight="1" x14ac:dyDescent="0.2">
      <c r="E64" s="11" t="s">
        <v>167</v>
      </c>
      <c r="F64" s="10" t="s">
        <v>540</v>
      </c>
    </row>
    <row r="65" spans="5:6" ht="15" customHeight="1" x14ac:dyDescent="0.2">
      <c r="E65" s="54" t="s">
        <v>168</v>
      </c>
      <c r="F65" s="53" t="s">
        <v>169</v>
      </c>
    </row>
    <row r="66" spans="5:6" ht="15" customHeight="1" x14ac:dyDescent="0.2">
      <c r="E66" s="11" t="s">
        <v>170</v>
      </c>
      <c r="F66" s="10" t="s">
        <v>171</v>
      </c>
    </row>
    <row r="67" spans="5:6" ht="15" customHeight="1" x14ac:dyDescent="0.2">
      <c r="E67" s="54" t="s">
        <v>172</v>
      </c>
      <c r="F67" s="53" t="s">
        <v>173</v>
      </c>
    </row>
    <row r="68" spans="5:6" ht="15" customHeight="1" x14ac:dyDescent="0.2">
      <c r="E68" s="11" t="s">
        <v>174</v>
      </c>
      <c r="F68" s="10" t="s">
        <v>175</v>
      </c>
    </row>
    <row r="69" spans="5:6" ht="15" customHeight="1" x14ac:dyDescent="0.2">
      <c r="E69" s="54" t="s">
        <v>176</v>
      </c>
      <c r="F69" s="53" t="s">
        <v>2071</v>
      </c>
    </row>
    <row r="70" spans="5:6" ht="15" customHeight="1" x14ac:dyDescent="0.2">
      <c r="E70" s="11" t="s">
        <v>177</v>
      </c>
      <c r="F70" s="10" t="s">
        <v>178</v>
      </c>
    </row>
    <row r="72" spans="5:6" ht="15" customHeight="1" x14ac:dyDescent="0.2">
      <c r="E72" s="9" t="s">
        <v>179</v>
      </c>
      <c r="F72" s="9" t="s">
        <v>112</v>
      </c>
    </row>
    <row r="73" spans="5:6" ht="15" customHeight="1" x14ac:dyDescent="0.2">
      <c r="E73" s="11" t="s">
        <v>1571</v>
      </c>
      <c r="F73" s="10" t="s">
        <v>180</v>
      </c>
    </row>
    <row r="74" spans="5:6" ht="15" customHeight="1" x14ac:dyDescent="0.2">
      <c r="E74" s="54" t="s">
        <v>181</v>
      </c>
      <c r="F74" s="53" t="s">
        <v>182</v>
      </c>
    </row>
    <row r="75" spans="5:6" ht="15" customHeight="1" x14ac:dyDescent="0.2">
      <c r="E75" s="11" t="s">
        <v>183</v>
      </c>
      <c r="F75" s="10" t="s">
        <v>184</v>
      </c>
    </row>
    <row r="76" spans="5:6" ht="15" customHeight="1" x14ac:dyDescent="0.2">
      <c r="E76" s="54" t="s">
        <v>185</v>
      </c>
      <c r="F76" s="53" t="s">
        <v>186</v>
      </c>
    </row>
    <row r="77" spans="5:6" ht="15" customHeight="1" x14ac:dyDescent="0.2">
      <c r="E77" s="11" t="s">
        <v>1570</v>
      </c>
      <c r="F77" s="10" t="s">
        <v>187</v>
      </c>
    </row>
    <row r="78" spans="5:6" ht="15" customHeight="1" x14ac:dyDescent="0.2">
      <c r="E78" s="54" t="s">
        <v>188</v>
      </c>
      <c r="F78" s="53" t="s">
        <v>189</v>
      </c>
    </row>
    <row r="79" spans="5:6" ht="15" customHeight="1" x14ac:dyDescent="0.2">
      <c r="E79" s="11" t="s">
        <v>190</v>
      </c>
      <c r="F79" s="10" t="s">
        <v>191</v>
      </c>
    </row>
    <row r="80" spans="5:6" ht="15" customHeight="1" x14ac:dyDescent="0.2">
      <c r="E80" s="54" t="s">
        <v>192</v>
      </c>
      <c r="F80" s="53" t="s">
        <v>193</v>
      </c>
    </row>
    <row r="81" spans="5:6" ht="15" customHeight="1" x14ac:dyDescent="0.2">
      <c r="E81" s="11" t="s">
        <v>194</v>
      </c>
      <c r="F81" s="10" t="s">
        <v>195</v>
      </c>
    </row>
    <row r="82" spans="5:6" ht="15" customHeight="1" x14ac:dyDescent="0.2">
      <c r="E82" s="54" t="s">
        <v>196</v>
      </c>
      <c r="F82" s="53" t="s">
        <v>197</v>
      </c>
    </row>
    <row r="83" spans="5:6" ht="15" customHeight="1" x14ac:dyDescent="0.2">
      <c r="E83" s="11" t="s">
        <v>198</v>
      </c>
      <c r="F83" s="10" t="s">
        <v>199</v>
      </c>
    </row>
    <row r="84" spans="5:6" ht="15" customHeight="1" x14ac:dyDescent="0.2">
      <c r="E84" s="54" t="s">
        <v>1569</v>
      </c>
      <c r="F84" s="53" t="s">
        <v>200</v>
      </c>
    </row>
    <row r="86" spans="5:6" ht="15" customHeight="1" x14ac:dyDescent="0.2">
      <c r="E86" s="9" t="s">
        <v>201</v>
      </c>
      <c r="F86" s="9" t="s">
        <v>112</v>
      </c>
    </row>
    <row r="87" spans="5:6" ht="15" customHeight="1" x14ac:dyDescent="0.2">
      <c r="E87" s="11" t="s">
        <v>202</v>
      </c>
      <c r="F87" s="10" t="s">
        <v>203</v>
      </c>
    </row>
    <row r="88" spans="5:6" ht="15" customHeight="1" x14ac:dyDescent="0.2">
      <c r="E88" s="54" t="s">
        <v>204</v>
      </c>
      <c r="F88" s="53" t="s">
        <v>205</v>
      </c>
    </row>
    <row r="89" spans="5:6" ht="15" customHeight="1" x14ac:dyDescent="0.2">
      <c r="E89" s="11" t="s">
        <v>206</v>
      </c>
      <c r="F89" s="10" t="s">
        <v>1274</v>
      </c>
    </row>
    <row r="90" spans="5:6" ht="15" customHeight="1" x14ac:dyDescent="0.2">
      <c r="E90" s="54" t="s">
        <v>207</v>
      </c>
      <c r="F90" s="53" t="s">
        <v>208</v>
      </c>
    </row>
    <row r="91" spans="5:6" ht="15" customHeight="1" x14ac:dyDescent="0.2">
      <c r="E91" s="11" t="s">
        <v>209</v>
      </c>
      <c r="F91" s="10" t="s">
        <v>210</v>
      </c>
    </row>
    <row r="92" spans="5:6" ht="15" customHeight="1" x14ac:dyDescent="0.2">
      <c r="E92" s="54" t="s">
        <v>211</v>
      </c>
      <c r="F92" s="53" t="s">
        <v>212</v>
      </c>
    </row>
    <row r="93" spans="5:6" ht="15" customHeight="1" x14ac:dyDescent="0.2">
      <c r="E93" s="11" t="s">
        <v>213</v>
      </c>
      <c r="F93" s="10" t="s">
        <v>214</v>
      </c>
    </row>
    <row r="94" spans="5:6" ht="15" customHeight="1" x14ac:dyDescent="0.2">
      <c r="E94" s="54" t="s">
        <v>215</v>
      </c>
      <c r="F94" s="53" t="s">
        <v>216</v>
      </c>
    </row>
    <row r="95" spans="5:6" ht="15" customHeight="1" x14ac:dyDescent="0.2">
      <c r="E95" s="11" t="s">
        <v>217</v>
      </c>
      <c r="F95" s="10" t="s">
        <v>218</v>
      </c>
    </row>
    <row r="96" spans="5:6" ht="15" customHeight="1" x14ac:dyDescent="0.2">
      <c r="E96" s="54" t="s">
        <v>219</v>
      </c>
      <c r="F96" s="53" t="s">
        <v>220</v>
      </c>
    </row>
    <row r="98" spans="5:6" ht="15" customHeight="1" x14ac:dyDescent="0.2">
      <c r="E98" s="9" t="s">
        <v>221</v>
      </c>
      <c r="F98" s="9" t="s">
        <v>112</v>
      </c>
    </row>
    <row r="99" spans="5:6" ht="15" customHeight="1" x14ac:dyDescent="0.2">
      <c r="E99" s="11" t="s">
        <v>1384</v>
      </c>
      <c r="F99" s="10" t="s">
        <v>222</v>
      </c>
    </row>
    <row r="100" spans="5:6" ht="15" customHeight="1" x14ac:dyDescent="0.2">
      <c r="E100" s="54" t="s">
        <v>223</v>
      </c>
      <c r="F100" s="53" t="s">
        <v>224</v>
      </c>
    </row>
    <row r="101" spans="5:6" ht="15" customHeight="1" x14ac:dyDescent="0.2">
      <c r="E101" s="133" t="s">
        <v>225</v>
      </c>
      <c r="F101" s="134" t="s">
        <v>226</v>
      </c>
    </row>
    <row r="102" spans="5:6" ht="15" customHeight="1" x14ac:dyDescent="0.2">
      <c r="E102" s="60" t="s">
        <v>227</v>
      </c>
      <c r="F102" s="53" t="s">
        <v>228</v>
      </c>
    </row>
    <row r="103" spans="5:6" ht="15" customHeight="1" x14ac:dyDescent="0.2">
      <c r="E103" s="55" t="s">
        <v>229</v>
      </c>
      <c r="F103" s="135" t="s">
        <v>230</v>
      </c>
    </row>
    <row r="105" spans="5:6" ht="15" customHeight="1" x14ac:dyDescent="0.2">
      <c r="E105" s="9" t="s">
        <v>231</v>
      </c>
      <c r="F105" s="9" t="s">
        <v>112</v>
      </c>
    </row>
    <row r="106" spans="5:6" ht="15" customHeight="1" x14ac:dyDescent="0.2">
      <c r="E106" s="11" t="s">
        <v>232</v>
      </c>
      <c r="F106" s="10" t="s">
        <v>233</v>
      </c>
    </row>
    <row r="107" spans="5:6" ht="15" customHeight="1" x14ac:dyDescent="0.2">
      <c r="E107" s="54" t="s">
        <v>234</v>
      </c>
      <c r="F107" s="53" t="s">
        <v>235</v>
      </c>
    </row>
    <row r="108" spans="5:6" ht="15" customHeight="1" x14ac:dyDescent="0.2">
      <c r="E108" s="11" t="s">
        <v>236</v>
      </c>
      <c r="F108" s="10" t="s">
        <v>237</v>
      </c>
    </row>
    <row r="109" spans="5:6" ht="15" customHeight="1" x14ac:dyDescent="0.2">
      <c r="E109" s="54" t="s">
        <v>1385</v>
      </c>
      <c r="F109" s="53" t="s">
        <v>3340</v>
      </c>
    </row>
    <row r="110" spans="5:6" ht="15" customHeight="1" x14ac:dyDescent="0.2">
      <c r="E110" s="11" t="s">
        <v>3434</v>
      </c>
      <c r="F110" s="10" t="s">
        <v>3432</v>
      </c>
    </row>
    <row r="111" spans="5:6" ht="15" customHeight="1" x14ac:dyDescent="0.2">
      <c r="E111" s="54" t="s">
        <v>3341</v>
      </c>
      <c r="F111" s="53" t="s">
        <v>238</v>
      </c>
    </row>
    <row r="112" spans="5:6" ht="15" customHeight="1" x14ac:dyDescent="0.2">
      <c r="E112" s="11" t="s">
        <v>239</v>
      </c>
      <c r="F112" s="10" t="s">
        <v>240</v>
      </c>
    </row>
    <row r="113" spans="5:6" ht="15" customHeight="1" x14ac:dyDescent="0.2">
      <c r="E113" s="54" t="s">
        <v>241</v>
      </c>
      <c r="F113" s="53" t="s">
        <v>242</v>
      </c>
    </row>
    <row r="114" spans="5:6" ht="15" customHeight="1" x14ac:dyDescent="0.2">
      <c r="E114" s="11" t="s">
        <v>243</v>
      </c>
      <c r="F114" s="10" t="s">
        <v>244</v>
      </c>
    </row>
    <row r="115" spans="5:6" ht="15" customHeight="1" x14ac:dyDescent="0.2">
      <c r="E115" s="54" t="s">
        <v>245</v>
      </c>
      <c r="F115" s="53" t="s">
        <v>246</v>
      </c>
    </row>
    <row r="116" spans="5:6" ht="15" customHeight="1" x14ac:dyDescent="0.2">
      <c r="E116" s="11" t="s">
        <v>247</v>
      </c>
      <c r="F116" s="10" t="s">
        <v>248</v>
      </c>
    </row>
    <row r="117" spans="5:6" ht="15" customHeight="1" x14ac:dyDescent="0.2">
      <c r="E117" s="54" t="s">
        <v>249</v>
      </c>
      <c r="F117" s="53" t="s">
        <v>250</v>
      </c>
    </row>
    <row r="118" spans="5:6" ht="15" customHeight="1" x14ac:dyDescent="0.2">
      <c r="E118" s="11" t="s">
        <v>251</v>
      </c>
      <c r="F118" s="10" t="s">
        <v>252</v>
      </c>
    </row>
    <row r="119" spans="5:6" ht="15" customHeight="1" x14ac:dyDescent="0.2">
      <c r="E119" s="54" t="s">
        <v>253</v>
      </c>
      <c r="F119" s="53" t="s">
        <v>1308</v>
      </c>
    </row>
    <row r="120" spans="5:6" ht="15" customHeight="1" x14ac:dyDescent="0.2">
      <c r="E120" s="11" t="s">
        <v>254</v>
      </c>
      <c r="F120" s="10" t="s">
        <v>255</v>
      </c>
    </row>
    <row r="121" spans="5:6" ht="15" customHeight="1" x14ac:dyDescent="0.2">
      <c r="E121" s="54" t="s">
        <v>256</v>
      </c>
      <c r="F121" s="53" t="s">
        <v>257</v>
      </c>
    </row>
    <row r="122" spans="5:6" ht="15" customHeight="1" x14ac:dyDescent="0.2">
      <c r="E122" s="11" t="s">
        <v>1775</v>
      </c>
      <c r="F122" s="10" t="s">
        <v>1766</v>
      </c>
    </row>
    <row r="123" spans="5:6" ht="15" customHeight="1" x14ac:dyDescent="0.2">
      <c r="E123" s="54" t="s">
        <v>1776</v>
      </c>
      <c r="F123" s="53" t="s">
        <v>1769</v>
      </c>
    </row>
    <row r="124" spans="5:6" ht="15" customHeight="1" x14ac:dyDescent="0.2">
      <c r="E124" s="11" t="s">
        <v>258</v>
      </c>
      <c r="F124" s="10" t="s">
        <v>259</v>
      </c>
    </row>
    <row r="125" spans="5:6" ht="15" customHeight="1" x14ac:dyDescent="0.2">
      <c r="E125" s="54" t="s">
        <v>2332</v>
      </c>
      <c r="F125" s="53" t="s">
        <v>2330</v>
      </c>
    </row>
    <row r="126" spans="5:6" ht="15" customHeight="1" x14ac:dyDescent="0.2">
      <c r="E126" s="11" t="s">
        <v>260</v>
      </c>
      <c r="F126" s="10" t="s">
        <v>261</v>
      </c>
    </row>
    <row r="127" spans="5:6" ht="15" customHeight="1" x14ac:dyDescent="0.2">
      <c r="E127" s="54" t="s">
        <v>262</v>
      </c>
      <c r="F127" s="53" t="s">
        <v>263</v>
      </c>
    </row>
    <row r="128" spans="5:6" ht="15" customHeight="1" x14ac:dyDescent="0.2">
      <c r="E128" s="11" t="s">
        <v>264</v>
      </c>
      <c r="F128" s="10" t="s">
        <v>265</v>
      </c>
    </row>
    <row r="129" spans="5:6" ht="15" customHeight="1" x14ac:dyDescent="0.2">
      <c r="E129" s="54" t="s">
        <v>266</v>
      </c>
      <c r="F129" s="53" t="s">
        <v>267</v>
      </c>
    </row>
    <row r="131" spans="5:6" ht="15" customHeight="1" x14ac:dyDescent="0.2">
      <c r="E131" s="9" t="s">
        <v>268</v>
      </c>
      <c r="F131" s="9" t="s">
        <v>112</v>
      </c>
    </row>
    <row r="132" spans="5:6" ht="15" customHeight="1" x14ac:dyDescent="0.2">
      <c r="E132" s="11" t="s">
        <v>269</v>
      </c>
      <c r="F132" s="10" t="s">
        <v>270</v>
      </c>
    </row>
    <row r="133" spans="5:6" ht="15" customHeight="1" x14ac:dyDescent="0.2">
      <c r="E133" s="54" t="s">
        <v>271</v>
      </c>
      <c r="F133" s="53" t="s">
        <v>272</v>
      </c>
    </row>
    <row r="134" spans="5:6" ht="15" customHeight="1" x14ac:dyDescent="0.2">
      <c r="E134" s="11" t="s">
        <v>273</v>
      </c>
      <c r="F134" s="10" t="s">
        <v>274</v>
      </c>
    </row>
    <row r="135" spans="5:6" ht="15" customHeight="1" x14ac:dyDescent="0.2">
      <c r="E135" s="54" t="s">
        <v>275</v>
      </c>
      <c r="F135" s="53" t="s">
        <v>276</v>
      </c>
    </row>
    <row r="136" spans="5:6" ht="15" customHeight="1" x14ac:dyDescent="0.2">
      <c r="E136" s="11" t="s">
        <v>277</v>
      </c>
      <c r="F136" s="10" t="s">
        <v>278</v>
      </c>
    </row>
    <row r="137" spans="5:6" ht="15" customHeight="1" x14ac:dyDescent="0.2">
      <c r="E137" s="54" t="s">
        <v>279</v>
      </c>
      <c r="F137" s="53" t="s">
        <v>280</v>
      </c>
    </row>
    <row r="138" spans="5:6" ht="15" customHeight="1" x14ac:dyDescent="0.2">
      <c r="E138" s="11" t="s">
        <v>281</v>
      </c>
      <c r="F138" s="10" t="s">
        <v>282</v>
      </c>
    </row>
    <row r="139" spans="5:6" ht="15" customHeight="1" x14ac:dyDescent="0.2">
      <c r="E139" s="54" t="s">
        <v>283</v>
      </c>
      <c r="F139" s="53" t="s">
        <v>284</v>
      </c>
    </row>
    <row r="140" spans="5:6" ht="15" customHeight="1" x14ac:dyDescent="0.2">
      <c r="E140" s="11" t="s">
        <v>285</v>
      </c>
      <c r="F140" s="10" t="s">
        <v>286</v>
      </c>
    </row>
    <row r="141" spans="5:6" ht="15" customHeight="1" x14ac:dyDescent="0.2">
      <c r="E141" s="54" t="s">
        <v>2928</v>
      </c>
      <c r="F141" s="53" t="s">
        <v>287</v>
      </c>
    </row>
    <row r="143" spans="5:6" ht="15" customHeight="1" x14ac:dyDescent="0.2">
      <c r="E143" s="9" t="s">
        <v>288</v>
      </c>
      <c r="F143" s="9" t="s">
        <v>112</v>
      </c>
    </row>
    <row r="144" spans="5:6" ht="15" customHeight="1" x14ac:dyDescent="0.2">
      <c r="E144" s="11" t="s">
        <v>289</v>
      </c>
      <c r="F144" s="10" t="s">
        <v>290</v>
      </c>
    </row>
    <row r="145" spans="5:6" ht="15" customHeight="1" x14ac:dyDescent="0.2">
      <c r="E145" s="54" t="s">
        <v>291</v>
      </c>
      <c r="F145" s="53" t="s">
        <v>292</v>
      </c>
    </row>
    <row r="146" spans="5:6" ht="15" customHeight="1" x14ac:dyDescent="0.2">
      <c r="E146" s="11" t="s">
        <v>293</v>
      </c>
      <c r="F146" s="10" t="s">
        <v>294</v>
      </c>
    </row>
    <row r="147" spans="5:6" ht="15" customHeight="1" x14ac:dyDescent="0.2">
      <c r="E147" s="54" t="s">
        <v>295</v>
      </c>
      <c r="F147" s="53" t="s">
        <v>296</v>
      </c>
    </row>
    <row r="148" spans="5:6" ht="15" customHeight="1" x14ac:dyDescent="0.2">
      <c r="E148" s="11" t="s">
        <v>297</v>
      </c>
      <c r="F148" s="10" t="s">
        <v>298</v>
      </c>
    </row>
    <row r="149" spans="5:6" ht="15" customHeight="1" x14ac:dyDescent="0.2">
      <c r="E149" s="54" t="s">
        <v>299</v>
      </c>
      <c r="F149" s="53" t="s">
        <v>300</v>
      </c>
    </row>
    <row r="150" spans="5:6" ht="15" customHeight="1" x14ac:dyDescent="0.2">
      <c r="E150" s="11" t="s">
        <v>301</v>
      </c>
      <c r="F150" s="10" t="s">
        <v>302</v>
      </c>
    </row>
    <row r="151" spans="5:6" ht="15" customHeight="1" x14ac:dyDescent="0.2">
      <c r="E151" s="54" t="s">
        <v>303</v>
      </c>
      <c r="F151" s="53" t="s">
        <v>304</v>
      </c>
    </row>
    <row r="152" spans="5:6" ht="15" customHeight="1" x14ac:dyDescent="0.2">
      <c r="E152" s="11" t="s">
        <v>305</v>
      </c>
      <c r="F152" s="10" t="s">
        <v>306</v>
      </c>
    </row>
    <row r="153" spans="5:6" ht="15" customHeight="1" x14ac:dyDescent="0.2">
      <c r="E153" s="54" t="s">
        <v>307</v>
      </c>
      <c r="F153" s="53" t="s">
        <v>308</v>
      </c>
    </row>
    <row r="154" spans="5:6" ht="15" customHeight="1" x14ac:dyDescent="0.2">
      <c r="E154" s="11" t="s">
        <v>309</v>
      </c>
      <c r="F154" s="10" t="s">
        <v>310</v>
      </c>
    </row>
    <row r="155" spans="5:6" ht="15" customHeight="1" x14ac:dyDescent="0.2">
      <c r="E155" s="54" t="s">
        <v>1568</v>
      </c>
      <c r="F155" s="53" t="s">
        <v>311</v>
      </c>
    </row>
    <row r="156" spans="5:6" ht="15" customHeight="1" x14ac:dyDescent="0.2">
      <c r="E156" s="11" t="s">
        <v>312</v>
      </c>
      <c r="F156" s="10" t="s">
        <v>313</v>
      </c>
    </row>
    <row r="158" spans="5:6" ht="15" customHeight="1" x14ac:dyDescent="0.2">
      <c r="E158" s="9" t="s">
        <v>3418</v>
      </c>
      <c r="F158" s="9" t="s">
        <v>112</v>
      </c>
    </row>
    <row r="159" spans="5:6" ht="15" customHeight="1" x14ac:dyDescent="0.2">
      <c r="E159" s="11" t="s">
        <v>3419</v>
      </c>
      <c r="F159" s="10" t="s">
        <v>3420</v>
      </c>
    </row>
    <row r="160" spans="5:6" ht="15" customHeight="1" x14ac:dyDescent="0.2">
      <c r="E160" s="54" t="s">
        <v>3421</v>
      </c>
      <c r="F160" s="53" t="s">
        <v>3422</v>
      </c>
    </row>
  </sheetData>
  <mergeCells count="1">
    <mergeCell ref="E3:F4"/>
  </mergeCells>
  <hyperlinks>
    <hyperlink ref="B2" location="'Start here'!E6" tooltip="back to Start here" display="⌂  CompBot Tutorial" xr:uid="{00000000-0004-0000-0200-000000000000}"/>
    <hyperlink ref="B6" location="'Start here'!E6" display="▾  START" xr:uid="{8644C275-3E7F-4642-8610-878646C3EAC0}"/>
    <hyperlink ref="B7" location="'Start here'!E6" display="Start here" xr:uid="{1CF27928-34E3-4AAA-B53B-ECE738BB3758}"/>
    <hyperlink ref="B8" location="'Get set up'!E6" display="Get set up" xr:uid="{477924C9-682E-49DA-A6D9-183247136973}"/>
    <hyperlink ref="B10" location="'C1 Your machine'!E6" display="▸  COMMANDS" xr:uid="{C4CDD5D9-1742-447C-9F1C-2706C308B2AE}"/>
    <hyperlink ref="B11" location="'Demo maps'!E6" display="▸  DEMO SHEETS" xr:uid="{DA0B08E9-D4A2-41A4-A9BD-2532FB152971}"/>
    <hyperlink ref="B13" location="'Level 1 Basics'!E6" display="▸  LAMBDAS" xr:uid="{93DD7379-7722-4F95-A93C-88D8B9635F31}"/>
    <hyperlink ref="B15" location="'Command cheat sheet'!E6" display="▸  REFERENCE" xr:uid="{644B4DE0-C8F4-4D1B-9A10-631DC9494C49}"/>
    <hyperlink ref="B14" location="'I1 The Alves Method'!E6" display="▸  INSIDER" xr:uid="{9F3A73C1-2856-4DD2-B0D8-AE20979609CD}"/>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1A5FB4"/>
  </sheetPr>
  <dimension ref="A1:L87"/>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9" customWidth="1"/>
    <col min="2" max="2" width="27" style="19" customWidth="1"/>
    <col min="3" max="3" width="1.5" style="19" customWidth="1"/>
    <col min="4" max="4" width="2.5" customWidth="1"/>
    <col min="5" max="10" width="14.5" customWidth="1"/>
    <col min="11" max="11" width="44" customWidth="1"/>
    <col min="12" max="12" width="46" customWidth="1"/>
  </cols>
  <sheetData>
    <row r="1" spans="2:12" ht="12.75" x14ac:dyDescent="0.2"/>
    <row r="2" spans="2:12" ht="30" customHeight="1" x14ac:dyDescent="0.3">
      <c r="B2" s="20" t="s">
        <v>0</v>
      </c>
      <c r="E2" s="3" t="s">
        <v>314</v>
      </c>
    </row>
    <row r="3" spans="2:12" ht="15" customHeight="1" x14ac:dyDescent="0.2">
      <c r="B3" s="21" t="s">
        <v>2</v>
      </c>
      <c r="E3" s="147" t="s">
        <v>1599</v>
      </c>
      <c r="F3" s="148"/>
      <c r="G3" s="148"/>
      <c r="H3" s="148"/>
      <c r="I3" s="148"/>
      <c r="J3" s="148"/>
      <c r="K3" s="148"/>
      <c r="L3" s="148"/>
    </row>
    <row r="4" spans="2:12" ht="15" customHeight="1" x14ac:dyDescent="0.2">
      <c r="E4" s="148"/>
      <c r="F4" s="148"/>
      <c r="G4" s="148"/>
      <c r="H4" s="148"/>
      <c r="I4" s="148"/>
      <c r="J4" s="148"/>
      <c r="K4" s="148"/>
      <c r="L4" s="148"/>
    </row>
    <row r="5" spans="2:12" ht="12.75" x14ac:dyDescent="0.2"/>
    <row r="6" spans="2:12" ht="15" customHeight="1" x14ac:dyDescent="0.2">
      <c r="B6" s="103" t="s">
        <v>315</v>
      </c>
      <c r="E6" s="151" t="s">
        <v>316</v>
      </c>
      <c r="F6" s="148"/>
      <c r="G6" s="148"/>
      <c r="H6" s="148"/>
      <c r="I6" s="148"/>
      <c r="J6" s="148"/>
      <c r="K6" s="148"/>
      <c r="L6" s="148"/>
    </row>
    <row r="7" spans="2:12" ht="15" customHeight="1" x14ac:dyDescent="0.2">
      <c r="B7" s="103" t="s">
        <v>317</v>
      </c>
      <c r="E7" s="148"/>
      <c r="F7" s="148"/>
      <c r="G7" s="148"/>
      <c r="H7" s="148"/>
      <c r="I7" s="148"/>
      <c r="J7" s="148"/>
      <c r="K7" s="148"/>
      <c r="L7" s="148"/>
    </row>
    <row r="8" spans="2:12" ht="12.75" x14ac:dyDescent="0.2">
      <c r="B8" s="104" t="s">
        <v>32</v>
      </c>
    </row>
    <row r="9" spans="2:12" ht="15" customHeight="1" x14ac:dyDescent="0.2">
      <c r="B9" s="105" t="s">
        <v>35</v>
      </c>
      <c r="E9" s="152" t="s">
        <v>1598</v>
      </c>
      <c r="F9" s="148"/>
      <c r="G9" s="148"/>
      <c r="H9" s="148"/>
      <c r="I9" s="148"/>
      <c r="J9" s="148"/>
    </row>
    <row r="10" spans="2:12" ht="15" customHeight="1" x14ac:dyDescent="0.2">
      <c r="B10" s="105" t="s">
        <v>37</v>
      </c>
      <c r="E10" s="148"/>
      <c r="F10" s="148"/>
      <c r="G10" s="148"/>
      <c r="H10" s="148"/>
      <c r="I10" s="148"/>
      <c r="J10" s="148"/>
    </row>
    <row r="11" spans="2:12" ht="15" customHeight="1" x14ac:dyDescent="0.2">
      <c r="B11" s="105" t="s">
        <v>39</v>
      </c>
      <c r="E11" s="148"/>
      <c r="F11" s="148"/>
      <c r="G11" s="148"/>
      <c r="H11" s="148"/>
      <c r="I11" s="148"/>
      <c r="J11" s="148"/>
    </row>
    <row r="12" spans="2:12" ht="15" customHeight="1" x14ac:dyDescent="0.2">
      <c r="B12" s="105" t="s">
        <v>40</v>
      </c>
      <c r="E12" s="152" t="s">
        <v>1597</v>
      </c>
      <c r="F12" s="148"/>
      <c r="G12" s="148"/>
      <c r="H12" s="148"/>
      <c r="I12" s="148"/>
      <c r="J12" s="148"/>
    </row>
    <row r="13" spans="2:12" ht="15" customHeight="1" x14ac:dyDescent="0.2">
      <c r="B13" s="105" t="s">
        <v>42</v>
      </c>
      <c r="E13" s="148"/>
      <c r="F13" s="148"/>
      <c r="G13" s="148"/>
      <c r="H13" s="148"/>
      <c r="I13" s="148"/>
      <c r="J13" s="148"/>
    </row>
    <row r="14" spans="2:12" ht="15" customHeight="1" x14ac:dyDescent="0.2">
      <c r="B14" s="105" t="s">
        <v>44</v>
      </c>
      <c r="E14" s="148"/>
      <c r="F14" s="148"/>
      <c r="G14" s="148"/>
      <c r="H14" s="148"/>
      <c r="I14" s="148"/>
      <c r="J14" s="148"/>
    </row>
    <row r="15" spans="2:12" ht="15" customHeight="1" x14ac:dyDescent="0.2">
      <c r="B15" s="105" t="s">
        <v>46</v>
      </c>
      <c r="E15" s="152" t="s">
        <v>318</v>
      </c>
      <c r="F15" s="148"/>
      <c r="G15" s="148"/>
      <c r="H15" s="148"/>
      <c r="I15" s="148"/>
      <c r="J15" s="148"/>
    </row>
    <row r="16" spans="2:12" ht="15" customHeight="1" x14ac:dyDescent="0.2">
      <c r="B16" s="103" t="s">
        <v>11</v>
      </c>
      <c r="E16" s="148"/>
      <c r="F16" s="148"/>
      <c r="G16" s="148"/>
      <c r="H16" s="148"/>
      <c r="I16" s="148"/>
      <c r="J16" s="148"/>
    </row>
    <row r="17" spans="2:11" ht="15" customHeight="1" x14ac:dyDescent="0.2">
      <c r="B17" s="103" t="s">
        <v>13</v>
      </c>
      <c r="E17" s="148"/>
      <c r="F17" s="148"/>
      <c r="G17" s="148"/>
      <c r="H17" s="148"/>
      <c r="I17" s="148"/>
      <c r="J17" s="148"/>
    </row>
    <row r="18" spans="2:11" ht="51" customHeight="1" x14ac:dyDescent="0.2">
      <c r="B18" s="103" t="s">
        <v>3407</v>
      </c>
      <c r="E18" s="152" t="s">
        <v>3276</v>
      </c>
      <c r="F18" s="152"/>
      <c r="G18" s="152"/>
      <c r="H18" s="152"/>
      <c r="I18" s="152"/>
      <c r="J18" s="152"/>
    </row>
    <row r="19" spans="2:11" ht="12.75" x14ac:dyDescent="0.2">
      <c r="B19" s="103" t="s">
        <v>14</v>
      </c>
    </row>
    <row r="20" spans="2:11" ht="12.75" x14ac:dyDescent="0.2">
      <c r="B20" s="102"/>
    </row>
    <row r="21" spans="2:11" ht="15.75" customHeight="1" x14ac:dyDescent="0.2">
      <c r="B21" s="102"/>
      <c r="E21" s="159" t="s">
        <v>319</v>
      </c>
      <c r="F21" s="159"/>
      <c r="G21" s="159"/>
      <c r="H21" s="159"/>
      <c r="I21" s="159"/>
      <c r="J21" s="159"/>
      <c r="K21" s="52" t="s">
        <v>320</v>
      </c>
    </row>
    <row r="22" spans="2:11" ht="25.5" customHeight="1" x14ac:dyDescent="0.2">
      <c r="B22" s="102"/>
      <c r="E22" s="152" t="s">
        <v>3274</v>
      </c>
      <c r="F22" s="152"/>
      <c r="G22" s="152"/>
      <c r="H22" s="152"/>
      <c r="I22" s="152"/>
      <c r="J22" s="152"/>
    </row>
    <row r="23" spans="2:11" ht="15" customHeight="1" x14ac:dyDescent="0.2">
      <c r="B23" s="102"/>
      <c r="E23" s="147" t="s">
        <v>321</v>
      </c>
      <c r="F23" s="149"/>
      <c r="G23" s="149"/>
      <c r="H23" s="149"/>
      <c r="I23" s="149"/>
      <c r="J23" s="149"/>
    </row>
    <row r="24" spans="2:11" ht="12.75" x14ac:dyDescent="0.2">
      <c r="B24" s="102"/>
    </row>
    <row r="25" spans="2:11" ht="25.5" customHeight="1" x14ac:dyDescent="0.2">
      <c r="B25" s="102"/>
      <c r="E25" s="168" t="s">
        <v>1716</v>
      </c>
      <c r="F25" s="169"/>
      <c r="G25" s="169"/>
      <c r="H25" s="169"/>
      <c r="I25" s="169"/>
      <c r="J25" s="170"/>
    </row>
    <row r="26" spans="2:11" ht="15" customHeight="1" x14ac:dyDescent="0.2">
      <c r="B26" s="102"/>
      <c r="E26" s="147" t="s">
        <v>1386</v>
      </c>
      <c r="F26" s="149"/>
      <c r="G26" s="149"/>
      <c r="H26" s="149"/>
      <c r="I26" s="149"/>
      <c r="J26" s="149"/>
    </row>
    <row r="27" spans="2:11" ht="15" customHeight="1" x14ac:dyDescent="0.2">
      <c r="B27" s="102"/>
      <c r="E27" s="147" t="s">
        <v>322</v>
      </c>
      <c r="F27" s="149"/>
      <c r="G27" s="149"/>
      <c r="H27" s="149"/>
      <c r="I27" s="149"/>
      <c r="J27" s="149"/>
    </row>
    <row r="28" spans="2:11" ht="12.75" x14ac:dyDescent="0.2">
      <c r="B28" s="102"/>
    </row>
    <row r="29" spans="2:11" ht="15" customHeight="1" x14ac:dyDescent="0.2">
      <c r="B29" s="102"/>
      <c r="E29" s="147" t="s">
        <v>3275</v>
      </c>
      <c r="F29" s="149"/>
      <c r="G29" s="149"/>
      <c r="H29" s="149"/>
      <c r="I29" s="149"/>
      <c r="J29" s="149"/>
    </row>
    <row r="30" spans="2:11" ht="15" customHeight="1" x14ac:dyDescent="0.2">
      <c r="B30" s="102"/>
      <c r="E30" s="171" t="s">
        <v>1596</v>
      </c>
      <c r="F30" s="149"/>
      <c r="G30" s="149"/>
      <c r="H30" s="149"/>
      <c r="I30" s="149"/>
      <c r="J30" s="149"/>
    </row>
    <row r="31" spans="2:11" ht="12.75" x14ac:dyDescent="0.2">
      <c r="B31" s="102"/>
    </row>
    <row r="32" spans="2:11" ht="15" customHeight="1" x14ac:dyDescent="0.2">
      <c r="B32" s="102"/>
      <c r="E32" s="147" t="s">
        <v>1595</v>
      </c>
      <c r="F32" s="149"/>
      <c r="G32" s="149"/>
      <c r="H32" s="149"/>
      <c r="I32" s="149"/>
      <c r="J32" s="149"/>
    </row>
    <row r="33" spans="2:11" ht="76.5" customHeight="1" x14ac:dyDescent="0.2">
      <c r="B33" s="102"/>
      <c r="E33" s="171" t="s">
        <v>1594</v>
      </c>
      <c r="F33" s="171"/>
      <c r="G33" s="171"/>
      <c r="H33" s="171"/>
      <c r="I33" s="171"/>
      <c r="J33" s="171"/>
    </row>
    <row r="34" spans="2:11" ht="12.75" x14ac:dyDescent="0.2">
      <c r="B34" s="102"/>
    </row>
    <row r="35" spans="2:11" ht="25.5" customHeight="1" x14ac:dyDescent="0.2">
      <c r="B35" s="102"/>
      <c r="E35" s="152" t="s">
        <v>323</v>
      </c>
      <c r="F35" s="152"/>
      <c r="G35" s="152"/>
      <c r="H35" s="152"/>
      <c r="I35" s="152"/>
      <c r="J35" s="152"/>
    </row>
    <row r="36" spans="2:11" ht="25.5" customHeight="1" x14ac:dyDescent="0.2">
      <c r="B36" s="102"/>
      <c r="E36" s="172" t="s">
        <v>1788</v>
      </c>
      <c r="F36" s="173"/>
      <c r="G36" s="173"/>
      <c r="H36" s="173"/>
      <c r="I36" s="173"/>
      <c r="J36" s="174"/>
    </row>
    <row r="37" spans="2:11" ht="12.75" x14ac:dyDescent="0.2">
      <c r="B37" s="102"/>
    </row>
    <row r="38" spans="2:11" ht="12.75" x14ac:dyDescent="0.2">
      <c r="B38" s="102"/>
    </row>
    <row r="39" spans="2:11" ht="15.75" customHeight="1" x14ac:dyDescent="0.2">
      <c r="B39" s="102"/>
      <c r="E39" s="159" t="s">
        <v>324</v>
      </c>
      <c r="F39" s="159"/>
      <c r="G39" s="159"/>
      <c r="H39" s="159"/>
      <c r="I39" s="159"/>
      <c r="J39" s="159"/>
      <c r="K39" s="52" t="s">
        <v>325</v>
      </c>
    </row>
    <row r="40" spans="2:11" ht="25.5" customHeight="1" x14ac:dyDescent="0.2">
      <c r="B40" s="102"/>
      <c r="E40" s="152" t="s">
        <v>1593</v>
      </c>
      <c r="F40" s="152"/>
      <c r="G40" s="152"/>
      <c r="H40" s="152"/>
      <c r="I40" s="152"/>
      <c r="J40" s="152"/>
    </row>
    <row r="41" spans="2:11" ht="15" customHeight="1" x14ac:dyDescent="0.2">
      <c r="B41" s="102"/>
      <c r="E41" s="147" t="s">
        <v>3277</v>
      </c>
      <c r="F41" s="149"/>
      <c r="G41" s="149"/>
      <c r="H41" s="149"/>
      <c r="I41" s="149"/>
      <c r="J41" s="149"/>
    </row>
    <row r="42" spans="2:11" ht="12.75" x14ac:dyDescent="0.2">
      <c r="B42" s="102"/>
    </row>
    <row r="43" spans="2:11" ht="25.5" customHeight="1" x14ac:dyDescent="0.2">
      <c r="B43" s="102"/>
      <c r="E43" s="168" t="s">
        <v>1716</v>
      </c>
      <c r="F43" s="169"/>
      <c r="G43" s="169"/>
      <c r="H43" s="169"/>
      <c r="I43" s="169"/>
      <c r="J43" s="170"/>
    </row>
    <row r="44" spans="2:11" ht="15" customHeight="1" x14ac:dyDescent="0.2">
      <c r="B44" s="102"/>
      <c r="E44" s="147" t="s">
        <v>1386</v>
      </c>
      <c r="F44" s="149"/>
      <c r="G44" s="149"/>
      <c r="H44" s="149"/>
      <c r="I44" s="149"/>
      <c r="J44" s="149"/>
    </row>
    <row r="45" spans="2:11" ht="15" customHeight="1" x14ac:dyDescent="0.2">
      <c r="B45" s="102"/>
      <c r="E45" s="147" t="s">
        <v>326</v>
      </c>
      <c r="F45" s="147"/>
      <c r="G45" s="147"/>
      <c r="H45" s="147"/>
      <c r="I45" s="147"/>
      <c r="J45" s="147"/>
    </row>
    <row r="46" spans="2:11" ht="15" customHeight="1" x14ac:dyDescent="0.2">
      <c r="B46" s="102"/>
      <c r="E46" s="147" t="s">
        <v>327</v>
      </c>
      <c r="F46" s="149"/>
      <c r="G46" s="149"/>
      <c r="H46" s="149"/>
      <c r="I46" s="149"/>
      <c r="J46" s="149"/>
    </row>
    <row r="47" spans="2:11" ht="12.75" x14ac:dyDescent="0.2"/>
    <row r="48" spans="2:11" ht="15" customHeight="1" x14ac:dyDescent="0.2">
      <c r="E48" s="152" t="s">
        <v>328</v>
      </c>
      <c r="F48" s="149"/>
      <c r="G48" s="149"/>
      <c r="H48" s="149"/>
      <c r="I48" s="149"/>
      <c r="J48" s="149"/>
    </row>
    <row r="49" spans="5:11" ht="25.5" customHeight="1" x14ac:dyDescent="0.2">
      <c r="E49" s="172" t="s">
        <v>1789</v>
      </c>
      <c r="F49" s="173"/>
      <c r="G49" s="173"/>
      <c r="H49" s="173"/>
      <c r="I49" s="173"/>
      <c r="J49" s="174"/>
    </row>
    <row r="50" spans="5:11" ht="12.75" x14ac:dyDescent="0.2"/>
    <row r="51" spans="5:11" ht="12.75" x14ac:dyDescent="0.2"/>
    <row r="52" spans="5:11" ht="15.75" customHeight="1" x14ac:dyDescent="0.2">
      <c r="E52" s="159" t="s">
        <v>329</v>
      </c>
      <c r="F52" s="159"/>
      <c r="G52" s="159"/>
      <c r="H52" s="159"/>
      <c r="I52" s="159"/>
      <c r="J52" s="159"/>
      <c r="K52" s="52" t="s">
        <v>330</v>
      </c>
    </row>
    <row r="53" spans="5:11" ht="15" customHeight="1" x14ac:dyDescent="0.2">
      <c r="E53" s="152" t="s">
        <v>1592</v>
      </c>
      <c r="F53" s="149"/>
      <c r="G53" s="149"/>
      <c r="H53" s="149"/>
      <c r="I53" s="149"/>
      <c r="J53" s="149"/>
    </row>
    <row r="54" spans="5:11" ht="15" customHeight="1" x14ac:dyDescent="0.2">
      <c r="E54" s="147" t="s">
        <v>331</v>
      </c>
      <c r="F54" s="149"/>
      <c r="G54" s="149"/>
      <c r="H54" s="149"/>
      <c r="I54" s="149"/>
      <c r="J54" s="149"/>
    </row>
    <row r="55" spans="5:11" ht="12.75" x14ac:dyDescent="0.2"/>
    <row r="56" spans="5:11" ht="25.5" customHeight="1" x14ac:dyDescent="0.2">
      <c r="E56" s="168" t="s">
        <v>1716</v>
      </c>
      <c r="F56" s="169"/>
      <c r="G56" s="169"/>
      <c r="H56" s="169"/>
      <c r="I56" s="169"/>
      <c r="J56" s="170"/>
    </row>
    <row r="57" spans="5:11" ht="15" customHeight="1" x14ac:dyDescent="0.2">
      <c r="E57" s="147" t="s">
        <v>1386</v>
      </c>
      <c r="F57" s="149"/>
      <c r="G57" s="149"/>
      <c r="H57" s="149"/>
      <c r="I57" s="149"/>
      <c r="J57" s="149"/>
    </row>
    <row r="58" spans="5:11" ht="15" customHeight="1" x14ac:dyDescent="0.2">
      <c r="E58" s="147" t="s">
        <v>1591</v>
      </c>
      <c r="F58" s="149"/>
      <c r="G58" s="149"/>
      <c r="H58" s="149"/>
      <c r="I58" s="149"/>
      <c r="J58" s="149"/>
    </row>
    <row r="59" spans="5:11" ht="15" customHeight="1" x14ac:dyDescent="0.2">
      <c r="E59" s="147" t="s">
        <v>332</v>
      </c>
      <c r="F59" s="149"/>
      <c r="G59" s="149"/>
      <c r="H59" s="149"/>
      <c r="I59" s="149"/>
      <c r="J59" s="149"/>
    </row>
    <row r="60" spans="5:11" ht="12.75" x14ac:dyDescent="0.2"/>
    <row r="61" spans="5:11" ht="15" customHeight="1" x14ac:dyDescent="0.2">
      <c r="E61" s="152" t="s">
        <v>1590</v>
      </c>
      <c r="F61" s="149"/>
      <c r="G61" s="149"/>
      <c r="H61" s="149"/>
      <c r="I61" s="149"/>
      <c r="J61" s="149"/>
    </row>
    <row r="62" spans="5:11" ht="25.5" customHeight="1" x14ac:dyDescent="0.2">
      <c r="E62" s="172" t="s">
        <v>1790</v>
      </c>
      <c r="F62" s="173"/>
      <c r="G62" s="173"/>
      <c r="H62" s="173"/>
      <c r="I62" s="173"/>
      <c r="J62" s="174"/>
    </row>
    <row r="63" spans="5:11" ht="12.75" x14ac:dyDescent="0.2"/>
    <row r="64" spans="5:11" ht="12.75" x14ac:dyDescent="0.2"/>
    <row r="65" spans="5:11" ht="15.75" customHeight="1" x14ac:dyDescent="0.2">
      <c r="E65" s="159" t="s">
        <v>333</v>
      </c>
      <c r="F65" s="159"/>
      <c r="G65" s="159"/>
      <c r="H65" s="159"/>
      <c r="I65" s="159"/>
      <c r="J65" s="159"/>
      <c r="K65" s="52" t="s">
        <v>334</v>
      </c>
    </row>
    <row r="66" spans="5:11" ht="25.5" customHeight="1" x14ac:dyDescent="0.2">
      <c r="E66" s="152" t="s">
        <v>335</v>
      </c>
      <c r="F66" s="152"/>
      <c r="G66" s="152"/>
      <c r="H66" s="152"/>
      <c r="I66" s="152"/>
      <c r="J66" s="152"/>
    </row>
    <row r="67" spans="5:11" ht="15" customHeight="1" x14ac:dyDescent="0.2">
      <c r="E67" s="147" t="s">
        <v>336</v>
      </c>
      <c r="F67" s="149"/>
      <c r="G67" s="149"/>
      <c r="H67" s="149"/>
      <c r="I67" s="149"/>
      <c r="J67" s="149"/>
    </row>
    <row r="68" spans="5:11" ht="12.75" x14ac:dyDescent="0.2"/>
    <row r="69" spans="5:11" ht="25.5" customHeight="1" x14ac:dyDescent="0.2">
      <c r="E69" s="168" t="s">
        <v>1716</v>
      </c>
      <c r="F69" s="169"/>
      <c r="G69" s="169"/>
      <c r="H69" s="169"/>
      <c r="I69" s="169"/>
      <c r="J69" s="170"/>
    </row>
    <row r="70" spans="5:11" ht="15" customHeight="1" x14ac:dyDescent="0.2">
      <c r="E70" s="147" t="s">
        <v>1386</v>
      </c>
      <c r="F70" s="149"/>
      <c r="G70" s="149"/>
      <c r="H70" s="149"/>
      <c r="I70" s="149"/>
      <c r="J70" s="149"/>
    </row>
    <row r="71" spans="5:11" ht="15" customHeight="1" x14ac:dyDescent="0.2">
      <c r="E71" s="147" t="s">
        <v>337</v>
      </c>
      <c r="F71" s="149"/>
      <c r="G71" s="149"/>
      <c r="H71" s="149"/>
      <c r="I71" s="149"/>
      <c r="J71" s="149"/>
    </row>
    <row r="72" spans="5:11" ht="12.75" x14ac:dyDescent="0.2"/>
    <row r="73" spans="5:11" ht="25.5" customHeight="1" x14ac:dyDescent="0.2">
      <c r="E73" s="152" t="s">
        <v>338</v>
      </c>
      <c r="F73" s="152"/>
      <c r="G73" s="152"/>
      <c r="H73" s="152"/>
      <c r="I73" s="152"/>
      <c r="J73" s="152"/>
    </row>
    <row r="74" spans="5:11" ht="25.5" customHeight="1" x14ac:dyDescent="0.2">
      <c r="E74" s="172" t="s">
        <v>1791</v>
      </c>
      <c r="F74" s="173"/>
      <c r="G74" s="173"/>
      <c r="H74" s="173"/>
      <c r="I74" s="173"/>
      <c r="J74" s="174"/>
    </row>
    <row r="75" spans="5:11" ht="12.75" x14ac:dyDescent="0.2"/>
    <row r="76" spans="5:11" ht="12.75" x14ac:dyDescent="0.2"/>
    <row r="77" spans="5:11" ht="15.75" customHeight="1" x14ac:dyDescent="0.2">
      <c r="E77" s="159" t="s">
        <v>339</v>
      </c>
      <c r="F77" s="159"/>
      <c r="G77" s="159"/>
      <c r="H77" s="159"/>
      <c r="I77" s="159"/>
      <c r="J77" s="159"/>
      <c r="K77" s="52" t="s">
        <v>340</v>
      </c>
    </row>
    <row r="78" spans="5:11" ht="25.5" customHeight="1" x14ac:dyDescent="0.2">
      <c r="E78" s="152" t="s">
        <v>1387</v>
      </c>
      <c r="F78" s="152"/>
      <c r="G78" s="152"/>
      <c r="H78" s="152"/>
      <c r="I78" s="152"/>
      <c r="J78" s="152"/>
    </row>
    <row r="79" spans="5:11" ht="15" customHeight="1" x14ac:dyDescent="0.2">
      <c r="E79" s="147" t="s">
        <v>341</v>
      </c>
      <c r="F79" s="149"/>
      <c r="G79" s="149"/>
      <c r="H79" s="149"/>
      <c r="I79" s="149"/>
      <c r="J79" s="149"/>
    </row>
    <row r="80" spans="5:11" ht="12.75" x14ac:dyDescent="0.2"/>
    <row r="81" spans="5:10" ht="25.5" customHeight="1" x14ac:dyDescent="0.2">
      <c r="E81" s="168" t="s">
        <v>1716</v>
      </c>
      <c r="F81" s="169"/>
      <c r="G81" s="169"/>
      <c r="H81" s="169"/>
      <c r="I81" s="169"/>
      <c r="J81" s="170"/>
    </row>
    <row r="82" spans="5:10" ht="15" customHeight="1" x14ac:dyDescent="0.2">
      <c r="E82" s="147" t="s">
        <v>1386</v>
      </c>
      <c r="F82" s="149"/>
      <c r="G82" s="149"/>
      <c r="H82" s="149"/>
      <c r="I82" s="149"/>
      <c r="J82" s="149"/>
    </row>
    <row r="83" spans="5:10" ht="15" customHeight="1" x14ac:dyDescent="0.2">
      <c r="E83" s="147" t="s">
        <v>342</v>
      </c>
      <c r="F83" s="149"/>
      <c r="G83" s="149"/>
      <c r="H83" s="149"/>
      <c r="I83" s="149"/>
      <c r="J83" s="149"/>
    </row>
    <row r="84" spans="5:10" ht="12.75" x14ac:dyDescent="0.2"/>
    <row r="85" spans="5:10" ht="25.5" customHeight="1" x14ac:dyDescent="0.2">
      <c r="E85" s="152" t="s">
        <v>343</v>
      </c>
      <c r="F85" s="152"/>
      <c r="G85" s="152"/>
      <c r="H85" s="152"/>
      <c r="I85" s="152"/>
      <c r="J85" s="152"/>
    </row>
    <row r="86" spans="5:10" ht="15" customHeight="1" x14ac:dyDescent="0.2">
      <c r="E86" s="172" t="s">
        <v>1792</v>
      </c>
      <c r="F86" s="173"/>
      <c r="G86" s="173"/>
      <c r="H86" s="173"/>
      <c r="I86" s="173"/>
      <c r="J86" s="174"/>
    </row>
    <row r="87" spans="5:10" ht="12.75" x14ac:dyDescent="0.2"/>
  </sheetData>
  <mergeCells count="52">
    <mergeCell ref="E6:L7"/>
    <mergeCell ref="E57:J57"/>
    <mergeCell ref="E26:J26"/>
    <mergeCell ref="E29:J29"/>
    <mergeCell ref="E53:J53"/>
    <mergeCell ref="E25:J25"/>
    <mergeCell ref="E44:J44"/>
    <mergeCell ref="E15:J17"/>
    <mergeCell ref="E56:J56"/>
    <mergeCell ref="E23:J23"/>
    <mergeCell ref="E52:J52"/>
    <mergeCell ref="E9:J11"/>
    <mergeCell ref="E22:J22"/>
    <mergeCell ref="E21:J21"/>
    <mergeCell ref="E18:J18"/>
    <mergeCell ref="E27:J27"/>
    <mergeCell ref="E40:J40"/>
    <mergeCell ref="E39:J39"/>
    <mergeCell ref="E35:J35"/>
    <mergeCell ref="E33:J33"/>
    <mergeCell ref="E66:J66"/>
    <mergeCell ref="E59:J59"/>
    <mergeCell ref="E49:J49"/>
    <mergeCell ref="E45:J45"/>
    <mergeCell ref="E86:J86"/>
    <mergeCell ref="E85:J85"/>
    <mergeCell ref="E67:J67"/>
    <mergeCell ref="E65:J65"/>
    <mergeCell ref="E62:J62"/>
    <mergeCell ref="E83:J83"/>
    <mergeCell ref="E78:J78"/>
    <mergeCell ref="E77:J77"/>
    <mergeCell ref="E74:J74"/>
    <mergeCell ref="E73:J73"/>
    <mergeCell ref="E70:J70"/>
    <mergeCell ref="E69:J69"/>
    <mergeCell ref="E3:L4"/>
    <mergeCell ref="E82:J82"/>
    <mergeCell ref="E32:J32"/>
    <mergeCell ref="E41:J41"/>
    <mergeCell ref="E54:J54"/>
    <mergeCell ref="E79:J79"/>
    <mergeCell ref="E43:J43"/>
    <mergeCell ref="E71:J71"/>
    <mergeCell ref="E12:J14"/>
    <mergeCell ref="E81:J81"/>
    <mergeCell ref="E46:J46"/>
    <mergeCell ref="E58:J58"/>
    <mergeCell ref="E30:J30"/>
    <mergeCell ref="E48:J48"/>
    <mergeCell ref="E61:J61"/>
    <mergeCell ref="E36:J36"/>
  </mergeCells>
  <hyperlinks>
    <hyperlink ref="B2" location="'Start here'!E6" tooltip="back to Start here" display="⌂  CompBot Tutorial" xr:uid="{00000000-0004-0000-0300-000000000000}"/>
    <hyperlink ref="B6" location="'Start here'!E6" display="▸  START" xr:uid="{026D05F8-C219-42EF-BC17-20615FB621E6}"/>
    <hyperlink ref="B7" location="'C1 Your machine'!E6" display="▾  COMMANDS" xr:uid="{76280AE1-6B8F-48A1-8030-2FE3259CCF95}"/>
    <hyperlink ref="B9" location="'C2 Open the case'!E6" display="C2 Open the case" xr:uid="{D2116338-0515-48B3-85AE-4A1C7FB640B9}"/>
    <hyperlink ref="B10" location="'C3 Read the questions'!E6" display="C3 Read the questions" xr:uid="{4947BF0E-1FDB-4F6F-A63C-7AA1167ED635}"/>
    <hyperlink ref="B11" location="'C4 Solve a level'!E6" display="C4 Solve a level" xr:uid="{844B8AFB-E58F-4994-9C5D-A1F855E50888}"/>
    <hyperlink ref="B12" location="'C5 Wrap a formula'!E6" display="C5 Wrap a formula" xr:uid="{6DFC1A0D-78A7-4F5E-B7D9-BC6C2B70FC1C}"/>
    <hyperlink ref="B13" location="'C6 Text, codes and lookups'!E6" display="C6 Text, codes and lookups" xr:uid="{1DF8A687-ACA9-4A65-A594-EC16AE7202B3}"/>
    <hyperlink ref="B14" location="'C7 Maps, grids and sheets'!E6" display="C7 Maps, grids and sheets" xr:uid="{AF2A3F39-DCD3-4798-B947-624640130EDC}"/>
    <hyperlink ref="B15" location="'C8 Housekeeping'!E6" display="C8 Housekeeping" xr:uid="{C5D6E7F3-38FB-4859-AC31-07638DBD587E}"/>
    <hyperlink ref="B16" location="'Demo maps'!E6" display="▸  DEMO SHEETS" xr:uid="{7C358632-60E2-4FE8-87FC-6C9CDCF682CE}"/>
    <hyperlink ref="B17" location="'Level 1 Basics'!E6" display="▸  LAMBDAS" xr:uid="{5C84694B-ADE3-4924-A6C3-3D3EF8BB9FE8}"/>
    <hyperlink ref="B19" location="'Command cheat sheet'!E6" display="▸  REFERENCE" xr:uid="{45586E3D-58D5-4AAF-9A44-14BDA2F8A272}"/>
    <hyperlink ref="B18" location="'I1 The Alves Method'!E6" display="▸  INSIDER" xr:uid="{E82AD86C-EAE1-4067-86E7-B65FCA0BD4CC}"/>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1A5FB4"/>
  </sheetPr>
  <dimension ref="A1:L223"/>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9" customWidth="1"/>
    <col min="2" max="2" width="27" style="19" customWidth="1"/>
    <col min="3" max="3" width="1.5" style="19" customWidth="1"/>
    <col min="4" max="4" width="2.5" customWidth="1"/>
    <col min="5" max="10" width="14.5" customWidth="1"/>
    <col min="11" max="11" width="44" customWidth="1"/>
    <col min="12" max="12" width="46" customWidth="1"/>
  </cols>
  <sheetData>
    <row r="1" spans="2:12" ht="12.75" x14ac:dyDescent="0.2"/>
    <row r="2" spans="2:12" ht="30" customHeight="1" x14ac:dyDescent="0.3">
      <c r="B2" s="20" t="s">
        <v>0</v>
      </c>
      <c r="E2" s="3" t="s">
        <v>344</v>
      </c>
    </row>
    <row r="3" spans="2:12" ht="15" customHeight="1" x14ac:dyDescent="0.2">
      <c r="B3" s="21" t="s">
        <v>2</v>
      </c>
      <c r="E3" s="147" t="s">
        <v>1600</v>
      </c>
      <c r="F3" s="148"/>
      <c r="G3" s="148"/>
      <c r="H3" s="148"/>
      <c r="I3" s="148"/>
      <c r="J3" s="148"/>
      <c r="K3" s="148"/>
      <c r="L3" s="148"/>
    </row>
    <row r="4" spans="2:12" ht="15" customHeight="1" x14ac:dyDescent="0.2">
      <c r="E4" s="148"/>
      <c r="F4" s="148"/>
      <c r="G4" s="148"/>
      <c r="H4" s="148"/>
      <c r="I4" s="148"/>
      <c r="J4" s="148"/>
      <c r="K4" s="148"/>
      <c r="L4" s="148"/>
    </row>
    <row r="5" spans="2:12" ht="12.75" x14ac:dyDescent="0.2"/>
    <row r="6" spans="2:12" ht="15" customHeight="1" x14ac:dyDescent="0.2">
      <c r="B6" s="103" t="s">
        <v>315</v>
      </c>
      <c r="E6" s="177" t="s">
        <v>1601</v>
      </c>
      <c r="F6" s="177"/>
      <c r="G6" s="177"/>
      <c r="H6" s="177"/>
      <c r="I6" s="177"/>
      <c r="J6" s="177"/>
    </row>
    <row r="7" spans="2:12" ht="15" customHeight="1" x14ac:dyDescent="0.2">
      <c r="B7" s="103" t="s">
        <v>317</v>
      </c>
      <c r="E7" s="177"/>
      <c r="F7" s="177"/>
      <c r="G7" s="177"/>
      <c r="H7" s="177"/>
      <c r="I7" s="177"/>
      <c r="J7" s="177"/>
    </row>
    <row r="8" spans="2:12" ht="15" customHeight="1" x14ac:dyDescent="0.2">
      <c r="B8" s="105" t="s">
        <v>32</v>
      </c>
      <c r="E8" s="177"/>
      <c r="F8" s="177"/>
      <c r="G8" s="177"/>
      <c r="H8" s="177"/>
      <c r="I8" s="177"/>
      <c r="J8" s="177"/>
    </row>
    <row r="9" spans="2:12" ht="15" customHeight="1" x14ac:dyDescent="0.2">
      <c r="B9" s="104" t="s">
        <v>35</v>
      </c>
    </row>
    <row r="10" spans="2:12" ht="15" customHeight="1" x14ac:dyDescent="0.2">
      <c r="B10" s="105" t="s">
        <v>37</v>
      </c>
    </row>
    <row r="11" spans="2:12" ht="15" customHeight="1" x14ac:dyDescent="0.2">
      <c r="B11" s="105" t="s">
        <v>39</v>
      </c>
      <c r="E11" s="186" t="s">
        <v>360</v>
      </c>
      <c r="F11" s="186"/>
      <c r="G11" s="186"/>
      <c r="H11" s="186"/>
      <c r="I11" s="186"/>
      <c r="J11" s="186"/>
      <c r="K11" s="185" t="s">
        <v>1602</v>
      </c>
    </row>
    <row r="12" spans="2:12" ht="15" customHeight="1" x14ac:dyDescent="0.2">
      <c r="B12" s="105" t="s">
        <v>40</v>
      </c>
      <c r="E12" s="186"/>
      <c r="F12" s="186"/>
      <c r="G12" s="186"/>
      <c r="H12" s="186"/>
      <c r="I12" s="186"/>
      <c r="J12" s="186"/>
      <c r="K12" s="185"/>
    </row>
    <row r="13" spans="2:12" ht="15" customHeight="1" x14ac:dyDescent="0.2">
      <c r="B13" s="105" t="s">
        <v>42</v>
      </c>
      <c r="E13" s="177" t="s">
        <v>3456</v>
      </c>
      <c r="F13" s="177"/>
      <c r="G13" s="177"/>
      <c r="H13" s="177"/>
      <c r="I13" s="177"/>
      <c r="J13" s="177"/>
    </row>
    <row r="14" spans="2:12" ht="15" customHeight="1" x14ac:dyDescent="0.2">
      <c r="B14" s="105" t="s">
        <v>44</v>
      </c>
      <c r="E14" s="177"/>
      <c r="F14" s="177"/>
      <c r="G14" s="177"/>
      <c r="H14" s="177"/>
      <c r="I14" s="177"/>
      <c r="J14" s="177"/>
    </row>
    <row r="15" spans="2:12" ht="15" customHeight="1" x14ac:dyDescent="0.2">
      <c r="B15" s="105" t="s">
        <v>46</v>
      </c>
      <c r="E15" s="177"/>
      <c r="F15" s="177"/>
      <c r="G15" s="177"/>
      <c r="H15" s="177"/>
      <c r="I15" s="177"/>
      <c r="J15" s="177"/>
    </row>
    <row r="16" spans="2:12" ht="15" customHeight="1" x14ac:dyDescent="0.2">
      <c r="B16" s="103" t="s">
        <v>11</v>
      </c>
      <c r="E16" s="176" t="s">
        <v>3451</v>
      </c>
      <c r="F16" s="176"/>
      <c r="G16" s="176"/>
      <c r="H16" s="176"/>
      <c r="I16" s="176"/>
      <c r="J16" s="176"/>
    </row>
    <row r="17" spans="2:11" ht="17.25" customHeight="1" x14ac:dyDescent="0.2">
      <c r="B17" s="103" t="s">
        <v>13</v>
      </c>
      <c r="E17" s="176"/>
      <c r="F17" s="176"/>
      <c r="G17" s="176"/>
      <c r="H17" s="176"/>
      <c r="I17" s="176"/>
      <c r="J17" s="176"/>
    </row>
    <row r="18" spans="2:11" ht="15" customHeight="1" x14ac:dyDescent="0.2">
      <c r="B18" s="103" t="s">
        <v>3407</v>
      </c>
    </row>
    <row r="19" spans="2:11" ht="15" customHeight="1" x14ac:dyDescent="0.2">
      <c r="B19" s="103" t="s">
        <v>14</v>
      </c>
      <c r="E19" s="187" t="s">
        <v>1692</v>
      </c>
      <c r="F19" s="188"/>
      <c r="G19" s="188"/>
      <c r="H19" s="188"/>
      <c r="I19" s="188"/>
      <c r="J19" s="189"/>
    </row>
    <row r="20" spans="2:11" ht="15" customHeight="1" x14ac:dyDescent="0.2">
      <c r="B20" s="102"/>
      <c r="E20" s="190"/>
      <c r="F20" s="191"/>
      <c r="G20" s="191"/>
      <c r="H20" s="191"/>
      <c r="I20" s="191"/>
      <c r="J20" s="192"/>
    </row>
    <row r="21" spans="2:11" ht="15" customHeight="1" x14ac:dyDescent="0.2">
      <c r="B21" s="102"/>
      <c r="E21" s="176" t="s">
        <v>1386</v>
      </c>
      <c r="F21" s="176"/>
      <c r="G21" s="176"/>
      <c r="H21" s="176"/>
      <c r="I21" s="176"/>
      <c r="J21" s="176"/>
    </row>
    <row r="22" spans="2:11" ht="21.75" customHeight="1" x14ac:dyDescent="0.2">
      <c r="B22" s="102"/>
      <c r="E22" s="176" t="s">
        <v>1603</v>
      </c>
      <c r="F22" s="176"/>
      <c r="G22" s="176"/>
      <c r="H22" s="176"/>
      <c r="I22" s="176"/>
      <c r="J22" s="176"/>
    </row>
    <row r="23" spans="2:11" ht="15" customHeight="1" x14ac:dyDescent="0.2">
      <c r="B23" s="102"/>
      <c r="E23" s="176" t="s">
        <v>1604</v>
      </c>
      <c r="F23" s="176"/>
      <c r="G23" s="176"/>
      <c r="H23" s="176"/>
      <c r="I23" s="176"/>
      <c r="J23" s="176"/>
    </row>
    <row r="24" spans="2:11" ht="15" customHeight="1" x14ac:dyDescent="0.2">
      <c r="B24" s="102"/>
    </row>
    <row r="25" spans="2:11" ht="15" customHeight="1" x14ac:dyDescent="0.2">
      <c r="B25" s="102"/>
      <c r="E25" s="177" t="s">
        <v>1605</v>
      </c>
      <c r="F25" s="177"/>
      <c r="G25" s="177"/>
      <c r="H25" s="177"/>
      <c r="I25" s="177"/>
      <c r="J25" s="177"/>
    </row>
    <row r="26" spans="2:11" ht="25.5" customHeight="1" x14ac:dyDescent="0.2">
      <c r="B26" s="102"/>
      <c r="E26" s="156" t="s">
        <v>1889</v>
      </c>
      <c r="F26" s="157"/>
      <c r="G26" s="157"/>
      <c r="H26" s="157"/>
      <c r="I26" s="157"/>
      <c r="J26" s="158"/>
    </row>
    <row r="27" spans="2:11" ht="15" customHeight="1" x14ac:dyDescent="0.2">
      <c r="B27" s="102"/>
    </row>
    <row r="28" spans="2:11" ht="15" customHeight="1" x14ac:dyDescent="0.2">
      <c r="B28" s="102"/>
    </row>
    <row r="29" spans="2:11" ht="15.75" customHeight="1" x14ac:dyDescent="0.2">
      <c r="B29" s="102"/>
      <c r="E29" s="175" t="s">
        <v>1606</v>
      </c>
      <c r="F29" s="175"/>
      <c r="G29" s="175"/>
      <c r="H29" s="175"/>
      <c r="I29" s="175"/>
      <c r="J29" s="175"/>
      <c r="K29" s="58" t="s">
        <v>1607</v>
      </c>
    </row>
    <row r="30" spans="2:11" ht="38.25" customHeight="1" x14ac:dyDescent="0.2">
      <c r="B30" s="102"/>
      <c r="E30" s="177" t="s">
        <v>1608</v>
      </c>
      <c r="F30" s="177"/>
      <c r="G30" s="177"/>
      <c r="H30" s="177"/>
      <c r="I30" s="177"/>
      <c r="J30" s="177"/>
    </row>
    <row r="31" spans="2:11" ht="21.75" customHeight="1" x14ac:dyDescent="0.2">
      <c r="B31" s="102"/>
      <c r="E31" s="176" t="s">
        <v>1609</v>
      </c>
      <c r="F31" s="176"/>
      <c r="G31" s="176"/>
      <c r="H31" s="176"/>
      <c r="I31" s="176"/>
      <c r="J31" s="176"/>
    </row>
    <row r="32" spans="2:11" ht="15" customHeight="1" x14ac:dyDescent="0.2">
      <c r="B32" s="102"/>
    </row>
    <row r="33" spans="2:11" ht="15" customHeight="1" x14ac:dyDescent="0.2">
      <c r="B33" s="102"/>
      <c r="E33" s="168" t="s">
        <v>1717</v>
      </c>
      <c r="F33" s="169"/>
      <c r="G33" s="169"/>
      <c r="H33" s="169"/>
      <c r="I33" s="169"/>
      <c r="J33" s="170"/>
    </row>
    <row r="34" spans="2:11" ht="15" customHeight="1" x14ac:dyDescent="0.2">
      <c r="B34" s="102"/>
      <c r="E34" s="176" t="s">
        <v>1386</v>
      </c>
      <c r="F34" s="176"/>
      <c r="G34" s="176"/>
      <c r="H34" s="176"/>
      <c r="I34" s="176"/>
      <c r="J34" s="176"/>
    </row>
    <row r="35" spans="2:11" ht="15" customHeight="1" x14ac:dyDescent="0.2">
      <c r="B35" s="102"/>
      <c r="E35" s="176" t="s">
        <v>1610</v>
      </c>
      <c r="F35" s="176"/>
      <c r="G35" s="176"/>
      <c r="H35" s="176"/>
      <c r="I35" s="176"/>
      <c r="J35" s="176"/>
    </row>
    <row r="36" spans="2:11" ht="21.75" customHeight="1" x14ac:dyDescent="0.2">
      <c r="B36" s="102"/>
      <c r="E36" s="176" t="s">
        <v>1900</v>
      </c>
      <c r="F36" s="176"/>
      <c r="G36" s="176"/>
      <c r="H36" s="176"/>
      <c r="I36" s="176"/>
      <c r="J36" s="176"/>
    </row>
    <row r="37" spans="2:11" ht="15" customHeight="1" x14ac:dyDescent="0.2">
      <c r="B37" s="102"/>
    </row>
    <row r="38" spans="2:11" ht="38.25" customHeight="1" x14ac:dyDescent="0.2">
      <c r="B38" s="102"/>
      <c r="E38" s="177" t="s">
        <v>1901</v>
      </c>
      <c r="F38" s="177"/>
      <c r="G38" s="177"/>
      <c r="H38" s="177"/>
      <c r="I38" s="177"/>
      <c r="J38" s="177"/>
    </row>
    <row r="39" spans="2:11" ht="25.5" customHeight="1" x14ac:dyDescent="0.2">
      <c r="B39" s="102"/>
      <c r="E39" s="156" t="s">
        <v>1902</v>
      </c>
      <c r="F39" s="157"/>
      <c r="G39" s="157"/>
      <c r="H39" s="157"/>
      <c r="I39" s="157"/>
      <c r="J39" s="158"/>
    </row>
    <row r="40" spans="2:11" ht="15" customHeight="1" x14ac:dyDescent="0.2">
      <c r="B40" s="102"/>
    </row>
    <row r="41" spans="2:11" ht="15" customHeight="1" x14ac:dyDescent="0.2">
      <c r="B41" s="102"/>
    </row>
    <row r="42" spans="2:11" ht="15.75" customHeight="1" x14ac:dyDescent="0.2">
      <c r="B42" s="102"/>
      <c r="E42" s="175" t="s">
        <v>345</v>
      </c>
      <c r="F42" s="175"/>
      <c r="G42" s="175"/>
      <c r="H42" s="175"/>
      <c r="I42" s="175"/>
      <c r="J42" s="175"/>
      <c r="K42" s="58" t="s">
        <v>346</v>
      </c>
    </row>
    <row r="43" spans="2:11" ht="38.25" customHeight="1" x14ac:dyDescent="0.2">
      <c r="B43" s="102"/>
      <c r="E43" s="177" t="s">
        <v>1875</v>
      </c>
      <c r="F43" s="177"/>
      <c r="G43" s="177"/>
      <c r="H43" s="177"/>
      <c r="I43" s="177"/>
      <c r="J43" s="177"/>
    </row>
    <row r="44" spans="2:11" ht="15" customHeight="1" x14ac:dyDescent="0.2">
      <c r="B44" s="102"/>
      <c r="E44" s="176" t="s">
        <v>347</v>
      </c>
      <c r="F44" s="176"/>
      <c r="G44" s="176"/>
      <c r="H44" s="176"/>
      <c r="I44" s="176"/>
      <c r="J44" s="176"/>
    </row>
    <row r="45" spans="2:11" ht="15" customHeight="1" x14ac:dyDescent="0.2">
      <c r="B45" s="102"/>
    </row>
    <row r="46" spans="2:11" ht="25.5" customHeight="1" x14ac:dyDescent="0.2">
      <c r="B46" s="102"/>
      <c r="E46" s="182" t="s">
        <v>1718</v>
      </c>
      <c r="F46" s="183"/>
      <c r="G46" s="183"/>
      <c r="H46" s="183"/>
      <c r="I46" s="183"/>
      <c r="J46" s="184"/>
    </row>
    <row r="47" spans="2:11" ht="15" customHeight="1" x14ac:dyDescent="0.2">
      <c r="E47" s="176" t="s">
        <v>348</v>
      </c>
      <c r="F47" s="176"/>
      <c r="G47" s="176"/>
      <c r="H47" s="176"/>
      <c r="I47" s="176"/>
      <c r="J47" s="176"/>
    </row>
    <row r="48" spans="2:11" ht="15" customHeight="1" x14ac:dyDescent="0.2">
      <c r="E48" s="176" t="s">
        <v>349</v>
      </c>
      <c r="F48" s="176"/>
      <c r="G48" s="176"/>
      <c r="H48" s="176"/>
      <c r="I48" s="176"/>
      <c r="J48" s="176"/>
    </row>
    <row r="49" spans="5:11" ht="15" customHeight="1" x14ac:dyDescent="0.2">
      <c r="E49" s="176" t="s">
        <v>1611</v>
      </c>
      <c r="F49" s="176"/>
      <c r="G49" s="176"/>
      <c r="H49" s="176"/>
      <c r="I49" s="176"/>
      <c r="J49" s="176"/>
    </row>
    <row r="51" spans="5:11" ht="15" customHeight="1" x14ac:dyDescent="0.2">
      <c r="E51" s="177" t="s">
        <v>350</v>
      </c>
      <c r="F51" s="177"/>
      <c r="G51" s="177"/>
      <c r="H51" s="177"/>
      <c r="I51" s="177"/>
      <c r="J51" s="177"/>
    </row>
    <row r="52" spans="5:11" ht="15" customHeight="1" x14ac:dyDescent="0.2">
      <c r="E52" s="156" t="s">
        <v>1793</v>
      </c>
      <c r="F52" s="157"/>
      <c r="G52" s="157"/>
      <c r="H52" s="157"/>
      <c r="I52" s="157"/>
      <c r="J52" s="158"/>
    </row>
    <row r="55" spans="5:11" ht="15.75" customHeight="1" x14ac:dyDescent="0.2">
      <c r="E55" s="175" t="s">
        <v>351</v>
      </c>
      <c r="F55" s="175"/>
      <c r="G55" s="175"/>
      <c r="H55" s="175"/>
      <c r="I55" s="175"/>
      <c r="J55" s="175"/>
      <c r="K55" s="58" t="s">
        <v>352</v>
      </c>
    </row>
    <row r="56" spans="5:11" ht="25.5" customHeight="1" x14ac:dyDescent="0.2">
      <c r="E56" s="177" t="s">
        <v>1876</v>
      </c>
      <c r="F56" s="177"/>
      <c r="G56" s="177"/>
      <c r="H56" s="177"/>
      <c r="I56" s="177"/>
      <c r="J56" s="177"/>
    </row>
    <row r="57" spans="5:11" ht="15" customHeight="1" x14ac:dyDescent="0.2">
      <c r="E57" s="176" t="s">
        <v>353</v>
      </c>
      <c r="F57" s="176"/>
      <c r="G57" s="176"/>
      <c r="H57" s="176"/>
      <c r="I57" s="176"/>
      <c r="J57" s="176"/>
    </row>
    <row r="59" spans="5:11" ht="25.5" customHeight="1" x14ac:dyDescent="0.2">
      <c r="E59" s="193" t="s">
        <v>1877</v>
      </c>
      <c r="F59" s="194"/>
      <c r="G59" s="194"/>
      <c r="H59" s="194"/>
      <c r="I59" s="194"/>
      <c r="J59" s="195"/>
    </row>
    <row r="60" spans="5:11" ht="15" customHeight="1" x14ac:dyDescent="0.2">
      <c r="E60" s="176" t="s">
        <v>1386</v>
      </c>
      <c r="F60" s="176"/>
      <c r="G60" s="176"/>
      <c r="H60" s="176"/>
      <c r="I60" s="176"/>
      <c r="J60" s="176"/>
    </row>
    <row r="61" spans="5:11" ht="15" customHeight="1" x14ac:dyDescent="0.2">
      <c r="E61" s="176" t="s">
        <v>354</v>
      </c>
      <c r="F61" s="176"/>
      <c r="G61" s="176"/>
      <c r="H61" s="176"/>
      <c r="I61" s="176"/>
      <c r="J61" s="176"/>
    </row>
    <row r="63" spans="5:11" ht="25.5" customHeight="1" x14ac:dyDescent="0.2">
      <c r="E63" s="177" t="s">
        <v>1612</v>
      </c>
      <c r="F63" s="177"/>
      <c r="G63" s="177"/>
      <c r="H63" s="177"/>
      <c r="I63" s="177"/>
      <c r="J63" s="177"/>
    </row>
    <row r="64" spans="5:11" ht="15" customHeight="1" x14ac:dyDescent="0.2">
      <c r="E64" s="156" t="s">
        <v>1794</v>
      </c>
      <c r="F64" s="157"/>
      <c r="G64" s="157"/>
      <c r="H64" s="157"/>
      <c r="I64" s="157"/>
      <c r="J64" s="158"/>
    </row>
    <row r="67" spans="5:11" ht="15.75" customHeight="1" x14ac:dyDescent="0.2">
      <c r="E67" s="175" t="s">
        <v>789</v>
      </c>
      <c r="F67" s="175"/>
      <c r="G67" s="175"/>
      <c r="H67" s="175"/>
      <c r="I67" s="175"/>
      <c r="J67" s="175"/>
      <c r="K67" s="58" t="s">
        <v>790</v>
      </c>
    </row>
    <row r="68" spans="5:11" ht="25.5" customHeight="1" x14ac:dyDescent="0.2">
      <c r="E68" s="177" t="s">
        <v>1878</v>
      </c>
      <c r="F68" s="177"/>
      <c r="G68" s="177"/>
      <c r="H68" s="177"/>
      <c r="I68" s="177"/>
      <c r="J68" s="177"/>
    </row>
    <row r="69" spans="5:11" ht="15" customHeight="1" x14ac:dyDescent="0.2">
      <c r="E69" s="176" t="s">
        <v>791</v>
      </c>
      <c r="F69" s="176"/>
      <c r="G69" s="176"/>
      <c r="H69" s="176"/>
      <c r="I69" s="176"/>
      <c r="J69" s="176"/>
    </row>
    <row r="71" spans="5:11" ht="15" customHeight="1" x14ac:dyDescent="0.2">
      <c r="E71" s="182" t="s">
        <v>1719</v>
      </c>
      <c r="F71" s="183"/>
      <c r="G71" s="183"/>
      <c r="H71" s="183"/>
      <c r="I71" s="183"/>
      <c r="J71" s="184"/>
    </row>
    <row r="72" spans="5:11" ht="15" customHeight="1" x14ac:dyDescent="0.2">
      <c r="E72" s="176" t="s">
        <v>1386</v>
      </c>
      <c r="F72" s="176"/>
      <c r="G72" s="176"/>
      <c r="H72" s="176"/>
      <c r="I72" s="176"/>
      <c r="J72" s="176"/>
    </row>
    <row r="73" spans="5:11" ht="15" customHeight="1" x14ac:dyDescent="0.2">
      <c r="E73" s="176" t="s">
        <v>792</v>
      </c>
      <c r="F73" s="176"/>
      <c r="G73" s="176"/>
      <c r="H73" s="176"/>
      <c r="I73" s="176"/>
      <c r="J73" s="176"/>
    </row>
    <row r="74" spans="5:11" ht="21.75" customHeight="1" x14ac:dyDescent="0.2">
      <c r="E74" s="176" t="s">
        <v>1613</v>
      </c>
      <c r="F74" s="176"/>
      <c r="G74" s="176"/>
      <c r="H74" s="176"/>
      <c r="I74" s="176"/>
      <c r="J74" s="176"/>
    </row>
    <row r="76" spans="5:11" ht="25.5" customHeight="1" x14ac:dyDescent="0.2">
      <c r="E76" s="177" t="s">
        <v>1879</v>
      </c>
      <c r="F76" s="177"/>
      <c r="G76" s="177"/>
      <c r="H76" s="177"/>
      <c r="I76" s="177"/>
      <c r="J76" s="177"/>
    </row>
    <row r="77" spans="5:11" ht="25.5" customHeight="1" x14ac:dyDescent="0.2">
      <c r="E77" s="156" t="s">
        <v>1795</v>
      </c>
      <c r="F77" s="157"/>
      <c r="G77" s="157"/>
      <c r="H77" s="157"/>
      <c r="I77" s="157"/>
      <c r="J77" s="158"/>
    </row>
    <row r="80" spans="5:11" ht="15.75" customHeight="1" x14ac:dyDescent="0.2">
      <c r="E80" s="175" t="s">
        <v>793</v>
      </c>
      <c r="F80" s="175"/>
      <c r="G80" s="175"/>
      <c r="H80" s="175"/>
      <c r="I80" s="175"/>
      <c r="J80" s="175"/>
      <c r="K80" s="58" t="s">
        <v>794</v>
      </c>
    </row>
    <row r="81" spans="5:11" ht="15" customHeight="1" x14ac:dyDescent="0.2">
      <c r="E81" s="177" t="s">
        <v>1614</v>
      </c>
      <c r="F81" s="177"/>
      <c r="G81" s="177"/>
      <c r="H81" s="177"/>
      <c r="I81" s="177"/>
      <c r="J81" s="177"/>
    </row>
    <row r="82" spans="5:11" ht="15" customHeight="1" x14ac:dyDescent="0.2">
      <c r="E82" s="176" t="s">
        <v>795</v>
      </c>
      <c r="F82" s="176"/>
      <c r="G82" s="176"/>
      <c r="H82" s="176"/>
      <c r="I82" s="176"/>
      <c r="J82" s="176"/>
    </row>
    <row r="84" spans="5:11" ht="15" customHeight="1" x14ac:dyDescent="0.2">
      <c r="E84" s="182" t="s">
        <v>1719</v>
      </c>
      <c r="F84" s="183"/>
      <c r="G84" s="183"/>
      <c r="H84" s="183"/>
      <c r="I84" s="183"/>
      <c r="J84" s="184"/>
    </row>
    <row r="85" spans="5:11" ht="15" customHeight="1" x14ac:dyDescent="0.2">
      <c r="E85" s="176" t="s">
        <v>348</v>
      </c>
      <c r="F85" s="176"/>
      <c r="G85" s="176"/>
      <c r="H85" s="176"/>
      <c r="I85" s="176"/>
      <c r="J85" s="176"/>
    </row>
    <row r="86" spans="5:11" ht="15" customHeight="1" x14ac:dyDescent="0.2">
      <c r="E86" s="176" t="s">
        <v>796</v>
      </c>
      <c r="F86" s="176"/>
      <c r="G86" s="176"/>
      <c r="H86" s="176"/>
      <c r="I86" s="176"/>
      <c r="J86" s="176"/>
    </row>
    <row r="87" spans="5:11" ht="15" customHeight="1" x14ac:dyDescent="0.2">
      <c r="E87" s="176" t="s">
        <v>1615</v>
      </c>
      <c r="F87" s="176"/>
      <c r="G87" s="176"/>
      <c r="H87" s="176"/>
      <c r="I87" s="176"/>
      <c r="J87" s="176"/>
    </row>
    <row r="89" spans="5:11" ht="25.5" customHeight="1" x14ac:dyDescent="0.2">
      <c r="E89" s="177" t="s">
        <v>1616</v>
      </c>
      <c r="F89" s="177"/>
      <c r="G89" s="177"/>
      <c r="H89" s="177"/>
      <c r="I89" s="177"/>
      <c r="J89" s="177"/>
    </row>
    <row r="90" spans="5:11" ht="25.5" customHeight="1" x14ac:dyDescent="0.2">
      <c r="E90" s="156" t="s">
        <v>1796</v>
      </c>
      <c r="F90" s="157"/>
      <c r="G90" s="157"/>
      <c r="H90" s="157"/>
      <c r="I90" s="157"/>
      <c r="J90" s="158"/>
    </row>
    <row r="93" spans="5:11" ht="15.75" customHeight="1" x14ac:dyDescent="0.2">
      <c r="E93" s="175" t="s">
        <v>355</v>
      </c>
      <c r="F93" s="175"/>
      <c r="G93" s="175"/>
      <c r="H93" s="175"/>
      <c r="I93" s="175"/>
      <c r="J93" s="175"/>
      <c r="K93" s="58" t="s">
        <v>1388</v>
      </c>
    </row>
    <row r="94" spans="5:11" ht="38.25" customHeight="1" x14ac:dyDescent="0.2">
      <c r="E94" s="177" t="s">
        <v>1617</v>
      </c>
      <c r="F94" s="177"/>
      <c r="G94" s="177"/>
      <c r="H94" s="177"/>
      <c r="I94" s="177"/>
      <c r="J94" s="177"/>
    </row>
    <row r="95" spans="5:11" ht="21.75" customHeight="1" x14ac:dyDescent="0.2">
      <c r="E95" s="176" t="s">
        <v>1618</v>
      </c>
      <c r="F95" s="176"/>
      <c r="G95" s="176"/>
      <c r="H95" s="176"/>
      <c r="I95" s="176"/>
      <c r="J95" s="176"/>
    </row>
    <row r="97" spans="5:10" ht="15" customHeight="1" x14ac:dyDescent="0.2">
      <c r="E97" s="182" t="s">
        <v>1720</v>
      </c>
      <c r="F97" s="183"/>
      <c r="G97" s="183"/>
      <c r="H97" s="183"/>
      <c r="I97" s="183"/>
      <c r="J97" s="184"/>
    </row>
    <row r="98" spans="5:10" ht="15" customHeight="1" x14ac:dyDescent="0.2">
      <c r="E98" s="176" t="s">
        <v>1619</v>
      </c>
      <c r="F98" s="176"/>
      <c r="G98" s="176"/>
      <c r="H98" s="176"/>
      <c r="I98" s="176"/>
      <c r="J98" s="176"/>
    </row>
    <row r="99" spans="5:10" ht="15" customHeight="1" x14ac:dyDescent="0.2">
      <c r="E99" s="176" t="s">
        <v>356</v>
      </c>
      <c r="F99" s="176"/>
      <c r="G99" s="176"/>
      <c r="H99" s="176"/>
      <c r="I99" s="176"/>
      <c r="J99" s="176"/>
    </row>
    <row r="100" spans="5:10" ht="15" customHeight="1" x14ac:dyDescent="0.2">
      <c r="E100" s="176" t="s">
        <v>1620</v>
      </c>
      <c r="F100" s="176"/>
      <c r="G100" s="176"/>
      <c r="H100" s="176"/>
      <c r="I100" s="176"/>
      <c r="J100" s="176"/>
    </row>
    <row r="102" spans="5:10" ht="15" customHeight="1" x14ac:dyDescent="0.2">
      <c r="E102" s="176" t="s">
        <v>1621</v>
      </c>
      <c r="F102" s="176"/>
      <c r="G102" s="176"/>
      <c r="H102" s="176"/>
      <c r="I102" s="176"/>
      <c r="J102" s="176"/>
    </row>
    <row r="103" spans="5:10" ht="15" customHeight="1" x14ac:dyDescent="0.2">
      <c r="E103" s="178" t="s">
        <v>1622</v>
      </c>
      <c r="F103" s="179"/>
      <c r="G103" s="178" t="s">
        <v>1623</v>
      </c>
      <c r="H103" s="179"/>
      <c r="I103" s="178" t="s">
        <v>828</v>
      </c>
      <c r="J103" s="178"/>
    </row>
    <row r="104" spans="5:10" ht="15" customHeight="1" x14ac:dyDescent="0.2">
      <c r="E104" s="180" t="s">
        <v>1624</v>
      </c>
      <c r="F104" s="180"/>
      <c r="G104" s="180" t="s">
        <v>1625</v>
      </c>
      <c r="H104" s="180"/>
      <c r="I104" s="180">
        <v>10</v>
      </c>
      <c r="J104" s="180"/>
    </row>
    <row r="105" spans="5:10" ht="15" customHeight="1" x14ac:dyDescent="0.2">
      <c r="E105" s="181"/>
      <c r="F105" s="181"/>
      <c r="G105" s="181" t="s">
        <v>1626</v>
      </c>
      <c r="H105" s="181"/>
      <c r="I105" s="181">
        <v>20</v>
      </c>
      <c r="J105" s="181"/>
    </row>
    <row r="106" spans="5:10" ht="15" customHeight="1" x14ac:dyDescent="0.2">
      <c r="E106" s="181"/>
      <c r="F106" s="181"/>
      <c r="G106" s="181" t="s">
        <v>1627</v>
      </c>
      <c r="H106" s="181"/>
      <c r="I106" s="181">
        <v>30</v>
      </c>
      <c r="J106" s="181"/>
    </row>
    <row r="107" spans="5:10" ht="15" customHeight="1" x14ac:dyDescent="0.2">
      <c r="E107" s="181" t="s">
        <v>1628</v>
      </c>
      <c r="F107" s="181"/>
      <c r="G107" s="181" t="s">
        <v>1625</v>
      </c>
      <c r="H107" s="181"/>
      <c r="I107" s="181">
        <v>15</v>
      </c>
      <c r="J107" s="181"/>
    </row>
    <row r="108" spans="5:10" ht="15" customHeight="1" x14ac:dyDescent="0.2">
      <c r="E108" s="181"/>
      <c r="F108" s="181"/>
      <c r="G108" s="181" t="s">
        <v>1626</v>
      </c>
      <c r="H108" s="181"/>
      <c r="I108" s="181">
        <v>25</v>
      </c>
      <c r="J108" s="181"/>
    </row>
    <row r="109" spans="5:10" ht="15" customHeight="1" x14ac:dyDescent="0.2">
      <c r="E109" s="181"/>
      <c r="F109" s="181"/>
      <c r="G109" s="181" t="s">
        <v>1627</v>
      </c>
      <c r="H109" s="181"/>
      <c r="I109" s="181">
        <v>35</v>
      </c>
      <c r="J109" s="181"/>
    </row>
    <row r="111" spans="5:10" ht="15" customHeight="1" x14ac:dyDescent="0.2">
      <c r="E111" s="177" t="s">
        <v>1629</v>
      </c>
      <c r="F111" s="177"/>
      <c r="G111" s="177"/>
      <c r="H111" s="177"/>
      <c r="I111" s="177"/>
      <c r="J111" s="177"/>
    </row>
    <row r="112" spans="5:10" ht="25.5" customHeight="1" x14ac:dyDescent="0.2">
      <c r="E112" s="156" t="s">
        <v>1797</v>
      </c>
      <c r="F112" s="157"/>
      <c r="G112" s="157"/>
      <c r="H112" s="157"/>
      <c r="I112" s="157"/>
      <c r="J112" s="158"/>
    </row>
    <row r="115" spans="5:11" ht="15.75" customHeight="1" x14ac:dyDescent="0.2">
      <c r="E115" s="175" t="s">
        <v>1630</v>
      </c>
      <c r="F115" s="175"/>
      <c r="G115" s="175"/>
      <c r="H115" s="175"/>
      <c r="I115" s="175"/>
      <c r="J115" s="175"/>
      <c r="K115" s="58" t="s">
        <v>1631</v>
      </c>
    </row>
    <row r="116" spans="5:11" ht="38.25" customHeight="1" x14ac:dyDescent="0.2">
      <c r="E116" s="177" t="s">
        <v>1632</v>
      </c>
      <c r="F116" s="177"/>
      <c r="G116" s="177"/>
      <c r="H116" s="177"/>
      <c r="I116" s="177"/>
      <c r="J116" s="177"/>
    </row>
    <row r="117" spans="5:11" ht="15" customHeight="1" x14ac:dyDescent="0.2">
      <c r="E117" s="176" t="s">
        <v>1633</v>
      </c>
      <c r="F117" s="176"/>
      <c r="G117" s="176"/>
      <c r="H117" s="176"/>
      <c r="I117" s="176"/>
      <c r="J117" s="176"/>
    </row>
    <row r="119" spans="5:11" ht="15" customHeight="1" x14ac:dyDescent="0.2">
      <c r="E119" s="182" t="s">
        <v>1721</v>
      </c>
      <c r="F119" s="183"/>
      <c r="G119" s="183"/>
      <c r="H119" s="183"/>
      <c r="I119" s="183"/>
      <c r="J119" s="184"/>
    </row>
    <row r="120" spans="5:11" ht="15" customHeight="1" x14ac:dyDescent="0.2">
      <c r="E120" s="176" t="s">
        <v>1619</v>
      </c>
      <c r="F120" s="176"/>
      <c r="G120" s="176"/>
      <c r="H120" s="176"/>
      <c r="I120" s="176"/>
      <c r="J120" s="176"/>
    </row>
    <row r="121" spans="5:11" ht="15" customHeight="1" x14ac:dyDescent="0.2">
      <c r="E121" s="176" t="s">
        <v>1634</v>
      </c>
      <c r="F121" s="176"/>
      <c r="G121" s="176"/>
      <c r="H121" s="176"/>
      <c r="I121" s="176"/>
      <c r="J121" s="176"/>
    </row>
    <row r="122" spans="5:11" ht="15" customHeight="1" x14ac:dyDescent="0.2">
      <c r="E122" s="176" t="s">
        <v>1635</v>
      </c>
      <c r="F122" s="176"/>
      <c r="G122" s="176"/>
      <c r="H122" s="176"/>
      <c r="I122" s="176"/>
      <c r="J122" s="176"/>
    </row>
    <row r="124" spans="5:11" ht="25.5" customHeight="1" x14ac:dyDescent="0.2">
      <c r="E124" s="177" t="s">
        <v>1636</v>
      </c>
      <c r="F124" s="177"/>
      <c r="G124" s="177"/>
      <c r="H124" s="177"/>
      <c r="I124" s="177"/>
      <c r="J124" s="177"/>
    </row>
    <row r="125" spans="5:11" ht="15" customHeight="1" x14ac:dyDescent="0.2">
      <c r="E125" s="156" t="s">
        <v>1798</v>
      </c>
      <c r="F125" s="157"/>
      <c r="G125" s="157"/>
      <c r="H125" s="157"/>
      <c r="I125" s="157"/>
      <c r="J125" s="158"/>
    </row>
    <row r="128" spans="5:11" ht="15.75" customHeight="1" x14ac:dyDescent="0.2">
      <c r="E128" s="175" t="s">
        <v>357</v>
      </c>
      <c r="F128" s="175"/>
      <c r="G128" s="175"/>
      <c r="H128" s="175"/>
      <c r="I128" s="175"/>
      <c r="J128" s="175"/>
      <c r="K128" s="58" t="s">
        <v>358</v>
      </c>
    </row>
    <row r="129" spans="5:11" ht="25.5" customHeight="1" x14ac:dyDescent="0.2">
      <c r="E129" s="177" t="s">
        <v>1637</v>
      </c>
      <c r="F129" s="177"/>
      <c r="G129" s="177"/>
      <c r="H129" s="177"/>
      <c r="I129" s="177"/>
      <c r="J129" s="177"/>
    </row>
    <row r="130" spans="5:11" ht="21.75" customHeight="1" x14ac:dyDescent="0.2">
      <c r="E130" s="176" t="s">
        <v>1638</v>
      </c>
      <c r="F130" s="176"/>
      <c r="G130" s="176"/>
      <c r="H130" s="176"/>
      <c r="I130" s="176"/>
      <c r="J130" s="176"/>
    </row>
    <row r="132" spans="5:11" ht="25.5" customHeight="1" x14ac:dyDescent="0.2">
      <c r="E132" s="193" t="s">
        <v>1693</v>
      </c>
      <c r="F132" s="194"/>
      <c r="G132" s="194"/>
      <c r="H132" s="194"/>
      <c r="I132" s="194"/>
      <c r="J132" s="195"/>
    </row>
    <row r="133" spans="5:11" ht="15" customHeight="1" x14ac:dyDescent="0.2">
      <c r="E133" s="176" t="s">
        <v>1386</v>
      </c>
      <c r="F133" s="176"/>
      <c r="G133" s="176"/>
      <c r="H133" s="176"/>
      <c r="I133" s="176"/>
      <c r="J133" s="176"/>
    </row>
    <row r="134" spans="5:11" ht="15" customHeight="1" x14ac:dyDescent="0.2">
      <c r="E134" s="176" t="s">
        <v>359</v>
      </c>
      <c r="F134" s="176"/>
      <c r="G134" s="176"/>
      <c r="H134" s="176"/>
      <c r="I134" s="176"/>
      <c r="J134" s="176"/>
    </row>
    <row r="136" spans="5:11" ht="25.5" customHeight="1" x14ac:dyDescent="0.2">
      <c r="E136" s="177" t="s">
        <v>1639</v>
      </c>
      <c r="F136" s="177"/>
      <c r="G136" s="177"/>
      <c r="H136" s="177"/>
      <c r="I136" s="177"/>
      <c r="J136" s="177"/>
    </row>
    <row r="137" spans="5:11" ht="25.5" customHeight="1" x14ac:dyDescent="0.2">
      <c r="E137" s="156" t="s">
        <v>1799</v>
      </c>
      <c r="F137" s="157"/>
      <c r="G137" s="157"/>
      <c r="H137" s="157"/>
      <c r="I137" s="157"/>
      <c r="J137" s="158"/>
    </row>
    <row r="140" spans="5:11" ht="15.75" customHeight="1" x14ac:dyDescent="0.2">
      <c r="E140" s="175" t="s">
        <v>361</v>
      </c>
      <c r="F140" s="175"/>
      <c r="G140" s="175"/>
      <c r="H140" s="175"/>
      <c r="I140" s="175"/>
      <c r="J140" s="175"/>
      <c r="K140" s="58" t="s">
        <v>362</v>
      </c>
    </row>
    <row r="141" spans="5:11" ht="25.5" customHeight="1" x14ac:dyDescent="0.2">
      <c r="E141" s="177" t="s">
        <v>1880</v>
      </c>
      <c r="F141" s="177"/>
      <c r="G141" s="177"/>
      <c r="H141" s="177"/>
      <c r="I141" s="177"/>
      <c r="J141" s="177"/>
    </row>
    <row r="142" spans="5:11" ht="15" customHeight="1" x14ac:dyDescent="0.2">
      <c r="E142" s="176" t="s">
        <v>363</v>
      </c>
      <c r="F142" s="176"/>
      <c r="G142" s="176"/>
      <c r="H142" s="176"/>
      <c r="I142" s="176"/>
      <c r="J142" s="176"/>
    </row>
    <row r="144" spans="5:11" ht="15" customHeight="1" x14ac:dyDescent="0.2">
      <c r="E144" s="193" t="s">
        <v>1881</v>
      </c>
      <c r="F144" s="194"/>
      <c r="G144" s="194"/>
      <c r="H144" s="194"/>
      <c r="I144" s="194"/>
      <c r="J144" s="195"/>
    </row>
    <row r="145" spans="5:11" ht="15" customHeight="1" x14ac:dyDescent="0.2">
      <c r="E145" s="176" t="s">
        <v>1386</v>
      </c>
      <c r="F145" s="176"/>
      <c r="G145" s="176"/>
      <c r="H145" s="176"/>
      <c r="I145" s="176"/>
      <c r="J145" s="176"/>
    </row>
    <row r="146" spans="5:11" ht="15" customHeight="1" x14ac:dyDescent="0.2">
      <c r="E146" s="176" t="s">
        <v>364</v>
      </c>
      <c r="F146" s="176"/>
      <c r="G146" s="176"/>
      <c r="H146" s="176"/>
      <c r="I146" s="176"/>
      <c r="J146" s="176"/>
    </row>
    <row r="148" spans="5:11" ht="25.5" customHeight="1" x14ac:dyDescent="0.2">
      <c r="E148" s="177" t="s">
        <v>365</v>
      </c>
      <c r="F148" s="177"/>
      <c r="G148" s="177"/>
      <c r="H148" s="177"/>
      <c r="I148" s="177"/>
      <c r="J148" s="177"/>
    </row>
    <row r="149" spans="5:11" ht="25.5" customHeight="1" x14ac:dyDescent="0.2">
      <c r="E149" s="156" t="s">
        <v>1890</v>
      </c>
      <c r="F149" s="157"/>
      <c r="G149" s="157"/>
      <c r="H149" s="157"/>
      <c r="I149" s="157"/>
      <c r="J149" s="158"/>
    </row>
    <row r="152" spans="5:11" ht="15.75" customHeight="1" x14ac:dyDescent="0.2">
      <c r="E152" s="175" t="s">
        <v>366</v>
      </c>
      <c r="F152" s="175"/>
      <c r="G152" s="175"/>
      <c r="H152" s="175"/>
      <c r="I152" s="175"/>
      <c r="J152" s="175"/>
      <c r="K152" s="58" t="s">
        <v>367</v>
      </c>
    </row>
    <row r="153" spans="5:11" ht="38.25" customHeight="1" x14ac:dyDescent="0.2">
      <c r="E153" s="152" t="s">
        <v>3300</v>
      </c>
      <c r="F153" s="177"/>
      <c r="G153" s="177"/>
      <c r="H153" s="177"/>
      <c r="I153" s="177"/>
      <c r="J153" s="177"/>
    </row>
    <row r="154" spans="5:11" ht="21.75" customHeight="1" x14ac:dyDescent="0.2">
      <c r="E154" s="147" t="s">
        <v>3301</v>
      </c>
      <c r="F154" s="176"/>
      <c r="G154" s="176"/>
      <c r="H154" s="176"/>
      <c r="I154" s="176"/>
      <c r="J154" s="176"/>
    </row>
    <row r="156" spans="5:11" ht="15" customHeight="1" x14ac:dyDescent="0.2">
      <c r="E156" s="193" t="s">
        <v>1882</v>
      </c>
      <c r="F156" s="194"/>
      <c r="G156" s="194"/>
      <c r="H156" s="194"/>
      <c r="I156" s="194"/>
      <c r="J156" s="195"/>
    </row>
    <row r="157" spans="5:11" ht="15" customHeight="1" x14ac:dyDescent="0.2">
      <c r="E157" s="147" t="s">
        <v>3302</v>
      </c>
      <c r="F157" s="176"/>
      <c r="G157" s="176"/>
      <c r="H157" s="176"/>
      <c r="I157" s="176"/>
      <c r="J157" s="176"/>
    </row>
    <row r="158" spans="5:11" ht="15" customHeight="1" x14ac:dyDescent="0.2">
      <c r="E158" s="176" t="s">
        <v>368</v>
      </c>
      <c r="F158" s="176"/>
      <c r="G158" s="176"/>
      <c r="H158" s="176"/>
      <c r="I158" s="176"/>
      <c r="J158" s="176"/>
    </row>
    <row r="160" spans="5:11" ht="25.5" customHeight="1" x14ac:dyDescent="0.2">
      <c r="E160" s="177" t="s">
        <v>1640</v>
      </c>
      <c r="F160" s="177"/>
      <c r="G160" s="177"/>
      <c r="H160" s="177"/>
      <c r="I160" s="177"/>
      <c r="J160" s="177"/>
    </row>
    <row r="161" spans="5:11" ht="15" customHeight="1" x14ac:dyDescent="0.2">
      <c r="E161" s="156" t="s">
        <v>3303</v>
      </c>
      <c r="F161" s="157"/>
      <c r="G161" s="157"/>
      <c r="H161" s="157"/>
      <c r="I161" s="157"/>
      <c r="J161" s="158"/>
    </row>
    <row r="164" spans="5:11" ht="15.75" customHeight="1" x14ac:dyDescent="0.2">
      <c r="E164" s="175" t="s">
        <v>385</v>
      </c>
      <c r="F164" s="175"/>
      <c r="G164" s="175"/>
      <c r="H164" s="175"/>
      <c r="I164" s="175"/>
      <c r="J164" s="175"/>
      <c r="K164" s="58" t="s">
        <v>386</v>
      </c>
    </row>
    <row r="165" spans="5:11" ht="38.25" customHeight="1" x14ac:dyDescent="0.2">
      <c r="E165" s="177" t="s">
        <v>1883</v>
      </c>
      <c r="F165" s="177"/>
      <c r="G165" s="177"/>
      <c r="H165" s="177"/>
      <c r="I165" s="177"/>
      <c r="J165" s="177"/>
    </row>
    <row r="166" spans="5:11" ht="15" customHeight="1" x14ac:dyDescent="0.2">
      <c r="E166" s="176" t="s">
        <v>387</v>
      </c>
      <c r="F166" s="176"/>
      <c r="G166" s="176"/>
      <c r="H166" s="176"/>
      <c r="I166" s="176"/>
      <c r="J166" s="176"/>
    </row>
    <row r="168" spans="5:11" ht="15" customHeight="1" x14ac:dyDescent="0.2">
      <c r="E168" s="193" t="s">
        <v>1884</v>
      </c>
      <c r="F168" s="194"/>
      <c r="G168" s="194"/>
      <c r="H168" s="194"/>
      <c r="I168" s="194"/>
      <c r="J168" s="195"/>
    </row>
    <row r="169" spans="5:11" ht="15" customHeight="1" x14ac:dyDescent="0.2">
      <c r="E169" s="176" t="s">
        <v>1386</v>
      </c>
      <c r="F169" s="176"/>
      <c r="G169" s="176"/>
      <c r="H169" s="176"/>
      <c r="I169" s="176"/>
      <c r="J169" s="176"/>
    </row>
    <row r="170" spans="5:11" ht="15" customHeight="1" x14ac:dyDescent="0.2">
      <c r="E170" s="176" t="s">
        <v>388</v>
      </c>
      <c r="F170" s="176"/>
      <c r="G170" s="176"/>
      <c r="H170" s="176"/>
      <c r="I170" s="176"/>
      <c r="J170" s="176"/>
    </row>
    <row r="172" spans="5:11" ht="15" customHeight="1" x14ac:dyDescent="0.2">
      <c r="E172" s="177" t="s">
        <v>389</v>
      </c>
      <c r="F172" s="177"/>
      <c r="G172" s="177"/>
      <c r="H172" s="177"/>
      <c r="I172" s="177"/>
      <c r="J172" s="177"/>
    </row>
    <row r="173" spans="5:11" ht="15" customHeight="1" x14ac:dyDescent="0.2">
      <c r="E173" s="156" t="s">
        <v>1800</v>
      </c>
      <c r="F173" s="157"/>
      <c r="G173" s="157"/>
      <c r="H173" s="157"/>
      <c r="I173" s="157"/>
      <c r="J173" s="158"/>
    </row>
    <row r="176" spans="5:11" ht="15.75" customHeight="1" x14ac:dyDescent="0.2">
      <c r="E176" s="175" t="s">
        <v>369</v>
      </c>
      <c r="F176" s="175"/>
      <c r="G176" s="175"/>
      <c r="H176" s="175"/>
      <c r="I176" s="175"/>
      <c r="J176" s="175"/>
      <c r="K176" s="58" t="s">
        <v>370</v>
      </c>
    </row>
    <row r="177" spans="5:11" ht="15" customHeight="1" x14ac:dyDescent="0.2">
      <c r="E177" s="177" t="s">
        <v>371</v>
      </c>
      <c r="F177" s="177"/>
      <c r="G177" s="177"/>
      <c r="H177" s="177"/>
      <c r="I177" s="177"/>
      <c r="J177" s="177"/>
    </row>
    <row r="178" spans="5:11" ht="15" customHeight="1" x14ac:dyDescent="0.2">
      <c r="E178" s="176" t="s">
        <v>372</v>
      </c>
      <c r="F178" s="176"/>
      <c r="G178" s="176"/>
      <c r="H178" s="176"/>
      <c r="I178" s="176"/>
      <c r="J178" s="176"/>
    </row>
    <row r="180" spans="5:11" ht="25.5" customHeight="1" x14ac:dyDescent="0.2">
      <c r="E180" s="182" t="s">
        <v>1722</v>
      </c>
      <c r="F180" s="183"/>
      <c r="G180" s="183"/>
      <c r="H180" s="183"/>
      <c r="I180" s="183"/>
      <c r="J180" s="184"/>
    </row>
    <row r="181" spans="5:11" ht="15" customHeight="1" x14ac:dyDescent="0.2">
      <c r="E181" s="176" t="s">
        <v>348</v>
      </c>
      <c r="F181" s="176"/>
      <c r="G181" s="176"/>
      <c r="H181" s="176"/>
      <c r="I181" s="176"/>
      <c r="J181" s="176"/>
    </row>
    <row r="182" spans="5:11" ht="15" customHeight="1" x14ac:dyDescent="0.2">
      <c r="E182" s="176" t="s">
        <v>373</v>
      </c>
      <c r="F182" s="176"/>
      <c r="G182" s="176"/>
      <c r="H182" s="176"/>
      <c r="I182" s="176"/>
      <c r="J182" s="176"/>
    </row>
    <row r="183" spans="5:11" ht="15" customHeight="1" x14ac:dyDescent="0.2">
      <c r="E183" s="176" t="s">
        <v>374</v>
      </c>
      <c r="F183" s="176"/>
      <c r="G183" s="176"/>
      <c r="H183" s="176"/>
      <c r="I183" s="176"/>
      <c r="J183" s="176"/>
    </row>
    <row r="185" spans="5:11" ht="15" customHeight="1" x14ac:dyDescent="0.2">
      <c r="E185" s="177" t="s">
        <v>375</v>
      </c>
      <c r="F185" s="177"/>
      <c r="G185" s="177"/>
      <c r="H185" s="177"/>
      <c r="I185" s="177"/>
      <c r="J185" s="177"/>
    </row>
    <row r="186" spans="5:11" ht="15" customHeight="1" x14ac:dyDescent="0.2">
      <c r="E186" s="156" t="s">
        <v>1801</v>
      </c>
      <c r="F186" s="157"/>
      <c r="G186" s="157"/>
      <c r="H186" s="157"/>
      <c r="I186" s="157"/>
      <c r="J186" s="158"/>
    </row>
    <row r="189" spans="5:11" ht="15.75" customHeight="1" x14ac:dyDescent="0.2">
      <c r="E189" s="175" t="s">
        <v>1545</v>
      </c>
      <c r="F189" s="175"/>
      <c r="G189" s="175"/>
      <c r="H189" s="175"/>
      <c r="I189" s="175"/>
      <c r="J189" s="175"/>
      <c r="K189" s="58" t="s">
        <v>1546</v>
      </c>
    </row>
    <row r="190" spans="5:11" ht="38.25" customHeight="1" x14ac:dyDescent="0.2">
      <c r="E190" s="177" t="s">
        <v>1885</v>
      </c>
      <c r="F190" s="177"/>
      <c r="G190" s="177"/>
      <c r="H190" s="177"/>
      <c r="I190" s="177"/>
      <c r="J190" s="177"/>
    </row>
    <row r="191" spans="5:11" ht="21.75" customHeight="1" x14ac:dyDescent="0.2">
      <c r="E191" s="176" t="s">
        <v>1641</v>
      </c>
      <c r="F191" s="176"/>
      <c r="G191" s="176"/>
      <c r="H191" s="176"/>
      <c r="I191" s="176"/>
      <c r="J191" s="176"/>
    </row>
    <row r="193" spans="5:11" ht="25.5" customHeight="1" x14ac:dyDescent="0.2">
      <c r="E193" s="193" t="s">
        <v>1886</v>
      </c>
      <c r="F193" s="194"/>
      <c r="G193" s="194"/>
      <c r="H193" s="194"/>
      <c r="I193" s="194"/>
      <c r="J193" s="195"/>
    </row>
    <row r="194" spans="5:11" ht="15" customHeight="1" x14ac:dyDescent="0.2">
      <c r="E194" s="176" t="s">
        <v>1386</v>
      </c>
      <c r="F194" s="176"/>
      <c r="G194" s="176"/>
      <c r="H194" s="176"/>
      <c r="I194" s="176"/>
      <c r="J194" s="176"/>
    </row>
    <row r="195" spans="5:11" ht="15" customHeight="1" x14ac:dyDescent="0.2">
      <c r="E195" s="176" t="s">
        <v>1547</v>
      </c>
      <c r="F195" s="176"/>
      <c r="G195" s="176"/>
      <c r="H195" s="176"/>
      <c r="I195" s="176"/>
      <c r="J195" s="176"/>
    </row>
    <row r="197" spans="5:11" ht="25.5" customHeight="1" x14ac:dyDescent="0.2">
      <c r="E197" s="177" t="s">
        <v>1887</v>
      </c>
      <c r="F197" s="177"/>
      <c r="G197" s="177"/>
      <c r="H197" s="177"/>
      <c r="I197" s="177"/>
      <c r="J197" s="177"/>
    </row>
    <row r="198" spans="5:11" ht="25.5" customHeight="1" x14ac:dyDescent="0.2">
      <c r="E198" s="156" t="s">
        <v>1802</v>
      </c>
      <c r="F198" s="157"/>
      <c r="G198" s="157"/>
      <c r="H198" s="157"/>
      <c r="I198" s="157"/>
      <c r="J198" s="158"/>
    </row>
    <row r="201" spans="5:11" ht="15.75" customHeight="1" x14ac:dyDescent="0.2">
      <c r="E201" s="175" t="s">
        <v>1642</v>
      </c>
      <c r="F201" s="175"/>
      <c r="G201" s="175"/>
      <c r="H201" s="175"/>
      <c r="I201" s="175"/>
      <c r="J201" s="175"/>
      <c r="K201" s="58" t="s">
        <v>1643</v>
      </c>
    </row>
    <row r="202" spans="5:11" ht="51" customHeight="1" x14ac:dyDescent="0.2">
      <c r="E202" s="152" t="s">
        <v>3304</v>
      </c>
      <c r="F202" s="177"/>
      <c r="G202" s="177"/>
      <c r="H202" s="177"/>
      <c r="I202" s="177"/>
      <c r="J202" s="177"/>
    </row>
    <row r="203" spans="5:11" ht="21.75" customHeight="1" x14ac:dyDescent="0.2">
      <c r="E203" s="176" t="s">
        <v>1644</v>
      </c>
      <c r="F203" s="176"/>
      <c r="G203" s="176"/>
      <c r="H203" s="176"/>
      <c r="I203" s="176"/>
      <c r="J203" s="176"/>
    </row>
    <row r="205" spans="5:11" ht="25.5" customHeight="1" x14ac:dyDescent="0.2">
      <c r="E205" s="168" t="s">
        <v>1723</v>
      </c>
      <c r="F205" s="169"/>
      <c r="G205" s="169"/>
      <c r="H205" s="169"/>
      <c r="I205" s="169"/>
      <c r="J205" s="170"/>
    </row>
    <row r="206" spans="5:11" ht="15" customHeight="1" x14ac:dyDescent="0.2">
      <c r="E206" s="176" t="s">
        <v>1645</v>
      </c>
      <c r="F206" s="176"/>
      <c r="G206" s="176"/>
      <c r="H206" s="176"/>
      <c r="I206" s="176"/>
      <c r="J206" s="176"/>
    </row>
    <row r="207" spans="5:11" ht="15" customHeight="1" x14ac:dyDescent="0.2">
      <c r="E207" s="176" t="s">
        <v>1646</v>
      </c>
      <c r="F207" s="176"/>
      <c r="G207" s="176"/>
      <c r="H207" s="176"/>
      <c r="I207" s="176"/>
      <c r="J207" s="176"/>
    </row>
    <row r="208" spans="5:11" ht="15" customHeight="1" x14ac:dyDescent="0.2">
      <c r="E208" s="176" t="s">
        <v>1647</v>
      </c>
      <c r="F208" s="176"/>
      <c r="G208" s="176"/>
      <c r="H208" s="176"/>
      <c r="I208" s="176"/>
      <c r="J208" s="176"/>
    </row>
    <row r="210" spans="5:11" ht="25.5" customHeight="1" x14ac:dyDescent="0.2">
      <c r="E210" s="177" t="s">
        <v>1648</v>
      </c>
      <c r="F210" s="177"/>
      <c r="G210" s="177"/>
      <c r="H210" s="177"/>
      <c r="I210" s="177"/>
      <c r="J210" s="177"/>
    </row>
    <row r="211" spans="5:11" ht="25.5" customHeight="1" x14ac:dyDescent="0.2">
      <c r="E211" s="156" t="s">
        <v>1803</v>
      </c>
      <c r="F211" s="157"/>
      <c r="G211" s="157"/>
      <c r="H211" s="157"/>
      <c r="I211" s="157"/>
      <c r="J211" s="158"/>
    </row>
    <row r="214" spans="5:11" ht="15.75" customHeight="1" x14ac:dyDescent="0.2">
      <c r="E214" s="175" t="s">
        <v>376</v>
      </c>
      <c r="F214" s="175"/>
      <c r="G214" s="175"/>
      <c r="H214" s="175"/>
      <c r="I214" s="175"/>
      <c r="J214" s="175"/>
      <c r="K214" s="58" t="s">
        <v>1548</v>
      </c>
    </row>
    <row r="215" spans="5:11" ht="25.5" customHeight="1" x14ac:dyDescent="0.2">
      <c r="E215" s="152" t="s">
        <v>1888</v>
      </c>
      <c r="F215" s="177"/>
      <c r="G215" s="177"/>
      <c r="H215" s="177"/>
      <c r="I215" s="177"/>
      <c r="J215" s="177"/>
    </row>
    <row r="216" spans="5:11" ht="15" customHeight="1" x14ac:dyDescent="0.2">
      <c r="E216" s="147" t="s">
        <v>3423</v>
      </c>
      <c r="F216" s="176"/>
      <c r="G216" s="176"/>
      <c r="H216" s="176"/>
      <c r="I216" s="176"/>
      <c r="J216" s="176"/>
    </row>
    <row r="218" spans="5:11" ht="25.5" customHeight="1" x14ac:dyDescent="0.2">
      <c r="E218" s="182" t="s">
        <v>1724</v>
      </c>
      <c r="F218" s="183"/>
      <c r="G218" s="183"/>
      <c r="H218" s="183"/>
      <c r="I218" s="183"/>
      <c r="J218" s="184"/>
    </row>
    <row r="219" spans="5:11" ht="15" customHeight="1" x14ac:dyDescent="0.2">
      <c r="E219" s="176" t="s">
        <v>1649</v>
      </c>
      <c r="F219" s="176"/>
      <c r="G219" s="176"/>
      <c r="H219" s="176"/>
      <c r="I219" s="176"/>
      <c r="J219" s="176"/>
    </row>
    <row r="220" spans="5:11" ht="15" customHeight="1" x14ac:dyDescent="0.2">
      <c r="E220" s="176" t="s">
        <v>1549</v>
      </c>
      <c r="F220" s="176"/>
      <c r="G220" s="176"/>
      <c r="H220" s="176"/>
      <c r="I220" s="176"/>
      <c r="J220" s="176"/>
    </row>
    <row r="222" spans="5:11" ht="25.5" customHeight="1" x14ac:dyDescent="0.2">
      <c r="E222" s="177" t="s">
        <v>1550</v>
      </c>
      <c r="F222" s="177"/>
      <c r="G222" s="177"/>
      <c r="H222" s="177"/>
      <c r="I222" s="177"/>
      <c r="J222" s="177"/>
    </row>
    <row r="223" spans="5:11" ht="25.5" customHeight="1" x14ac:dyDescent="0.2">
      <c r="E223" s="156" t="s">
        <v>1804</v>
      </c>
      <c r="F223" s="157"/>
      <c r="G223" s="157"/>
      <c r="H223" s="157"/>
      <c r="I223" s="157"/>
      <c r="J223" s="158"/>
    </row>
  </sheetData>
  <mergeCells count="158">
    <mergeCell ref="E197:J197"/>
    <mergeCell ref="E193:J193"/>
    <mergeCell ref="E194:J194"/>
    <mergeCell ref="E74:J74"/>
    <mergeCell ref="E67:J67"/>
    <mergeCell ref="E64:J64"/>
    <mergeCell ref="E63:J63"/>
    <mergeCell ref="E56:J56"/>
    <mergeCell ref="E90:J90"/>
    <mergeCell ref="E89:J89"/>
    <mergeCell ref="E80:J80"/>
    <mergeCell ref="E77:J77"/>
    <mergeCell ref="E76:J76"/>
    <mergeCell ref="E195:J195"/>
    <mergeCell ref="E191:J191"/>
    <mergeCell ref="E190:J190"/>
    <mergeCell ref="E183:J183"/>
    <mergeCell ref="E185:J185"/>
    <mergeCell ref="E189:J189"/>
    <mergeCell ref="E186:J186"/>
    <mergeCell ref="E177:J177"/>
    <mergeCell ref="E178:J178"/>
    <mergeCell ref="E181:J181"/>
    <mergeCell ref="E182:J182"/>
    <mergeCell ref="E210:J210"/>
    <mergeCell ref="E206:J206"/>
    <mergeCell ref="E207:J207"/>
    <mergeCell ref="E208:J208"/>
    <mergeCell ref="E205:J205"/>
    <mergeCell ref="E203:J203"/>
    <mergeCell ref="E202:J202"/>
    <mergeCell ref="E201:J201"/>
    <mergeCell ref="E198:J198"/>
    <mergeCell ref="E223:J223"/>
    <mergeCell ref="E222:J222"/>
    <mergeCell ref="E218:J218"/>
    <mergeCell ref="E214:J214"/>
    <mergeCell ref="E211:J211"/>
    <mergeCell ref="E216:J216"/>
    <mergeCell ref="E219:J219"/>
    <mergeCell ref="E220:J220"/>
    <mergeCell ref="E215:J215"/>
    <mergeCell ref="E180:J180"/>
    <mergeCell ref="E158:J158"/>
    <mergeCell ref="E176:J176"/>
    <mergeCell ref="E173:J173"/>
    <mergeCell ref="E172:J172"/>
    <mergeCell ref="E168:J168"/>
    <mergeCell ref="E165:J165"/>
    <mergeCell ref="E164:J164"/>
    <mergeCell ref="E161:J161"/>
    <mergeCell ref="E160:J160"/>
    <mergeCell ref="E166:J166"/>
    <mergeCell ref="E169:J169"/>
    <mergeCell ref="E170:J170"/>
    <mergeCell ref="E153:J153"/>
    <mergeCell ref="E154:J154"/>
    <mergeCell ref="E157:J157"/>
    <mergeCell ref="E156:J156"/>
    <mergeCell ref="E152:J152"/>
    <mergeCell ref="E145:J145"/>
    <mergeCell ref="E146:J146"/>
    <mergeCell ref="E149:J149"/>
    <mergeCell ref="E148:J148"/>
    <mergeCell ref="E134:J134"/>
    <mergeCell ref="E144:J144"/>
    <mergeCell ref="E140:J140"/>
    <mergeCell ref="E137:J137"/>
    <mergeCell ref="E136:J136"/>
    <mergeCell ref="E133:J133"/>
    <mergeCell ref="E132:J132"/>
    <mergeCell ref="E130:J130"/>
    <mergeCell ref="E129:J129"/>
    <mergeCell ref="E128:J128"/>
    <mergeCell ref="E120:J120"/>
    <mergeCell ref="E121:J121"/>
    <mergeCell ref="E122:J122"/>
    <mergeCell ref="E124:J124"/>
    <mergeCell ref="E117:J117"/>
    <mergeCell ref="E119:J119"/>
    <mergeCell ref="E116:J116"/>
    <mergeCell ref="E115:J115"/>
    <mergeCell ref="E125:J125"/>
    <mergeCell ref="G106:H106"/>
    <mergeCell ref="I106:J106"/>
    <mergeCell ref="E107:F109"/>
    <mergeCell ref="G107:H107"/>
    <mergeCell ref="I107:J107"/>
    <mergeCell ref="G108:H108"/>
    <mergeCell ref="I108:J108"/>
    <mergeCell ref="G109:H109"/>
    <mergeCell ref="I109:J109"/>
    <mergeCell ref="E39:J39"/>
    <mergeCell ref="E38:J38"/>
    <mergeCell ref="E33:J33"/>
    <mergeCell ref="E34:J34"/>
    <mergeCell ref="E35:J35"/>
    <mergeCell ref="E36:J36"/>
    <mergeCell ref="E97:J97"/>
    <mergeCell ref="E98:J98"/>
    <mergeCell ref="E94:J94"/>
    <mergeCell ref="E93:J93"/>
    <mergeCell ref="E57:J57"/>
    <mergeCell ref="E60:J60"/>
    <mergeCell ref="E61:J61"/>
    <mergeCell ref="E51:J51"/>
    <mergeCell ref="E55:J55"/>
    <mergeCell ref="E52:J52"/>
    <mergeCell ref="E59:J59"/>
    <mergeCell ref="E95:J95"/>
    <mergeCell ref="E3:L4"/>
    <mergeCell ref="K11:K12"/>
    <mergeCell ref="E11:J12"/>
    <mergeCell ref="E6:J8"/>
    <mergeCell ref="E81:J81"/>
    <mergeCell ref="E84:J84"/>
    <mergeCell ref="E85:J85"/>
    <mergeCell ref="E86:J86"/>
    <mergeCell ref="E68:J68"/>
    <mergeCell ref="E69:J69"/>
    <mergeCell ref="E71:J71"/>
    <mergeCell ref="E72:J72"/>
    <mergeCell ref="E31:J31"/>
    <mergeCell ref="E25:J25"/>
    <mergeCell ref="E30:J30"/>
    <mergeCell ref="E29:J29"/>
    <mergeCell ref="E26:J26"/>
    <mergeCell ref="E13:J15"/>
    <mergeCell ref="E16:J17"/>
    <mergeCell ref="E19:J20"/>
    <mergeCell ref="E21:J21"/>
    <mergeCell ref="E23:J23"/>
    <mergeCell ref="E22:J22"/>
    <mergeCell ref="E44:J44"/>
    <mergeCell ref="E112:J112"/>
    <mergeCell ref="E42:J42"/>
    <mergeCell ref="E82:J82"/>
    <mergeCell ref="E142:J142"/>
    <mergeCell ref="E141:J141"/>
    <mergeCell ref="E100:J100"/>
    <mergeCell ref="E73:J73"/>
    <mergeCell ref="E99:J99"/>
    <mergeCell ref="E87:J87"/>
    <mergeCell ref="E111:J111"/>
    <mergeCell ref="E102:J102"/>
    <mergeCell ref="E103:F103"/>
    <mergeCell ref="G103:H103"/>
    <mergeCell ref="I103:J103"/>
    <mergeCell ref="E104:F106"/>
    <mergeCell ref="G104:H104"/>
    <mergeCell ref="I104:J104"/>
    <mergeCell ref="G105:H105"/>
    <mergeCell ref="I105:J105"/>
    <mergeCell ref="E47:J47"/>
    <mergeCell ref="E48:J48"/>
    <mergeCell ref="E49:J49"/>
    <mergeCell ref="E46:J46"/>
    <mergeCell ref="E43:J43"/>
  </mergeCells>
  <hyperlinks>
    <hyperlink ref="B2" location="'Start here'!E6" tooltip="back to Start here" display="⌂  CompBot Tutorial" xr:uid="{00000000-0004-0000-0400-000000000000}"/>
    <hyperlink ref="B6" location="'Start here'!E6" display="▸  START" xr:uid="{13C4ACD6-91A4-4B03-A854-FAF2C3A20362}"/>
    <hyperlink ref="B7" location="'C1 Your machine'!E6" display="▾  COMMANDS" xr:uid="{FED17095-C95A-4F7D-913E-3A3F2BDA864A}"/>
    <hyperlink ref="B8" location="'C1 Your machine'!E6" display="C1 Your machine" xr:uid="{B10C435B-F7FA-428F-ACCC-67B124CDB029}"/>
    <hyperlink ref="B10" location="'C3 Read the questions'!E6" display="C3 Read the questions" xr:uid="{12F37918-16CA-4350-88A6-FF2E71648EFC}"/>
    <hyperlink ref="B11" location="'C4 Solve a level'!E6" display="C4 Solve a level" xr:uid="{F8C5E113-A7D5-4EF7-AB81-802C0D20C74D}"/>
    <hyperlink ref="B12" location="'C5 Wrap a formula'!E6" display="C5 Wrap a formula" xr:uid="{F1801C61-4564-48E8-9B77-A648F602A013}"/>
    <hyperlink ref="B13" location="'C6 Text, codes and lookups'!E6" display="C6 Text, codes and lookups" xr:uid="{F9DA3258-170E-4C87-8CCA-0D94CBDC4089}"/>
    <hyperlink ref="B14" location="'C7 Maps, grids and sheets'!E6" display="C7 Maps, grids and sheets" xr:uid="{011ACEA3-97B7-47C6-AF9F-AA76C68B0506}"/>
    <hyperlink ref="B15" location="'C8 Housekeeping'!E6" display="C8 Housekeeping" xr:uid="{C36FA168-7024-4671-AD61-96991982F8B1}"/>
    <hyperlink ref="B16" location="'Demo maps'!E6" display="▸  DEMO SHEETS" xr:uid="{2FCA386C-7764-41B7-A0C6-CBB3BE4CF8E5}"/>
    <hyperlink ref="B17" location="'Level 1 Basics'!E6" display="▸  LAMBDAS" xr:uid="{C8D2D03C-F92B-450C-855F-1D8B809E63DF}"/>
    <hyperlink ref="B19" location="'Command cheat sheet'!E6" display="▸  REFERENCE" xr:uid="{1A6BA8E8-D004-43ED-91CB-1D5B725392F0}"/>
    <hyperlink ref="B18" location="'I1 The Alves Method'!E6" display="▸  INSIDER" xr:uid="{3E515B3B-21D9-4FCE-A957-9E7A410868B1}"/>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1A5FB4"/>
  </sheetPr>
  <dimension ref="A1:L129"/>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9" customWidth="1"/>
    <col min="2" max="2" width="27" style="19" customWidth="1"/>
    <col min="3" max="3" width="1.5" style="19" customWidth="1"/>
    <col min="4" max="4" width="2.5" customWidth="1"/>
    <col min="5" max="10" width="14.5" customWidth="1"/>
    <col min="11" max="11" width="44" customWidth="1"/>
    <col min="12" max="12" width="46" customWidth="1"/>
  </cols>
  <sheetData>
    <row r="1" spans="2:12" ht="12.75" x14ac:dyDescent="0.2"/>
    <row r="2" spans="2:12" ht="30" customHeight="1" x14ac:dyDescent="0.3">
      <c r="B2" s="20" t="s">
        <v>0</v>
      </c>
      <c r="E2" s="3" t="s">
        <v>377</v>
      </c>
    </row>
    <row r="3" spans="2:12" ht="15" customHeight="1" x14ac:dyDescent="0.2">
      <c r="B3" s="21" t="s">
        <v>2</v>
      </c>
      <c r="E3" s="147" t="s">
        <v>1691</v>
      </c>
      <c r="F3" s="148"/>
      <c r="G3" s="148"/>
      <c r="H3" s="148"/>
      <c r="I3" s="148"/>
      <c r="J3" s="148"/>
      <c r="K3" s="148"/>
      <c r="L3" s="148"/>
    </row>
    <row r="4" spans="2:12" ht="15" customHeight="1" x14ac:dyDescent="0.2">
      <c r="E4" s="148"/>
      <c r="F4" s="148"/>
      <c r="G4" s="148"/>
      <c r="H4" s="148"/>
      <c r="I4" s="148"/>
      <c r="J4" s="148"/>
      <c r="K4" s="148"/>
      <c r="L4" s="148"/>
    </row>
    <row r="5" spans="2:12" ht="12.75" x14ac:dyDescent="0.2">
      <c r="E5" s="196" t="s">
        <v>1856</v>
      </c>
      <c r="F5" s="197"/>
      <c r="G5" s="197"/>
      <c r="H5" s="197"/>
      <c r="I5" s="197"/>
      <c r="J5" s="197"/>
      <c r="K5" s="197"/>
      <c r="L5" s="197"/>
    </row>
    <row r="6" spans="2:12" ht="15" customHeight="1" x14ac:dyDescent="0.2">
      <c r="B6" s="103" t="s">
        <v>315</v>
      </c>
      <c r="E6" s="152" t="s">
        <v>3328</v>
      </c>
      <c r="F6" s="148"/>
      <c r="G6" s="148"/>
      <c r="H6" s="148"/>
      <c r="I6" s="148"/>
      <c r="J6" s="148"/>
    </row>
    <row r="7" spans="2:12" ht="15" customHeight="1" x14ac:dyDescent="0.2">
      <c r="B7" s="103" t="s">
        <v>317</v>
      </c>
      <c r="E7" s="148"/>
      <c r="F7" s="148"/>
      <c r="G7" s="148"/>
      <c r="H7" s="148"/>
      <c r="I7" s="148"/>
      <c r="J7" s="148"/>
    </row>
    <row r="8" spans="2:12" ht="12.75" x14ac:dyDescent="0.2">
      <c r="B8" s="105" t="s">
        <v>32</v>
      </c>
    </row>
    <row r="9" spans="2:12" ht="12.75" x14ac:dyDescent="0.2">
      <c r="B9" s="105" t="s">
        <v>35</v>
      </c>
    </row>
    <row r="10" spans="2:12" ht="15" customHeight="1" x14ac:dyDescent="0.2">
      <c r="B10" s="104" t="s">
        <v>37</v>
      </c>
      <c r="E10" s="186" t="s">
        <v>1684</v>
      </c>
      <c r="F10" s="186"/>
      <c r="G10" s="186"/>
      <c r="H10" s="186"/>
      <c r="I10" s="186"/>
      <c r="J10" s="186"/>
      <c r="K10" s="185" t="s">
        <v>1685</v>
      </c>
    </row>
    <row r="11" spans="2:12" ht="15" customHeight="1" x14ac:dyDescent="0.2">
      <c r="B11" s="105" t="s">
        <v>39</v>
      </c>
      <c r="E11" s="186"/>
      <c r="F11" s="186"/>
      <c r="G11" s="186"/>
      <c r="H11" s="186"/>
      <c r="I11" s="186"/>
      <c r="J11" s="186"/>
      <c r="K11" s="185"/>
    </row>
    <row r="12" spans="2:12" ht="15" customHeight="1" x14ac:dyDescent="0.2">
      <c r="B12" s="105" t="s">
        <v>40</v>
      </c>
      <c r="E12" s="177" t="s">
        <v>1686</v>
      </c>
      <c r="F12" s="177"/>
      <c r="G12" s="177"/>
      <c r="H12" s="177"/>
      <c r="I12" s="177"/>
      <c r="J12" s="177"/>
    </row>
    <row r="13" spans="2:12" ht="15" customHeight="1" x14ac:dyDescent="0.2">
      <c r="B13" s="105" t="s">
        <v>42</v>
      </c>
      <c r="E13" s="177"/>
      <c r="F13" s="177"/>
      <c r="G13" s="177"/>
      <c r="H13" s="177"/>
      <c r="I13" s="177"/>
      <c r="J13" s="177"/>
    </row>
    <row r="14" spans="2:12" ht="15" customHeight="1" x14ac:dyDescent="0.2">
      <c r="B14" s="105" t="s">
        <v>44</v>
      </c>
      <c r="E14" s="176" t="s">
        <v>1687</v>
      </c>
      <c r="F14" s="176"/>
      <c r="G14" s="176"/>
      <c r="H14" s="176"/>
      <c r="I14" s="176"/>
      <c r="J14" s="176"/>
    </row>
    <row r="15" spans="2:12" ht="15" customHeight="1" x14ac:dyDescent="0.2">
      <c r="B15" s="105" t="s">
        <v>46</v>
      </c>
    </row>
    <row r="16" spans="2:12" ht="12.75" x14ac:dyDescent="0.2">
      <c r="B16" s="103" t="s">
        <v>11</v>
      </c>
      <c r="E16" s="182" t="s">
        <v>1725</v>
      </c>
      <c r="F16" s="183"/>
      <c r="G16" s="183"/>
      <c r="H16" s="183"/>
      <c r="I16" s="183"/>
      <c r="J16" s="184"/>
    </row>
    <row r="17" spans="2:11" ht="15" customHeight="1" x14ac:dyDescent="0.2">
      <c r="B17" s="103" t="s">
        <v>13</v>
      </c>
      <c r="E17" s="201" t="s">
        <v>1688</v>
      </c>
      <c r="F17" s="201"/>
      <c r="G17" s="201"/>
      <c r="H17" s="201"/>
      <c r="I17" s="201"/>
      <c r="J17" s="201"/>
    </row>
    <row r="18" spans="2:11" ht="15" customHeight="1" x14ac:dyDescent="0.2">
      <c r="B18" s="103" t="s">
        <v>3407</v>
      </c>
      <c r="E18" s="201" t="s">
        <v>1689</v>
      </c>
      <c r="F18" s="201"/>
      <c r="G18" s="201"/>
      <c r="H18" s="201"/>
      <c r="I18" s="201"/>
      <c r="J18" s="201"/>
    </row>
    <row r="19" spans="2:11" ht="15" customHeight="1" x14ac:dyDescent="0.2">
      <c r="B19" s="103" t="s">
        <v>14</v>
      </c>
      <c r="E19" s="176" t="s">
        <v>1916</v>
      </c>
      <c r="F19" s="176"/>
      <c r="G19" s="176"/>
      <c r="H19" s="176"/>
      <c r="I19" s="176"/>
      <c r="J19" s="176"/>
    </row>
    <row r="20" spans="2:11" ht="15" customHeight="1" x14ac:dyDescent="0.2">
      <c r="B20" s="102"/>
      <c r="E20" s="176"/>
      <c r="F20" s="176"/>
      <c r="G20" s="176"/>
      <c r="H20" s="176"/>
      <c r="I20" s="176"/>
      <c r="J20" s="176"/>
    </row>
    <row r="21" spans="2:11" ht="15" customHeight="1" x14ac:dyDescent="0.2">
      <c r="B21" s="102"/>
    </row>
    <row r="22" spans="2:11" ht="25.5" customHeight="1" x14ac:dyDescent="0.2">
      <c r="B22" s="102"/>
      <c r="E22" s="177" t="s">
        <v>1690</v>
      </c>
      <c r="F22" s="177"/>
      <c r="G22" s="177"/>
      <c r="H22" s="177"/>
      <c r="I22" s="177"/>
      <c r="J22" s="177"/>
    </row>
    <row r="23" spans="2:11" ht="25.5" customHeight="1" x14ac:dyDescent="0.2">
      <c r="B23" s="102"/>
      <c r="E23" s="156" t="s">
        <v>1805</v>
      </c>
      <c r="F23" s="157"/>
      <c r="G23" s="157"/>
      <c r="H23" s="157"/>
      <c r="I23" s="157"/>
      <c r="J23" s="158"/>
    </row>
    <row r="24" spans="2:11" ht="15" customHeight="1" x14ac:dyDescent="0.2">
      <c r="B24" s="102"/>
    </row>
    <row r="25" spans="2:11" ht="15" customHeight="1" x14ac:dyDescent="0.2">
      <c r="B25" s="102"/>
    </row>
    <row r="26" spans="2:11" ht="15.75" customHeight="1" x14ac:dyDescent="0.2">
      <c r="B26" s="102"/>
      <c r="E26" s="159" t="s">
        <v>379</v>
      </c>
      <c r="F26" s="159"/>
      <c r="G26" s="159"/>
      <c r="H26" s="159"/>
      <c r="I26" s="159"/>
      <c r="J26" s="159"/>
      <c r="K26" s="52" t="s">
        <v>380</v>
      </c>
    </row>
    <row r="27" spans="2:11" ht="25.5" customHeight="1" x14ac:dyDescent="0.2">
      <c r="B27" s="102"/>
      <c r="E27" s="152" t="s">
        <v>1683</v>
      </c>
      <c r="F27" s="152"/>
      <c r="G27" s="152"/>
      <c r="H27" s="152"/>
      <c r="I27" s="152"/>
      <c r="J27" s="152"/>
    </row>
    <row r="28" spans="2:11" ht="15" customHeight="1" x14ac:dyDescent="0.2">
      <c r="B28" s="102"/>
      <c r="E28" s="147" t="s">
        <v>381</v>
      </c>
      <c r="F28" s="147"/>
      <c r="G28" s="147"/>
      <c r="H28" s="147"/>
      <c r="I28" s="147"/>
      <c r="J28" s="147"/>
    </row>
    <row r="29" spans="2:11" ht="12.75" x14ac:dyDescent="0.2">
      <c r="B29" s="102"/>
    </row>
    <row r="30" spans="2:11" ht="15" customHeight="1" x14ac:dyDescent="0.2">
      <c r="B30" s="102"/>
      <c r="E30" s="202" t="s">
        <v>1726</v>
      </c>
      <c r="F30" s="203"/>
      <c r="G30" s="203"/>
      <c r="H30" s="203"/>
      <c r="I30" s="203"/>
      <c r="J30" s="204"/>
    </row>
    <row r="31" spans="2:11" ht="15" customHeight="1" x14ac:dyDescent="0.2">
      <c r="B31" s="102"/>
      <c r="E31" s="147" t="s">
        <v>1386</v>
      </c>
      <c r="F31" s="149"/>
      <c r="G31" s="149"/>
      <c r="H31" s="149"/>
      <c r="I31" s="149"/>
      <c r="J31" s="149"/>
    </row>
    <row r="32" spans="2:11" ht="15" customHeight="1" x14ac:dyDescent="0.2">
      <c r="B32" s="102"/>
      <c r="E32" s="147" t="s">
        <v>382</v>
      </c>
      <c r="F32" s="149"/>
      <c r="G32" s="149"/>
      <c r="H32" s="149"/>
      <c r="I32" s="149"/>
      <c r="J32" s="149"/>
    </row>
    <row r="33" spans="2:11" ht="15" customHeight="1" x14ac:dyDescent="0.2">
      <c r="B33" s="102"/>
      <c r="E33" s="147" t="s">
        <v>383</v>
      </c>
      <c r="F33" s="149"/>
      <c r="G33" s="149"/>
      <c r="H33" s="149"/>
      <c r="I33" s="149"/>
      <c r="J33" s="149"/>
    </row>
    <row r="34" spans="2:11" ht="12.75" x14ac:dyDescent="0.2">
      <c r="B34" s="102"/>
    </row>
    <row r="35" spans="2:11" ht="25.5" customHeight="1" x14ac:dyDescent="0.2">
      <c r="B35" s="102"/>
      <c r="E35" s="152" t="s">
        <v>384</v>
      </c>
      <c r="F35" s="152"/>
      <c r="G35" s="152"/>
      <c r="H35" s="152"/>
      <c r="I35" s="152"/>
      <c r="J35" s="152"/>
    </row>
    <row r="36" spans="2:11" ht="15" customHeight="1" x14ac:dyDescent="0.2">
      <c r="B36" s="102"/>
      <c r="E36" s="156" t="s">
        <v>1891</v>
      </c>
      <c r="F36" s="157"/>
      <c r="G36" s="157"/>
      <c r="H36" s="157"/>
      <c r="I36" s="157"/>
      <c r="J36" s="158"/>
    </row>
    <row r="37" spans="2:11" ht="15" customHeight="1" x14ac:dyDescent="0.2">
      <c r="B37" s="102"/>
    </row>
    <row r="38" spans="2:11" ht="15" customHeight="1" x14ac:dyDescent="0.2">
      <c r="B38" s="102"/>
    </row>
    <row r="39" spans="2:11" ht="15.75" customHeight="1" x14ac:dyDescent="0.2">
      <c r="B39" s="102"/>
      <c r="E39" s="159" t="s">
        <v>390</v>
      </c>
      <c r="F39" s="159"/>
      <c r="G39" s="159"/>
      <c r="H39" s="159"/>
      <c r="I39" s="159"/>
      <c r="J39" s="159"/>
      <c r="K39" s="52" t="s">
        <v>391</v>
      </c>
    </row>
    <row r="40" spans="2:11" ht="25.5" customHeight="1" x14ac:dyDescent="0.2">
      <c r="B40" s="102"/>
      <c r="E40" s="152" t="s">
        <v>3453</v>
      </c>
      <c r="F40" s="152"/>
      <c r="G40" s="152"/>
      <c r="H40" s="152"/>
      <c r="I40" s="152"/>
      <c r="J40" s="152"/>
    </row>
    <row r="41" spans="2:11" ht="21.75" customHeight="1" x14ac:dyDescent="0.2">
      <c r="B41" s="102"/>
      <c r="E41" s="147" t="s">
        <v>3454</v>
      </c>
      <c r="F41" s="149"/>
      <c r="G41" s="149"/>
      <c r="H41" s="149"/>
      <c r="I41" s="149"/>
      <c r="J41" s="149"/>
    </row>
    <row r="42" spans="2:11" ht="12.75" x14ac:dyDescent="0.2">
      <c r="B42" s="102"/>
    </row>
    <row r="43" spans="2:11" ht="25.5" customHeight="1" x14ac:dyDescent="0.2">
      <c r="B43" s="102"/>
      <c r="E43" s="168" t="s">
        <v>1727</v>
      </c>
      <c r="F43" s="169"/>
      <c r="G43" s="169"/>
      <c r="H43" s="169"/>
      <c r="I43" s="169"/>
      <c r="J43" s="170"/>
    </row>
    <row r="44" spans="2:11" ht="15" customHeight="1" x14ac:dyDescent="0.2">
      <c r="B44" s="102"/>
      <c r="E44" s="147" t="s">
        <v>1386</v>
      </c>
      <c r="F44" s="149"/>
      <c r="G44" s="149"/>
      <c r="H44" s="149"/>
      <c r="I44" s="149"/>
      <c r="J44" s="149"/>
    </row>
    <row r="45" spans="2:11" ht="15" customHeight="1" x14ac:dyDescent="0.2">
      <c r="B45" s="102"/>
      <c r="E45" s="147" t="s">
        <v>392</v>
      </c>
      <c r="F45" s="149"/>
      <c r="G45" s="149"/>
      <c r="H45" s="149"/>
      <c r="I45" s="149"/>
      <c r="J45" s="149"/>
    </row>
    <row r="46" spans="2:11" ht="21.75" customHeight="1" x14ac:dyDescent="0.2">
      <c r="B46" s="102"/>
      <c r="E46" s="147" t="s">
        <v>1682</v>
      </c>
      <c r="F46" s="147"/>
      <c r="G46" s="147"/>
      <c r="H46" s="147"/>
      <c r="I46" s="147"/>
      <c r="J46" s="147"/>
    </row>
    <row r="47" spans="2:11" ht="12.75" x14ac:dyDescent="0.2"/>
    <row r="48" spans="2:11" ht="25.5" customHeight="1" x14ac:dyDescent="0.2">
      <c r="E48" s="152" t="s">
        <v>393</v>
      </c>
      <c r="F48" s="152"/>
      <c r="G48" s="152"/>
      <c r="H48" s="152"/>
      <c r="I48" s="152"/>
      <c r="J48" s="152"/>
    </row>
    <row r="49" spans="5:11" ht="15" customHeight="1" x14ac:dyDescent="0.2">
      <c r="E49" s="172" t="s">
        <v>1806</v>
      </c>
      <c r="F49" s="173"/>
      <c r="G49" s="173"/>
      <c r="H49" s="173"/>
      <c r="I49" s="173"/>
      <c r="J49" s="174"/>
    </row>
    <row r="50" spans="5:11" ht="12.75" x14ac:dyDescent="0.2"/>
    <row r="51" spans="5:11" ht="12.75" x14ac:dyDescent="0.2"/>
    <row r="52" spans="5:11" ht="15.75" customHeight="1" x14ac:dyDescent="0.2">
      <c r="E52" s="159" t="s">
        <v>394</v>
      </c>
      <c r="F52" s="159"/>
      <c r="G52" s="159"/>
      <c r="H52" s="159"/>
      <c r="I52" s="159"/>
      <c r="J52" s="159"/>
      <c r="K52" s="52" t="s">
        <v>395</v>
      </c>
    </row>
    <row r="53" spans="5:11" ht="15" customHeight="1" x14ac:dyDescent="0.2">
      <c r="E53" s="152" t="s">
        <v>1389</v>
      </c>
      <c r="F53" s="149"/>
      <c r="G53" s="149"/>
      <c r="H53" s="149"/>
      <c r="I53" s="149"/>
      <c r="J53" s="149"/>
    </row>
    <row r="54" spans="5:11" ht="15" customHeight="1" x14ac:dyDescent="0.2">
      <c r="E54" s="147" t="s">
        <v>396</v>
      </c>
      <c r="F54" s="149"/>
      <c r="G54" s="149"/>
      <c r="H54" s="149"/>
      <c r="I54" s="149"/>
      <c r="J54" s="149"/>
    </row>
    <row r="55" spans="5:11" ht="12.75" x14ac:dyDescent="0.2"/>
    <row r="56" spans="5:11" ht="25.5" customHeight="1" x14ac:dyDescent="0.2">
      <c r="E56" s="168" t="s">
        <v>1727</v>
      </c>
      <c r="F56" s="169"/>
      <c r="G56" s="169"/>
      <c r="H56" s="169"/>
      <c r="I56" s="169"/>
      <c r="J56" s="170"/>
    </row>
    <row r="57" spans="5:11" ht="15" customHeight="1" x14ac:dyDescent="0.2">
      <c r="E57" s="147" t="s">
        <v>397</v>
      </c>
      <c r="F57" s="149"/>
      <c r="G57" s="149"/>
      <c r="H57" s="149"/>
      <c r="I57" s="149"/>
      <c r="J57" s="149"/>
    </row>
    <row r="58" spans="5:11" ht="15" customHeight="1" x14ac:dyDescent="0.2">
      <c r="E58" s="147" t="s">
        <v>398</v>
      </c>
      <c r="F58" s="149"/>
      <c r="G58" s="149"/>
      <c r="H58" s="149"/>
      <c r="I58" s="149"/>
      <c r="J58" s="149"/>
    </row>
    <row r="59" spans="5:11" ht="15" customHeight="1" x14ac:dyDescent="0.2">
      <c r="E59" s="147" t="s">
        <v>399</v>
      </c>
      <c r="F59" s="149"/>
      <c r="G59" s="149"/>
      <c r="H59" s="149"/>
      <c r="I59" s="149"/>
      <c r="J59" s="149"/>
    </row>
    <row r="60" spans="5:11" ht="15" customHeight="1" x14ac:dyDescent="0.2">
      <c r="E60" s="147" t="s">
        <v>1681</v>
      </c>
      <c r="F60" s="149"/>
      <c r="G60" s="149"/>
      <c r="H60" s="149"/>
      <c r="I60" s="149"/>
      <c r="J60" s="149"/>
    </row>
    <row r="61" spans="5:11" ht="12.75" x14ac:dyDescent="0.2"/>
    <row r="62" spans="5:11" ht="25.5" customHeight="1" x14ac:dyDescent="0.2">
      <c r="E62" s="152" t="s">
        <v>400</v>
      </c>
      <c r="F62" s="152"/>
      <c r="G62" s="152"/>
      <c r="H62" s="152"/>
      <c r="I62" s="152"/>
      <c r="J62" s="152"/>
    </row>
    <row r="63" spans="5:11" ht="25.5" customHeight="1" x14ac:dyDescent="0.2">
      <c r="E63" s="172" t="s">
        <v>1807</v>
      </c>
      <c r="F63" s="173"/>
      <c r="G63" s="173"/>
      <c r="H63" s="173"/>
      <c r="I63" s="173"/>
      <c r="J63" s="174"/>
    </row>
    <row r="64" spans="5:11" ht="12.75" x14ac:dyDescent="0.2"/>
    <row r="65" spans="5:11" ht="12.75" x14ac:dyDescent="0.2"/>
    <row r="66" spans="5:11" ht="15.75" customHeight="1" x14ac:dyDescent="0.2">
      <c r="E66" s="159" t="s">
        <v>401</v>
      </c>
      <c r="F66" s="159"/>
      <c r="G66" s="159"/>
      <c r="H66" s="159"/>
      <c r="I66" s="159"/>
      <c r="J66" s="159"/>
      <c r="K66" s="52" t="s">
        <v>402</v>
      </c>
    </row>
    <row r="67" spans="5:11" ht="15" customHeight="1" x14ac:dyDescent="0.2">
      <c r="E67" s="152" t="s">
        <v>403</v>
      </c>
      <c r="F67" s="149"/>
      <c r="G67" s="149"/>
      <c r="H67" s="149"/>
      <c r="I67" s="149"/>
      <c r="J67" s="149"/>
    </row>
    <row r="68" spans="5:11" ht="15" customHeight="1" x14ac:dyDescent="0.2">
      <c r="E68" s="147" t="s">
        <v>404</v>
      </c>
      <c r="F68" s="149"/>
      <c r="G68" s="149"/>
      <c r="H68" s="149"/>
      <c r="I68" s="149"/>
      <c r="J68" s="149"/>
    </row>
    <row r="69" spans="5:11" ht="12.75" x14ac:dyDescent="0.2"/>
    <row r="70" spans="5:11" ht="25.5" customHeight="1" x14ac:dyDescent="0.2">
      <c r="E70" s="168" t="s">
        <v>1727</v>
      </c>
      <c r="F70" s="169"/>
      <c r="G70" s="169"/>
      <c r="H70" s="169"/>
      <c r="I70" s="169"/>
      <c r="J70" s="170"/>
    </row>
    <row r="71" spans="5:11" ht="15" customHeight="1" x14ac:dyDescent="0.2">
      <c r="E71" s="147" t="s">
        <v>1386</v>
      </c>
      <c r="F71" s="149"/>
      <c r="G71" s="149"/>
      <c r="H71" s="149"/>
      <c r="I71" s="149"/>
      <c r="J71" s="149"/>
    </row>
    <row r="72" spans="5:11" ht="15" customHeight="1" x14ac:dyDescent="0.2">
      <c r="E72" s="147" t="s">
        <v>405</v>
      </c>
      <c r="F72" s="149"/>
      <c r="G72" s="149"/>
      <c r="H72" s="149"/>
      <c r="I72" s="149"/>
      <c r="J72" s="149"/>
    </row>
    <row r="73" spans="5:11" ht="15" customHeight="1" x14ac:dyDescent="0.2">
      <c r="E73" s="147" t="s">
        <v>406</v>
      </c>
      <c r="F73" s="149"/>
      <c r="G73" s="149"/>
      <c r="H73" s="149"/>
      <c r="I73" s="149"/>
      <c r="J73" s="149"/>
    </row>
    <row r="74" spans="5:11" ht="15" customHeight="1" x14ac:dyDescent="0.2">
      <c r="E74" s="147" t="s">
        <v>1680</v>
      </c>
      <c r="F74" s="149"/>
      <c r="G74" s="149"/>
      <c r="H74" s="149"/>
      <c r="I74" s="149"/>
      <c r="J74" s="149"/>
    </row>
    <row r="75" spans="5:11" ht="12.75" x14ac:dyDescent="0.2"/>
    <row r="76" spans="5:11" ht="15" customHeight="1" x14ac:dyDescent="0.2">
      <c r="E76" s="152" t="s">
        <v>407</v>
      </c>
      <c r="F76" s="152"/>
      <c r="G76" s="152"/>
      <c r="H76" s="152"/>
      <c r="I76" s="152"/>
      <c r="J76" s="152"/>
    </row>
    <row r="77" spans="5:11" ht="12.75" x14ac:dyDescent="0.2"/>
    <row r="78" spans="5:11" ht="12.75" x14ac:dyDescent="0.2"/>
    <row r="79" spans="5:11" ht="15.75" customHeight="1" x14ac:dyDescent="0.2">
      <c r="E79" s="159" t="s">
        <v>408</v>
      </c>
      <c r="F79" s="159"/>
      <c r="G79" s="159"/>
      <c r="H79" s="159"/>
      <c r="I79" s="159"/>
      <c r="J79" s="159"/>
      <c r="K79" s="52" t="s">
        <v>409</v>
      </c>
    </row>
    <row r="80" spans="5:11" ht="15" customHeight="1" x14ac:dyDescent="0.2">
      <c r="E80" s="152" t="s">
        <v>1390</v>
      </c>
      <c r="F80" s="152"/>
      <c r="G80" s="152"/>
      <c r="H80" s="152"/>
      <c r="I80" s="152"/>
      <c r="J80" s="152"/>
    </row>
    <row r="81" spans="5:11" ht="15" customHeight="1" x14ac:dyDescent="0.2">
      <c r="E81" s="147" t="s">
        <v>410</v>
      </c>
      <c r="F81" s="149"/>
      <c r="G81" s="149"/>
      <c r="H81" s="149"/>
      <c r="I81" s="149"/>
      <c r="J81" s="149"/>
    </row>
    <row r="82" spans="5:11" ht="12.75" x14ac:dyDescent="0.2"/>
    <row r="83" spans="5:11" ht="25.5" customHeight="1" x14ac:dyDescent="0.2">
      <c r="E83" s="168" t="s">
        <v>1727</v>
      </c>
      <c r="F83" s="169"/>
      <c r="G83" s="169"/>
      <c r="H83" s="169"/>
      <c r="I83" s="169"/>
      <c r="J83" s="170"/>
    </row>
    <row r="84" spans="5:11" ht="15" customHeight="1" x14ac:dyDescent="0.2">
      <c r="E84" s="147" t="s">
        <v>1386</v>
      </c>
      <c r="F84" s="149"/>
      <c r="G84" s="149"/>
      <c r="H84" s="149"/>
      <c r="I84" s="149"/>
      <c r="J84" s="149"/>
    </row>
    <row r="85" spans="5:11" ht="15" customHeight="1" x14ac:dyDescent="0.2">
      <c r="E85" s="147" t="s">
        <v>411</v>
      </c>
      <c r="F85" s="149"/>
      <c r="G85" s="149"/>
      <c r="H85" s="149"/>
      <c r="I85" s="149"/>
      <c r="J85" s="149"/>
    </row>
    <row r="86" spans="5:11" ht="15" customHeight="1" x14ac:dyDescent="0.2">
      <c r="E86" s="147" t="s">
        <v>1679</v>
      </c>
      <c r="F86" s="149"/>
      <c r="G86" s="149"/>
      <c r="H86" s="149"/>
      <c r="I86" s="149"/>
      <c r="J86" s="149"/>
    </row>
    <row r="87" spans="5:11" ht="12.75" x14ac:dyDescent="0.2"/>
    <row r="88" spans="5:11" ht="25.5" customHeight="1" x14ac:dyDescent="0.2">
      <c r="E88" s="152" t="s">
        <v>412</v>
      </c>
      <c r="F88" s="152"/>
      <c r="G88" s="152"/>
      <c r="H88" s="152"/>
      <c r="I88" s="152"/>
      <c r="J88" s="152"/>
    </row>
    <row r="89" spans="5:11" ht="15" customHeight="1" x14ac:dyDescent="0.2">
      <c r="E89" s="172" t="s">
        <v>1808</v>
      </c>
      <c r="F89" s="173"/>
      <c r="G89" s="173"/>
      <c r="H89" s="173"/>
      <c r="I89" s="173"/>
      <c r="J89" s="174"/>
    </row>
    <row r="90" spans="5:11" ht="12.75" x14ac:dyDescent="0.2"/>
    <row r="91" spans="5:11" ht="12.75" x14ac:dyDescent="0.2"/>
    <row r="92" spans="5:11" ht="15.75" customHeight="1" x14ac:dyDescent="0.2">
      <c r="E92" s="159" t="s">
        <v>413</v>
      </c>
      <c r="F92" s="159"/>
      <c r="G92" s="159"/>
      <c r="H92" s="159"/>
      <c r="I92" s="159"/>
      <c r="J92" s="159"/>
      <c r="K92" s="52" t="s">
        <v>414</v>
      </c>
    </row>
    <row r="93" spans="5:11" ht="15" customHeight="1" x14ac:dyDescent="0.2">
      <c r="E93" s="152" t="s">
        <v>415</v>
      </c>
      <c r="F93" s="149"/>
      <c r="G93" s="149"/>
      <c r="H93" s="149"/>
      <c r="I93" s="149"/>
      <c r="J93" s="149"/>
    </row>
    <row r="94" spans="5:11" ht="15" customHeight="1" x14ac:dyDescent="0.2">
      <c r="E94" s="147" t="s">
        <v>416</v>
      </c>
      <c r="F94" s="149"/>
      <c r="G94" s="149"/>
      <c r="H94" s="149"/>
      <c r="I94" s="149"/>
      <c r="J94" s="149"/>
    </row>
    <row r="95" spans="5:11" ht="12.75" x14ac:dyDescent="0.2"/>
    <row r="96" spans="5:11" ht="25.5" customHeight="1" x14ac:dyDescent="0.2">
      <c r="E96" s="168" t="s">
        <v>1727</v>
      </c>
      <c r="F96" s="169"/>
      <c r="G96" s="169"/>
      <c r="H96" s="169"/>
      <c r="I96" s="169"/>
      <c r="J96" s="170"/>
    </row>
    <row r="97" spans="5:11" ht="15" customHeight="1" x14ac:dyDescent="0.2">
      <c r="E97" s="147" t="s">
        <v>1386</v>
      </c>
      <c r="F97" s="149"/>
      <c r="G97" s="149"/>
      <c r="H97" s="149"/>
      <c r="I97" s="149"/>
      <c r="J97" s="149"/>
    </row>
    <row r="98" spans="5:11" ht="15" customHeight="1" x14ac:dyDescent="0.2">
      <c r="E98" s="147" t="s">
        <v>417</v>
      </c>
      <c r="F98" s="149"/>
      <c r="G98" s="149"/>
      <c r="H98" s="149"/>
      <c r="I98" s="149"/>
      <c r="J98" s="149"/>
    </row>
    <row r="99" spans="5:11" ht="15" customHeight="1" x14ac:dyDescent="0.2">
      <c r="E99" s="147" t="s">
        <v>1678</v>
      </c>
      <c r="F99" s="149"/>
      <c r="G99" s="149"/>
      <c r="H99" s="149"/>
      <c r="I99" s="149"/>
      <c r="J99" s="149"/>
    </row>
    <row r="100" spans="5:11" ht="12.75" x14ac:dyDescent="0.2"/>
    <row r="101" spans="5:11" ht="15" customHeight="1" x14ac:dyDescent="0.2">
      <c r="E101" s="152" t="s">
        <v>418</v>
      </c>
      <c r="F101" s="149"/>
      <c r="G101" s="149"/>
      <c r="H101" s="149"/>
      <c r="I101" s="149"/>
      <c r="J101" s="149"/>
    </row>
    <row r="102" spans="5:11" ht="12.75" x14ac:dyDescent="0.2"/>
    <row r="103" spans="5:11" ht="12.75" x14ac:dyDescent="0.2"/>
    <row r="104" spans="5:11" ht="15.75" customHeight="1" x14ac:dyDescent="0.2">
      <c r="E104" s="159" t="s">
        <v>3318</v>
      </c>
      <c r="F104" s="159"/>
      <c r="G104" s="159"/>
      <c r="H104" s="159"/>
      <c r="I104" s="159"/>
      <c r="J104" s="159"/>
      <c r="K104" s="52" t="s">
        <v>3319</v>
      </c>
    </row>
    <row r="105" spans="5:11" ht="25.5" customHeight="1" x14ac:dyDescent="0.2">
      <c r="E105" s="152" t="s">
        <v>3320</v>
      </c>
      <c r="F105" s="149"/>
      <c r="G105" s="149"/>
      <c r="H105" s="149"/>
      <c r="I105" s="149"/>
      <c r="J105" s="149"/>
    </row>
    <row r="106" spans="5:11" ht="21.75" customHeight="1" x14ac:dyDescent="0.2">
      <c r="E106" s="147" t="s">
        <v>3321</v>
      </c>
      <c r="F106" s="149"/>
      <c r="G106" s="149"/>
      <c r="H106" s="149"/>
      <c r="I106" s="149"/>
      <c r="J106" s="149"/>
    </row>
    <row r="107" spans="5:11" ht="12.75" customHeight="1" x14ac:dyDescent="0.2"/>
    <row r="108" spans="5:11" ht="25.5" customHeight="1" x14ac:dyDescent="0.2">
      <c r="E108" s="193" t="s">
        <v>3322</v>
      </c>
      <c r="F108" s="194"/>
      <c r="G108" s="194"/>
      <c r="H108" s="194"/>
      <c r="I108" s="194"/>
      <c r="J108" s="195"/>
    </row>
    <row r="109" spans="5:11" ht="15" customHeight="1" x14ac:dyDescent="0.2">
      <c r="E109" s="147" t="s">
        <v>3353</v>
      </c>
      <c r="F109" s="149"/>
      <c r="G109" s="149"/>
      <c r="H109" s="149"/>
      <c r="I109" s="149"/>
      <c r="J109" s="149"/>
    </row>
    <row r="110" spans="5:11" ht="15" customHeight="1" x14ac:dyDescent="0.2">
      <c r="E110" s="147" t="s">
        <v>3323</v>
      </c>
      <c r="F110" s="149"/>
      <c r="G110" s="149"/>
      <c r="H110" s="149"/>
      <c r="I110" s="149"/>
      <c r="J110" s="149"/>
    </row>
    <row r="111" spans="5:11" ht="15" customHeight="1" x14ac:dyDescent="0.2">
      <c r="E111" s="147" t="s">
        <v>3324</v>
      </c>
      <c r="F111" s="149"/>
      <c r="G111" s="149"/>
      <c r="H111" s="149"/>
      <c r="I111" s="149"/>
      <c r="J111" s="149"/>
    </row>
    <row r="112" spans="5:11" ht="15" customHeight="1" x14ac:dyDescent="0.2">
      <c r="E112" s="147" t="s">
        <v>3325</v>
      </c>
      <c r="F112" s="149"/>
      <c r="G112" s="149"/>
      <c r="H112" s="149"/>
      <c r="I112" s="149"/>
      <c r="J112" s="149"/>
    </row>
    <row r="113" spans="5:11" ht="12.75" customHeight="1" x14ac:dyDescent="0.2"/>
    <row r="114" spans="5:11" ht="15" customHeight="1" x14ac:dyDescent="0.2">
      <c r="E114" s="152" t="s">
        <v>3326</v>
      </c>
      <c r="F114" s="152"/>
      <c r="G114" s="152"/>
      <c r="H114" s="152"/>
      <c r="I114" s="152"/>
      <c r="J114" s="152"/>
    </row>
    <row r="115" spans="5:11" ht="25.5" customHeight="1" x14ac:dyDescent="0.2">
      <c r="E115" s="172" t="s">
        <v>3327</v>
      </c>
      <c r="F115" s="173"/>
      <c r="G115" s="173"/>
      <c r="H115" s="173"/>
      <c r="I115" s="173"/>
      <c r="J115" s="174"/>
    </row>
    <row r="116" spans="5:11" ht="12.75" customHeight="1" x14ac:dyDescent="0.2"/>
    <row r="117" spans="5:11" ht="12.75" customHeight="1" x14ac:dyDescent="0.2"/>
    <row r="118" spans="5:11" ht="15.75" customHeight="1" x14ac:dyDescent="0.2">
      <c r="E118" s="159" t="s">
        <v>1551</v>
      </c>
      <c r="F118" s="159"/>
      <c r="G118" s="159"/>
      <c r="H118" s="159"/>
      <c r="I118" s="159"/>
      <c r="J118" s="159"/>
      <c r="K118" s="52" t="s">
        <v>1552</v>
      </c>
    </row>
    <row r="119" spans="5:11" ht="15" customHeight="1" x14ac:dyDescent="0.2">
      <c r="E119" s="152" t="s">
        <v>1674</v>
      </c>
      <c r="F119" s="149"/>
      <c r="G119" s="149"/>
      <c r="H119" s="149"/>
      <c r="I119" s="149"/>
      <c r="J119" s="149"/>
    </row>
    <row r="120" spans="5:11" ht="15" customHeight="1" x14ac:dyDescent="0.2">
      <c r="E120" s="147" t="s">
        <v>1675</v>
      </c>
      <c r="F120" s="149"/>
      <c r="G120" s="149"/>
      <c r="H120" s="149"/>
      <c r="I120" s="149"/>
      <c r="J120" s="149"/>
    </row>
    <row r="121" spans="5:11" ht="12.75" x14ac:dyDescent="0.2"/>
    <row r="122" spans="5:11" ht="15" customHeight="1" x14ac:dyDescent="0.2">
      <c r="E122" s="168" t="s">
        <v>1728</v>
      </c>
      <c r="F122" s="169"/>
      <c r="G122" s="169"/>
      <c r="H122" s="169"/>
      <c r="I122" s="169"/>
      <c r="J122" s="170"/>
    </row>
    <row r="123" spans="5:11" ht="15" customHeight="1" x14ac:dyDescent="0.2">
      <c r="E123" s="147" t="s">
        <v>1386</v>
      </c>
      <c r="F123" s="149"/>
      <c r="G123" s="149"/>
      <c r="H123" s="149"/>
      <c r="I123" s="149"/>
      <c r="J123" s="149"/>
    </row>
    <row r="124" spans="5:11" ht="15" customHeight="1" x14ac:dyDescent="0.2">
      <c r="E124" s="147" t="s">
        <v>1553</v>
      </c>
      <c r="F124" s="149"/>
      <c r="G124" s="149"/>
      <c r="H124" s="149"/>
      <c r="I124" s="149"/>
      <c r="J124" s="149"/>
    </row>
    <row r="125" spans="5:11" ht="15" customHeight="1" x14ac:dyDescent="0.2">
      <c r="E125" s="147" t="s">
        <v>1676</v>
      </c>
      <c r="F125" s="149"/>
      <c r="G125" s="149"/>
      <c r="H125" s="149"/>
      <c r="I125" s="149"/>
      <c r="J125" s="149"/>
    </row>
    <row r="126" spans="5:11" ht="12.75" x14ac:dyDescent="0.2"/>
    <row r="127" spans="5:11" ht="25.5" customHeight="1" x14ac:dyDescent="0.2">
      <c r="E127" s="152" t="s">
        <v>1677</v>
      </c>
      <c r="F127" s="152"/>
      <c r="G127" s="152"/>
      <c r="H127" s="152"/>
      <c r="I127" s="152"/>
      <c r="J127" s="152"/>
    </row>
    <row r="128" spans="5:11" ht="12.75" x14ac:dyDescent="0.2"/>
    <row r="129" spans="5:10" ht="15" customHeight="1" x14ac:dyDescent="0.2">
      <c r="E129" s="198" t="s">
        <v>1859</v>
      </c>
      <c r="F129" s="199"/>
      <c r="G129" s="199"/>
      <c r="H129" s="199"/>
      <c r="I129" s="199"/>
      <c r="J129" s="200"/>
    </row>
  </sheetData>
  <mergeCells count="86">
    <mergeCell ref="E110:J110"/>
    <mergeCell ref="E111:J111"/>
    <mergeCell ref="E112:J112"/>
    <mergeCell ref="E114:J114"/>
    <mergeCell ref="E115:J115"/>
    <mergeCell ref="E104:J104"/>
    <mergeCell ref="E105:J105"/>
    <mergeCell ref="E106:J106"/>
    <mergeCell ref="E108:J108"/>
    <mergeCell ref="E109:J109"/>
    <mergeCell ref="E39:J39"/>
    <mergeCell ref="E57:J57"/>
    <mergeCell ref="E43:J43"/>
    <mergeCell ref="E40:J40"/>
    <mergeCell ref="E36:J36"/>
    <mergeCell ref="E44:J44"/>
    <mergeCell ref="E45:J45"/>
    <mergeCell ref="E49:J49"/>
    <mergeCell ref="E48:J48"/>
    <mergeCell ref="E46:J46"/>
    <mergeCell ref="E35:J35"/>
    <mergeCell ref="E28:J28"/>
    <mergeCell ref="E27:J27"/>
    <mergeCell ref="E26:J26"/>
    <mergeCell ref="E14:J14"/>
    <mergeCell ref="E16:J16"/>
    <mergeCell ref="E19:J20"/>
    <mergeCell ref="E23:J23"/>
    <mergeCell ref="E22:J22"/>
    <mergeCell ref="E72:J72"/>
    <mergeCell ref="E62:J62"/>
    <mergeCell ref="E70:J70"/>
    <mergeCell ref="E66:J66"/>
    <mergeCell ref="E52:J52"/>
    <mergeCell ref="E68:J68"/>
    <mergeCell ref="E71:J71"/>
    <mergeCell ref="E63:J63"/>
    <mergeCell ref="E67:J67"/>
    <mergeCell ref="E93:J93"/>
    <mergeCell ref="E60:J60"/>
    <mergeCell ref="E125:J125"/>
    <mergeCell ref="E86:J86"/>
    <mergeCell ref="E98:J98"/>
    <mergeCell ref="E99:J99"/>
    <mergeCell ref="E84:J84"/>
    <mergeCell ref="E122:J122"/>
    <mergeCell ref="E101:J101"/>
    <mergeCell ref="E73:J73"/>
    <mergeCell ref="E120:J120"/>
    <mergeCell ref="E80:J80"/>
    <mergeCell ref="E79:J79"/>
    <mergeCell ref="E76:J76"/>
    <mergeCell ref="E85:J85"/>
    <mergeCell ref="E74:J74"/>
    <mergeCell ref="E3:L4"/>
    <mergeCell ref="E41:J41"/>
    <mergeCell ref="E6:J7"/>
    <mergeCell ref="E54:J54"/>
    <mergeCell ref="E59:J59"/>
    <mergeCell ref="E18:J18"/>
    <mergeCell ref="E33:J33"/>
    <mergeCell ref="E17:J17"/>
    <mergeCell ref="E12:J13"/>
    <mergeCell ref="E53:J53"/>
    <mergeCell ref="K10:K11"/>
    <mergeCell ref="E30:J30"/>
    <mergeCell ref="E32:J32"/>
    <mergeCell ref="E56:J56"/>
    <mergeCell ref="E10:J11"/>
    <mergeCell ref="E31:J31"/>
    <mergeCell ref="E5:L5"/>
    <mergeCell ref="E129:J129"/>
    <mergeCell ref="E124:J124"/>
    <mergeCell ref="E58:J58"/>
    <mergeCell ref="E123:J123"/>
    <mergeCell ref="E97:J97"/>
    <mergeCell ref="E119:J119"/>
    <mergeCell ref="E96:J96"/>
    <mergeCell ref="E92:J92"/>
    <mergeCell ref="E89:J89"/>
    <mergeCell ref="E88:J88"/>
    <mergeCell ref="E83:J83"/>
    <mergeCell ref="E127:J127"/>
    <mergeCell ref="E118:J118"/>
    <mergeCell ref="E94:J94"/>
    <mergeCell ref="E81:J81"/>
  </mergeCells>
  <hyperlinks>
    <hyperlink ref="B2" location="'Start here'!E6" tooltip="back to Start here" display="⌂  CompBot Tutorial" xr:uid="{00000000-0004-0000-0500-000000000000}"/>
    <hyperlink ref="E5" location="'Case'!K9:T19" display="'Case'!K9:T18" xr:uid="{447ACC4B-FC98-4BE8-8A4D-5F42EC1EF223}"/>
    <hyperlink ref="E129" location="'Case'!K9:T19" display="'Case'!K9:T18" xr:uid="{89B70D47-B98D-4DF8-A379-301CDD215BC5}"/>
    <hyperlink ref="B6" location="'Start here'!E6" display="▸  START" xr:uid="{97520784-7CED-455A-8ED1-7ABE0EAD014D}"/>
    <hyperlink ref="B7" location="'C1 Your machine'!E6" display="▾  COMMANDS" xr:uid="{7F61346F-E4C1-4DD9-93C5-2CFA3F97621F}"/>
    <hyperlink ref="B8" location="'C1 Your machine'!E6" display="C1 Your machine" xr:uid="{A1741708-2654-441B-8782-8E11A855563E}"/>
    <hyperlink ref="B9" location="'C2 Open the case'!E6" display="C2 Open the case" xr:uid="{9A75EF10-D3EA-4FEE-9BC7-DD7BD2B28585}"/>
    <hyperlink ref="B11" location="'C4 Solve a level'!E6" display="C4 Solve a level" xr:uid="{7EA560F7-1A22-4683-9563-8C4C0FD25C41}"/>
    <hyperlink ref="B12" location="'C5 Wrap a formula'!E6" display="C5 Wrap a formula" xr:uid="{4B171CF6-CC3B-43A1-BF77-095B3D7C2247}"/>
    <hyperlink ref="B13" location="'C6 Text, codes and lookups'!E6" display="C6 Text, codes and lookups" xr:uid="{4A243FF4-5532-433D-B7E6-A0B6E3FB5483}"/>
    <hyperlink ref="B14" location="'C7 Maps, grids and sheets'!E6" display="C7 Maps, grids and sheets" xr:uid="{126C6B82-2945-443B-8C8F-52266C174871}"/>
    <hyperlink ref="B15" location="'C8 Housekeeping'!E6" display="C8 Housekeeping" xr:uid="{25D2663A-DE66-4799-89D4-DAE4D272E69B}"/>
    <hyperlink ref="B16" location="'Demo maps'!E6" display="▸  DEMO SHEETS" xr:uid="{E399B9A5-4CEA-48E3-A38D-6A565B9DA3E3}"/>
    <hyperlink ref="B17" location="'Level 1 Basics'!E6" display="▸  LAMBDAS" xr:uid="{321F4731-B11B-4643-8B32-24A31E2B8CDB}"/>
    <hyperlink ref="B19" location="'Command cheat sheet'!E6" display="▸  REFERENCE" xr:uid="{72ECDC6B-0F8C-49B6-B751-4FD6A47804C9}"/>
    <hyperlink ref="B18" location="'I1 The Alves Method'!E6" display="▸  INSIDER" xr:uid="{8E2A8C85-D03F-46C4-B829-7E3E2432D8CD}"/>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1A5FB4"/>
  </sheetPr>
  <dimension ref="A1:L180"/>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9" customWidth="1"/>
    <col min="2" max="2" width="27" style="19" customWidth="1"/>
    <col min="3" max="3" width="1.5" style="19" customWidth="1"/>
    <col min="4" max="4" width="2.5" customWidth="1"/>
    <col min="5" max="10" width="14.5" customWidth="1"/>
    <col min="11" max="11" width="44" customWidth="1"/>
    <col min="12" max="12" width="46" customWidth="1"/>
  </cols>
  <sheetData>
    <row r="1" spans="2:12" ht="12.75" x14ac:dyDescent="0.2"/>
    <row r="2" spans="2:12" ht="30" customHeight="1" x14ac:dyDescent="0.3">
      <c r="B2" s="20" t="s">
        <v>0</v>
      </c>
      <c r="E2" s="3" t="s">
        <v>419</v>
      </c>
    </row>
    <row r="3" spans="2:12" ht="15" customHeight="1" x14ac:dyDescent="0.2">
      <c r="B3" s="21" t="s">
        <v>2</v>
      </c>
      <c r="E3" s="147" t="s">
        <v>3491</v>
      </c>
      <c r="F3" s="148"/>
      <c r="G3" s="148"/>
      <c r="H3" s="148"/>
      <c r="I3" s="148"/>
      <c r="J3" s="148"/>
      <c r="K3" s="148"/>
      <c r="L3" s="148"/>
    </row>
    <row r="4" spans="2:12" ht="15" customHeight="1" x14ac:dyDescent="0.2">
      <c r="E4" s="148"/>
      <c r="F4" s="148"/>
      <c r="G4" s="148"/>
      <c r="H4" s="148"/>
      <c r="I4" s="148"/>
      <c r="J4" s="148"/>
      <c r="K4" s="148"/>
      <c r="L4" s="148"/>
    </row>
    <row r="5" spans="2:12" ht="12.75" x14ac:dyDescent="0.2">
      <c r="E5" s="196" t="s">
        <v>1857</v>
      </c>
      <c r="F5" s="197"/>
      <c r="G5" s="197"/>
      <c r="H5" s="197"/>
      <c r="I5" s="197"/>
      <c r="J5" s="197"/>
      <c r="K5" s="197"/>
      <c r="L5" s="197"/>
    </row>
    <row r="6" spans="2:12" ht="15" customHeight="1" x14ac:dyDescent="0.2">
      <c r="B6" s="103" t="s">
        <v>315</v>
      </c>
      <c r="E6" s="151" t="s">
        <v>420</v>
      </c>
      <c r="F6" s="148"/>
      <c r="G6" s="148"/>
      <c r="H6" s="148"/>
      <c r="I6" s="148"/>
      <c r="J6" s="148"/>
      <c r="K6" s="148"/>
      <c r="L6" s="148"/>
    </row>
    <row r="7" spans="2:12" ht="15" customHeight="1" x14ac:dyDescent="0.2">
      <c r="B7" s="103" t="s">
        <v>317</v>
      </c>
      <c r="E7" s="148"/>
      <c r="F7" s="148"/>
      <c r="G7" s="148"/>
      <c r="H7" s="148"/>
      <c r="I7" s="148"/>
      <c r="J7" s="148"/>
      <c r="K7" s="148"/>
      <c r="L7" s="148"/>
    </row>
    <row r="8" spans="2:12" ht="12.75" x14ac:dyDescent="0.2">
      <c r="B8" s="105" t="s">
        <v>32</v>
      </c>
    </row>
    <row r="9" spans="2:12" ht="15" customHeight="1" x14ac:dyDescent="0.2">
      <c r="B9" s="105" t="s">
        <v>35</v>
      </c>
      <c r="E9" s="206" t="s">
        <v>1903</v>
      </c>
      <c r="F9" s="206"/>
      <c r="G9" s="206"/>
      <c r="H9" s="206"/>
      <c r="I9" s="206"/>
      <c r="J9" s="206"/>
      <c r="K9" s="72"/>
      <c r="L9" s="72"/>
    </row>
    <row r="10" spans="2:12" ht="15" customHeight="1" x14ac:dyDescent="0.2">
      <c r="B10" s="105" t="s">
        <v>37</v>
      </c>
      <c r="E10" s="206"/>
      <c r="F10" s="206"/>
      <c r="G10" s="206"/>
      <c r="H10" s="206"/>
      <c r="I10" s="206"/>
      <c r="J10" s="206"/>
      <c r="K10" s="72"/>
      <c r="L10" s="72"/>
    </row>
    <row r="11" spans="2:12" ht="15" customHeight="1" x14ac:dyDescent="0.2">
      <c r="B11" s="104" t="s">
        <v>39</v>
      </c>
      <c r="E11" s="206"/>
      <c r="F11" s="206"/>
      <c r="G11" s="206"/>
      <c r="H11" s="206"/>
      <c r="I11" s="206"/>
      <c r="J11" s="206"/>
      <c r="K11" s="72"/>
      <c r="L11" s="72"/>
    </row>
    <row r="12" spans="2:12" ht="15" customHeight="1" x14ac:dyDescent="0.2">
      <c r="B12" s="105" t="s">
        <v>40</v>
      </c>
      <c r="E12" s="206"/>
      <c r="F12" s="206"/>
      <c r="G12" s="206"/>
      <c r="H12" s="206"/>
      <c r="I12" s="206"/>
      <c r="J12" s="206"/>
    </row>
    <row r="13" spans="2:12" ht="15" customHeight="1" x14ac:dyDescent="0.2">
      <c r="B13" s="105" t="s">
        <v>42</v>
      </c>
      <c r="E13" s="206"/>
      <c r="F13" s="206"/>
      <c r="G13" s="206"/>
      <c r="H13" s="206"/>
      <c r="I13" s="206"/>
      <c r="J13" s="206"/>
      <c r="K13" s="72"/>
      <c r="L13" s="72"/>
    </row>
    <row r="14" spans="2:12" ht="15" customHeight="1" x14ac:dyDescent="0.2">
      <c r="B14" s="105" t="s">
        <v>44</v>
      </c>
      <c r="E14" s="72"/>
      <c r="F14" s="72"/>
      <c r="G14" s="72"/>
      <c r="H14" s="72"/>
      <c r="I14" s="72"/>
      <c r="J14" s="72"/>
      <c r="K14" s="72"/>
      <c r="L14" s="72"/>
    </row>
    <row r="15" spans="2:12" ht="15" customHeight="1" x14ac:dyDescent="0.2">
      <c r="B15" s="105" t="s">
        <v>46</v>
      </c>
      <c r="E15" s="206" t="s">
        <v>1904</v>
      </c>
      <c r="F15" s="206"/>
      <c r="G15" s="206"/>
      <c r="H15" s="206"/>
      <c r="I15" s="206"/>
      <c r="J15" s="206"/>
    </row>
    <row r="16" spans="2:12" ht="15" customHeight="1" x14ac:dyDescent="0.2">
      <c r="B16" s="103" t="s">
        <v>11</v>
      </c>
      <c r="E16" s="206"/>
      <c r="F16" s="206"/>
      <c r="G16" s="206"/>
      <c r="H16" s="206"/>
      <c r="I16" s="206"/>
      <c r="J16" s="206"/>
      <c r="K16" s="72"/>
      <c r="L16" s="72"/>
    </row>
    <row r="17" spans="2:12" ht="12.75" x14ac:dyDescent="0.2">
      <c r="B17" s="103" t="s">
        <v>13</v>
      </c>
      <c r="E17" s="206"/>
      <c r="F17" s="206"/>
      <c r="G17" s="206"/>
      <c r="H17" s="206"/>
      <c r="I17" s="206"/>
      <c r="J17" s="206"/>
    </row>
    <row r="18" spans="2:12" ht="12.75" customHeight="1" x14ac:dyDescent="0.2">
      <c r="B18" s="103" t="s">
        <v>3407</v>
      </c>
      <c r="E18" s="206"/>
      <c r="F18" s="206"/>
      <c r="G18" s="206"/>
      <c r="H18" s="206"/>
      <c r="I18" s="206"/>
      <c r="J18" s="206"/>
      <c r="K18" s="73"/>
      <c r="L18" s="73"/>
    </row>
    <row r="19" spans="2:12" ht="15" customHeight="1" x14ac:dyDescent="0.2">
      <c r="B19" s="103" t="s">
        <v>14</v>
      </c>
      <c r="E19" s="73"/>
      <c r="F19" s="73"/>
      <c r="G19" s="73"/>
      <c r="H19" s="73"/>
      <c r="I19" s="73"/>
      <c r="J19" s="73"/>
      <c r="K19" s="73"/>
      <c r="L19" s="73"/>
    </row>
    <row r="20" spans="2:12" ht="15" customHeight="1" x14ac:dyDescent="0.2">
      <c r="B20" s="102"/>
      <c r="E20" s="206" t="s">
        <v>1905</v>
      </c>
      <c r="F20" s="206"/>
      <c r="G20" s="206"/>
      <c r="H20" s="206"/>
      <c r="I20" s="206"/>
      <c r="J20" s="206"/>
      <c r="K20" s="73"/>
      <c r="L20" s="73"/>
    </row>
    <row r="21" spans="2:12" ht="15" customHeight="1" x14ac:dyDescent="0.2">
      <c r="B21" s="102"/>
      <c r="E21" s="73"/>
      <c r="F21" s="73"/>
      <c r="G21" s="73"/>
      <c r="H21" s="73"/>
      <c r="I21" s="73"/>
      <c r="J21" s="73"/>
      <c r="K21" s="73"/>
      <c r="L21" s="73"/>
    </row>
    <row r="22" spans="2:12" ht="15" customHeight="1" x14ac:dyDescent="0.2">
      <c r="B22" s="102"/>
      <c r="E22" s="151" t="s">
        <v>1862</v>
      </c>
      <c r="F22" s="151"/>
      <c r="G22" s="151"/>
      <c r="H22" s="151"/>
      <c r="I22" s="151"/>
      <c r="J22" s="151"/>
      <c r="K22" s="151"/>
      <c r="L22" s="151"/>
    </row>
    <row r="23" spans="2:12" ht="15" customHeight="1" x14ac:dyDescent="0.2">
      <c r="B23" s="102"/>
      <c r="E23" s="151"/>
      <c r="F23" s="151"/>
      <c r="G23" s="151"/>
      <c r="H23" s="151"/>
      <c r="I23" s="151"/>
      <c r="J23" s="151"/>
      <c r="K23" s="151"/>
      <c r="L23" s="151"/>
    </row>
    <row r="24" spans="2:12" ht="12.75" customHeight="1" x14ac:dyDescent="0.2">
      <c r="B24" s="102"/>
    </row>
    <row r="25" spans="2:12" ht="15.75" customHeight="1" x14ac:dyDescent="0.2">
      <c r="B25" s="102"/>
      <c r="E25" s="159" t="s">
        <v>435</v>
      </c>
      <c r="F25" s="159"/>
      <c r="G25" s="159"/>
      <c r="H25" s="159"/>
      <c r="I25" s="159"/>
      <c r="J25" s="159"/>
      <c r="K25" s="52" t="s">
        <v>436</v>
      </c>
    </row>
    <row r="26" spans="2:12" ht="25.5" customHeight="1" x14ac:dyDescent="0.2">
      <c r="B26" s="102"/>
      <c r="E26" s="152" t="s">
        <v>437</v>
      </c>
      <c r="F26" s="152"/>
      <c r="G26" s="152"/>
      <c r="H26" s="152"/>
      <c r="I26" s="152"/>
      <c r="J26" s="152"/>
    </row>
    <row r="27" spans="2:12" ht="21.75" customHeight="1" x14ac:dyDescent="0.2">
      <c r="B27" s="102"/>
      <c r="E27" s="147" t="s">
        <v>3298</v>
      </c>
      <c r="F27" s="147"/>
      <c r="G27" s="147"/>
      <c r="H27" s="147"/>
      <c r="I27" s="147"/>
      <c r="J27" s="147"/>
    </row>
    <row r="28" spans="2:12" ht="12.75" customHeight="1" x14ac:dyDescent="0.2">
      <c r="B28" s="102"/>
    </row>
    <row r="29" spans="2:12" ht="15" customHeight="1" x14ac:dyDescent="0.2">
      <c r="B29" s="102"/>
      <c r="E29" s="202" t="s">
        <v>1726</v>
      </c>
      <c r="F29" s="203"/>
      <c r="G29" s="203"/>
      <c r="H29" s="203"/>
      <c r="I29" s="203"/>
      <c r="J29" s="204"/>
    </row>
    <row r="30" spans="2:12" ht="15" customHeight="1" x14ac:dyDescent="0.2">
      <c r="B30" s="102"/>
      <c r="E30" s="147" t="s">
        <v>3299</v>
      </c>
      <c r="F30" s="149"/>
      <c r="G30" s="149"/>
      <c r="H30" s="149"/>
      <c r="I30" s="149"/>
      <c r="J30" s="149"/>
    </row>
    <row r="31" spans="2:12" ht="15" customHeight="1" x14ac:dyDescent="0.2">
      <c r="B31" s="102"/>
      <c r="E31" s="147" t="s">
        <v>438</v>
      </c>
      <c r="F31" s="149"/>
      <c r="G31" s="149"/>
      <c r="H31" s="149"/>
      <c r="I31" s="149"/>
      <c r="J31" s="149"/>
    </row>
    <row r="32" spans="2:12" ht="15" customHeight="1" x14ac:dyDescent="0.2">
      <c r="B32" s="102"/>
      <c r="E32" s="147" t="s">
        <v>1864</v>
      </c>
      <c r="F32" s="147"/>
      <c r="G32" s="147"/>
      <c r="H32" s="147"/>
      <c r="I32" s="147"/>
      <c r="J32" s="147"/>
    </row>
    <row r="33" spans="2:11" ht="12.75" customHeight="1" x14ac:dyDescent="0.2">
      <c r="B33" s="102"/>
    </row>
    <row r="34" spans="2:11" ht="15" customHeight="1" x14ac:dyDescent="0.2">
      <c r="B34" s="102"/>
      <c r="E34" s="152" t="s">
        <v>1872</v>
      </c>
      <c r="F34" s="152"/>
      <c r="G34" s="152"/>
      <c r="H34" s="152"/>
      <c r="I34" s="152"/>
      <c r="J34" s="152"/>
    </row>
    <row r="35" spans="2:11" ht="25.5" customHeight="1" x14ac:dyDescent="0.2">
      <c r="B35" s="102"/>
      <c r="E35" s="156" t="s">
        <v>1814</v>
      </c>
      <c r="F35" s="157"/>
      <c r="G35" s="157"/>
      <c r="H35" s="157"/>
      <c r="I35" s="157"/>
      <c r="J35" s="158"/>
    </row>
    <row r="36" spans="2:11" ht="15" customHeight="1" x14ac:dyDescent="0.2">
      <c r="B36" s="102"/>
    </row>
    <row r="37" spans="2:11" ht="15" customHeight="1" x14ac:dyDescent="0.2">
      <c r="B37" s="102"/>
    </row>
    <row r="38" spans="2:11" ht="15.75" customHeight="1" x14ac:dyDescent="0.2">
      <c r="B38" s="102"/>
      <c r="E38" s="159" t="s">
        <v>439</v>
      </c>
      <c r="F38" s="159"/>
      <c r="G38" s="159"/>
      <c r="H38" s="159"/>
      <c r="I38" s="159"/>
      <c r="J38" s="159"/>
      <c r="K38" s="52" t="s">
        <v>440</v>
      </c>
    </row>
    <row r="39" spans="2:11" ht="25.5" customHeight="1" x14ac:dyDescent="0.2">
      <c r="B39" s="102"/>
      <c r="E39" s="152" t="s">
        <v>441</v>
      </c>
      <c r="F39" s="152"/>
      <c r="G39" s="152"/>
      <c r="H39" s="152"/>
      <c r="I39" s="152"/>
      <c r="J39" s="152"/>
    </row>
    <row r="40" spans="2:11" ht="15" customHeight="1" x14ac:dyDescent="0.2">
      <c r="B40" s="102"/>
      <c r="E40" s="147" t="s">
        <v>442</v>
      </c>
      <c r="F40" s="147"/>
      <c r="G40" s="147"/>
      <c r="H40" s="147"/>
      <c r="I40" s="147"/>
      <c r="J40" s="147"/>
    </row>
    <row r="41" spans="2:11" ht="12.75" customHeight="1" x14ac:dyDescent="0.2">
      <c r="B41" s="102"/>
    </row>
    <row r="42" spans="2:11" ht="15" customHeight="1" x14ac:dyDescent="0.2">
      <c r="B42" s="102"/>
      <c r="E42" s="202" t="s">
        <v>1726</v>
      </c>
      <c r="F42" s="203"/>
      <c r="G42" s="203"/>
      <c r="H42" s="203"/>
      <c r="I42" s="203"/>
      <c r="J42" s="204"/>
    </row>
    <row r="43" spans="2:11" ht="15" customHeight="1" x14ac:dyDescent="0.2">
      <c r="B43" s="102"/>
      <c r="E43" s="147" t="s">
        <v>1386</v>
      </c>
      <c r="F43" s="149"/>
      <c r="G43" s="149"/>
      <c r="H43" s="149"/>
      <c r="I43" s="149"/>
      <c r="J43" s="149"/>
    </row>
    <row r="44" spans="2:11" ht="15" customHeight="1" x14ac:dyDescent="0.2">
      <c r="B44" s="102"/>
      <c r="E44" s="147" t="s">
        <v>443</v>
      </c>
      <c r="F44" s="149"/>
      <c r="G44" s="149"/>
      <c r="H44" s="149"/>
      <c r="I44" s="149"/>
      <c r="J44" s="149"/>
    </row>
    <row r="45" spans="2:11" ht="15" customHeight="1" x14ac:dyDescent="0.2">
      <c r="B45" s="102"/>
      <c r="E45" s="147" t="s">
        <v>1865</v>
      </c>
      <c r="F45" s="147"/>
      <c r="G45" s="147"/>
      <c r="H45" s="147"/>
      <c r="I45" s="147"/>
      <c r="J45" s="147"/>
    </row>
    <row r="46" spans="2:11" ht="12.75" customHeight="1" x14ac:dyDescent="0.2">
      <c r="B46" s="102"/>
    </row>
    <row r="47" spans="2:11" ht="25.5" customHeight="1" x14ac:dyDescent="0.2">
      <c r="E47" s="152" t="s">
        <v>1873</v>
      </c>
      <c r="F47" s="152"/>
      <c r="G47" s="152"/>
      <c r="H47" s="152"/>
      <c r="I47" s="152"/>
      <c r="J47" s="152"/>
    </row>
    <row r="48" spans="2:11" ht="25.5" customHeight="1" x14ac:dyDescent="0.2">
      <c r="E48" s="156" t="s">
        <v>1815</v>
      </c>
      <c r="F48" s="157"/>
      <c r="G48" s="157"/>
      <c r="H48" s="157"/>
      <c r="I48" s="157"/>
      <c r="J48" s="158"/>
    </row>
    <row r="51" spans="5:12" ht="15" customHeight="1" x14ac:dyDescent="0.2">
      <c r="E51" s="151" t="s">
        <v>1860</v>
      </c>
      <c r="F51" s="151"/>
      <c r="G51" s="151"/>
      <c r="H51" s="151"/>
      <c r="I51" s="151"/>
      <c r="J51" s="151"/>
      <c r="K51" s="151"/>
      <c r="L51" s="151"/>
    </row>
    <row r="52" spans="5:12" ht="15" customHeight="1" x14ac:dyDescent="0.2">
      <c r="E52" s="151"/>
      <c r="F52" s="151"/>
      <c r="G52" s="151"/>
      <c r="H52" s="151"/>
      <c r="I52" s="151"/>
      <c r="J52" s="151"/>
      <c r="K52" s="151"/>
      <c r="L52" s="151"/>
    </row>
    <row r="53" spans="5:12" ht="12.75" customHeight="1" x14ac:dyDescent="0.2"/>
    <row r="54" spans="5:12" ht="15.75" customHeight="1" x14ac:dyDescent="0.2">
      <c r="E54" s="205" t="s">
        <v>421</v>
      </c>
      <c r="F54" s="205"/>
      <c r="G54" s="205"/>
      <c r="H54" s="205"/>
      <c r="I54" s="205"/>
      <c r="J54" s="205"/>
      <c r="K54" s="52" t="s">
        <v>422</v>
      </c>
    </row>
    <row r="55" spans="5:12" ht="25.5" customHeight="1" x14ac:dyDescent="0.2">
      <c r="E55" s="152" t="s">
        <v>1874</v>
      </c>
      <c r="F55" s="152"/>
      <c r="G55" s="152"/>
      <c r="H55" s="152"/>
      <c r="I55" s="152"/>
      <c r="J55" s="152"/>
    </row>
    <row r="56" spans="5:12" ht="21.75" customHeight="1" x14ac:dyDescent="0.2">
      <c r="E56" s="147" t="s">
        <v>1585</v>
      </c>
      <c r="F56" s="147"/>
      <c r="G56" s="147"/>
      <c r="H56" s="147"/>
      <c r="I56" s="147"/>
      <c r="J56" s="147"/>
    </row>
    <row r="57" spans="5:12" ht="12.75" customHeight="1" x14ac:dyDescent="0.2"/>
    <row r="58" spans="5:12" ht="15" customHeight="1" x14ac:dyDescent="0.2">
      <c r="E58" s="202" t="s">
        <v>1726</v>
      </c>
      <c r="F58" s="203"/>
      <c r="G58" s="203"/>
      <c r="H58" s="203"/>
      <c r="I58" s="203"/>
      <c r="J58" s="204"/>
    </row>
    <row r="59" spans="5:12" ht="15" customHeight="1" x14ac:dyDescent="0.2">
      <c r="E59" s="147" t="s">
        <v>1863</v>
      </c>
      <c r="F59" s="149"/>
      <c r="G59" s="149"/>
      <c r="H59" s="149"/>
      <c r="I59" s="149"/>
      <c r="J59" s="149"/>
    </row>
    <row r="60" spans="5:12" ht="15" customHeight="1" x14ac:dyDescent="0.2">
      <c r="E60" s="147" t="s">
        <v>423</v>
      </c>
      <c r="F60" s="149"/>
      <c r="G60" s="149"/>
      <c r="H60" s="149"/>
      <c r="I60" s="149"/>
      <c r="J60" s="149"/>
    </row>
    <row r="61" spans="5:12" ht="15" customHeight="1" x14ac:dyDescent="0.2">
      <c r="E61" s="147" t="s">
        <v>1866</v>
      </c>
      <c r="F61" s="147"/>
      <c r="G61" s="147"/>
      <c r="H61" s="147"/>
      <c r="I61" s="147"/>
      <c r="J61" s="147"/>
    </row>
    <row r="62" spans="5:12" ht="12.75" customHeight="1" x14ac:dyDescent="0.2"/>
    <row r="63" spans="5:12" ht="25.5" customHeight="1" x14ac:dyDescent="0.2">
      <c r="E63" s="152" t="s">
        <v>424</v>
      </c>
      <c r="F63" s="152"/>
      <c r="G63" s="152"/>
      <c r="H63" s="152"/>
      <c r="I63" s="152"/>
      <c r="J63" s="152"/>
    </row>
    <row r="64" spans="5:12" ht="38.25" customHeight="1" x14ac:dyDescent="0.2">
      <c r="E64" s="156" t="s">
        <v>1809</v>
      </c>
      <c r="F64" s="157"/>
      <c r="G64" s="157"/>
      <c r="H64" s="157"/>
      <c r="I64" s="157"/>
      <c r="J64" s="158"/>
    </row>
    <row r="65" spans="5:11" ht="15" customHeight="1" x14ac:dyDescent="0.2">
      <c r="E65" s="7"/>
      <c r="F65" s="7"/>
      <c r="G65" s="7"/>
      <c r="H65" s="7"/>
      <c r="I65" s="7"/>
      <c r="J65" s="7"/>
    </row>
    <row r="66" spans="5:11" ht="15" customHeight="1" x14ac:dyDescent="0.2">
      <c r="E66" s="7"/>
      <c r="F66" s="7"/>
      <c r="G66" s="7"/>
      <c r="H66" s="7"/>
      <c r="I66" s="7"/>
      <c r="J66" s="7"/>
    </row>
    <row r="67" spans="5:11" ht="15.75" customHeight="1" x14ac:dyDescent="0.2">
      <c r="E67" s="205" t="s">
        <v>3309</v>
      </c>
      <c r="F67" s="205"/>
      <c r="G67" s="205"/>
      <c r="H67" s="205"/>
      <c r="I67" s="205"/>
      <c r="J67" s="205"/>
      <c r="K67" s="52" t="s">
        <v>3310</v>
      </c>
    </row>
    <row r="68" spans="5:11" ht="25.5" customHeight="1" x14ac:dyDescent="0.2">
      <c r="E68" s="152" t="s">
        <v>3311</v>
      </c>
      <c r="F68" s="152"/>
      <c r="G68" s="152"/>
      <c r="H68" s="152"/>
      <c r="I68" s="152"/>
      <c r="J68" s="152"/>
    </row>
    <row r="69" spans="5:11" ht="15" customHeight="1" x14ac:dyDescent="0.2">
      <c r="E69" s="147" t="s">
        <v>3312</v>
      </c>
      <c r="F69" s="147"/>
      <c r="G69" s="147"/>
      <c r="H69" s="147"/>
      <c r="I69" s="147"/>
      <c r="J69" s="147"/>
    </row>
    <row r="70" spans="5:11" ht="12.75" customHeight="1" x14ac:dyDescent="0.2"/>
    <row r="71" spans="5:11" ht="15" customHeight="1" x14ac:dyDescent="0.2">
      <c r="E71" s="202" t="s">
        <v>1725</v>
      </c>
      <c r="F71" s="203"/>
      <c r="G71" s="203"/>
      <c r="H71" s="203"/>
      <c r="I71" s="203"/>
      <c r="J71" s="204"/>
    </row>
    <row r="72" spans="5:11" ht="15" customHeight="1" x14ac:dyDescent="0.2">
      <c r="E72" s="147" t="s">
        <v>3313</v>
      </c>
      <c r="F72" s="149"/>
      <c r="G72" s="149"/>
      <c r="H72" s="149"/>
      <c r="I72" s="149"/>
      <c r="J72" s="149"/>
    </row>
    <row r="73" spans="5:11" ht="15" customHeight="1" x14ac:dyDescent="0.2">
      <c r="E73" s="147" t="s">
        <v>3314</v>
      </c>
      <c r="F73" s="149"/>
      <c r="G73" s="149"/>
      <c r="H73" s="149"/>
      <c r="I73" s="149"/>
      <c r="J73" s="149"/>
    </row>
    <row r="74" spans="5:11" ht="15" customHeight="1" x14ac:dyDescent="0.2">
      <c r="E74" s="147" t="s">
        <v>3315</v>
      </c>
      <c r="F74" s="147"/>
      <c r="G74" s="147"/>
      <c r="H74" s="147"/>
      <c r="I74" s="147"/>
      <c r="J74" s="147"/>
    </row>
    <row r="75" spans="5:11" ht="12.75" customHeight="1" x14ac:dyDescent="0.2"/>
    <row r="76" spans="5:11" ht="25.5" customHeight="1" x14ac:dyDescent="0.2">
      <c r="E76" s="152" t="s">
        <v>3316</v>
      </c>
      <c r="F76" s="152"/>
      <c r="G76" s="152"/>
      <c r="H76" s="152"/>
      <c r="I76" s="152"/>
      <c r="J76" s="152"/>
    </row>
    <row r="77" spans="5:11" ht="25.5" customHeight="1" x14ac:dyDescent="0.2">
      <c r="E77" s="156" t="s">
        <v>3317</v>
      </c>
      <c r="F77" s="157"/>
      <c r="G77" s="157"/>
      <c r="H77" s="157"/>
      <c r="I77" s="157"/>
      <c r="J77" s="158"/>
    </row>
    <row r="78" spans="5:11" ht="15" customHeight="1" x14ac:dyDescent="0.2">
      <c r="E78" s="7"/>
      <c r="F78" s="7"/>
      <c r="G78" s="7"/>
      <c r="H78" s="7"/>
      <c r="I78" s="7"/>
      <c r="J78" s="7"/>
    </row>
    <row r="79" spans="5:11" ht="15" customHeight="1" x14ac:dyDescent="0.2">
      <c r="E79" s="7"/>
      <c r="F79" s="7"/>
      <c r="G79" s="7"/>
      <c r="H79" s="7"/>
      <c r="I79" s="7"/>
      <c r="J79" s="7"/>
    </row>
    <row r="80" spans="5:11" ht="15.75" customHeight="1" x14ac:dyDescent="0.2">
      <c r="E80" s="175" t="s">
        <v>1701</v>
      </c>
      <c r="F80" s="175"/>
      <c r="G80" s="175"/>
      <c r="H80" s="175"/>
      <c r="I80" s="175"/>
      <c r="J80" s="175"/>
      <c r="K80" s="58" t="s">
        <v>1702</v>
      </c>
    </row>
    <row r="81" spans="5:11" ht="25.5" customHeight="1" x14ac:dyDescent="0.2">
      <c r="E81" s="177" t="s">
        <v>1703</v>
      </c>
      <c r="F81" s="177"/>
      <c r="G81" s="177"/>
      <c r="H81" s="177"/>
      <c r="I81" s="177"/>
      <c r="J81" s="177"/>
    </row>
    <row r="82" spans="5:11" ht="15" customHeight="1" x14ac:dyDescent="0.2">
      <c r="E82" s="176" t="s">
        <v>1704</v>
      </c>
      <c r="F82" s="176"/>
      <c r="G82" s="176"/>
      <c r="H82" s="176"/>
      <c r="I82" s="176"/>
      <c r="J82" s="176"/>
    </row>
    <row r="84" spans="5:11" ht="15" customHeight="1" x14ac:dyDescent="0.2">
      <c r="E84" s="182" t="s">
        <v>1725</v>
      </c>
      <c r="F84" s="183"/>
      <c r="G84" s="183"/>
      <c r="H84" s="183"/>
      <c r="I84" s="183"/>
      <c r="J84" s="184"/>
    </row>
    <row r="85" spans="5:11" ht="15" customHeight="1" x14ac:dyDescent="0.2">
      <c r="E85" s="176" t="s">
        <v>1705</v>
      </c>
      <c r="F85" s="176"/>
      <c r="G85" s="176"/>
      <c r="H85" s="176"/>
      <c r="I85" s="176"/>
      <c r="J85" s="176"/>
    </row>
    <row r="86" spans="5:11" ht="15" customHeight="1" x14ac:dyDescent="0.2">
      <c r="E86" s="176" t="s">
        <v>1706</v>
      </c>
      <c r="F86" s="176"/>
      <c r="G86" s="176"/>
      <c r="H86" s="176"/>
      <c r="I86" s="176"/>
      <c r="J86" s="176"/>
    </row>
    <row r="87" spans="5:11" ht="15" customHeight="1" x14ac:dyDescent="0.2">
      <c r="E87" s="176" t="s">
        <v>1707</v>
      </c>
      <c r="F87" s="176"/>
      <c r="G87" s="176"/>
      <c r="H87" s="176"/>
      <c r="I87" s="176"/>
      <c r="J87" s="176"/>
    </row>
    <row r="88" spans="5:11" ht="15" customHeight="1" x14ac:dyDescent="0.2">
      <c r="E88" s="176" t="s">
        <v>1867</v>
      </c>
      <c r="F88" s="176"/>
      <c r="G88" s="176"/>
      <c r="H88" s="176"/>
      <c r="I88" s="176"/>
      <c r="J88" s="176"/>
    </row>
    <row r="90" spans="5:11" ht="25.5" customHeight="1" x14ac:dyDescent="0.2">
      <c r="E90" s="177" t="s">
        <v>1708</v>
      </c>
      <c r="F90" s="177"/>
      <c r="G90" s="177"/>
      <c r="H90" s="177"/>
      <c r="I90" s="177"/>
      <c r="J90" s="177"/>
    </row>
    <row r="91" spans="5:11" ht="25.5" customHeight="1" x14ac:dyDescent="0.2">
      <c r="E91" s="156" t="s">
        <v>1810</v>
      </c>
      <c r="F91" s="157"/>
      <c r="G91" s="157"/>
      <c r="H91" s="157"/>
      <c r="I91" s="157"/>
      <c r="J91" s="158"/>
    </row>
    <row r="94" spans="5:11" ht="15.75" customHeight="1" x14ac:dyDescent="0.2">
      <c r="E94" s="175" t="s">
        <v>1739</v>
      </c>
      <c r="F94" s="175"/>
      <c r="G94" s="175"/>
      <c r="H94" s="175"/>
      <c r="I94" s="175"/>
      <c r="J94" s="175"/>
      <c r="K94" s="58" t="s">
        <v>1740</v>
      </c>
    </row>
    <row r="95" spans="5:11" ht="25.5" customHeight="1" x14ac:dyDescent="0.2">
      <c r="E95" s="177" t="s">
        <v>1741</v>
      </c>
      <c r="F95" s="177"/>
      <c r="G95" s="177"/>
      <c r="H95" s="177"/>
      <c r="I95" s="177"/>
      <c r="J95" s="177"/>
    </row>
    <row r="96" spans="5:11" ht="21.75" customHeight="1" x14ac:dyDescent="0.2">
      <c r="E96" s="176" t="s">
        <v>3424</v>
      </c>
      <c r="F96" s="176"/>
      <c r="G96" s="176"/>
      <c r="H96" s="176"/>
      <c r="I96" s="176"/>
      <c r="J96" s="176"/>
    </row>
    <row r="98" spans="5:11" ht="15" customHeight="1" x14ac:dyDescent="0.2">
      <c r="E98" s="182" t="s">
        <v>1725</v>
      </c>
      <c r="F98" s="183"/>
      <c r="G98" s="183"/>
      <c r="H98" s="183"/>
      <c r="I98" s="183"/>
      <c r="J98" s="184"/>
    </row>
    <row r="99" spans="5:11" ht="15" customHeight="1" x14ac:dyDescent="0.2">
      <c r="E99" s="176" t="s">
        <v>1742</v>
      </c>
      <c r="F99" s="176"/>
      <c r="G99" s="176"/>
      <c r="H99" s="176"/>
      <c r="I99" s="176"/>
      <c r="J99" s="176"/>
    </row>
    <row r="100" spans="5:11" ht="15" customHeight="1" x14ac:dyDescent="0.2">
      <c r="E100" s="176" t="s">
        <v>1743</v>
      </c>
      <c r="F100" s="176"/>
      <c r="G100" s="176"/>
      <c r="H100" s="176"/>
      <c r="I100" s="176"/>
      <c r="J100" s="176"/>
    </row>
    <row r="101" spans="5:11" ht="15" customHeight="1" x14ac:dyDescent="0.2">
      <c r="E101" s="176" t="s">
        <v>1744</v>
      </c>
      <c r="F101" s="176"/>
      <c r="G101" s="176"/>
      <c r="H101" s="176"/>
      <c r="I101" s="176"/>
      <c r="J101" s="176"/>
    </row>
    <row r="102" spans="5:11" ht="15" customHeight="1" x14ac:dyDescent="0.2">
      <c r="E102" s="176" t="s">
        <v>1868</v>
      </c>
      <c r="F102" s="176"/>
      <c r="G102" s="176"/>
      <c r="H102" s="176"/>
      <c r="I102" s="176"/>
      <c r="J102" s="176"/>
    </row>
    <row r="104" spans="5:11" ht="25.5" customHeight="1" x14ac:dyDescent="0.2">
      <c r="E104" s="177" t="s">
        <v>1745</v>
      </c>
      <c r="F104" s="177"/>
      <c r="G104" s="177"/>
      <c r="H104" s="177"/>
      <c r="I104" s="177"/>
      <c r="J104" s="177"/>
    </row>
    <row r="105" spans="5:11" ht="38.25" customHeight="1" x14ac:dyDescent="0.2">
      <c r="E105" s="156" t="s">
        <v>1811</v>
      </c>
      <c r="F105" s="157"/>
      <c r="G105" s="157"/>
      <c r="H105" s="157"/>
      <c r="I105" s="157"/>
      <c r="J105" s="158"/>
    </row>
    <row r="108" spans="5:11" ht="15.75" customHeight="1" x14ac:dyDescent="0.2">
      <c r="E108" s="159" t="s">
        <v>425</v>
      </c>
      <c r="F108" s="159"/>
      <c r="G108" s="159"/>
      <c r="H108" s="159"/>
      <c r="I108" s="159"/>
      <c r="J108" s="159"/>
      <c r="K108" s="52" t="s">
        <v>426</v>
      </c>
    </row>
    <row r="109" spans="5:11" ht="38.25" customHeight="1" x14ac:dyDescent="0.2">
      <c r="E109" s="152" t="s">
        <v>1746</v>
      </c>
      <c r="F109" s="152"/>
      <c r="G109" s="152"/>
      <c r="H109" s="152"/>
      <c r="I109" s="152"/>
      <c r="J109" s="152"/>
    </row>
    <row r="110" spans="5:11" ht="15" customHeight="1" x14ac:dyDescent="0.2">
      <c r="E110" s="147" t="s">
        <v>427</v>
      </c>
      <c r="F110" s="147"/>
      <c r="G110" s="147"/>
      <c r="H110" s="147"/>
      <c r="I110" s="147"/>
      <c r="J110" s="147"/>
    </row>
    <row r="111" spans="5:11" ht="12.75" customHeight="1" x14ac:dyDescent="0.2"/>
    <row r="112" spans="5:11" ht="15" customHeight="1" x14ac:dyDescent="0.2">
      <c r="E112" s="202" t="s">
        <v>1726</v>
      </c>
      <c r="F112" s="203"/>
      <c r="G112" s="203"/>
      <c r="H112" s="203"/>
      <c r="I112" s="203"/>
      <c r="J112" s="204"/>
    </row>
    <row r="113" spans="5:11" ht="15" customHeight="1" x14ac:dyDescent="0.2">
      <c r="E113" s="147" t="s">
        <v>1386</v>
      </c>
      <c r="F113" s="149"/>
      <c r="G113" s="149"/>
      <c r="H113" s="149"/>
      <c r="I113" s="149"/>
      <c r="J113" s="149"/>
    </row>
    <row r="114" spans="5:11" ht="21.75" customHeight="1" x14ac:dyDescent="0.2">
      <c r="E114" s="147" t="s">
        <v>1747</v>
      </c>
      <c r="F114" s="147"/>
      <c r="G114" s="147"/>
      <c r="H114" s="147"/>
      <c r="I114" s="147"/>
      <c r="J114" s="147"/>
    </row>
    <row r="115" spans="5:11" ht="15" customHeight="1" x14ac:dyDescent="0.2">
      <c r="E115" s="147" t="s">
        <v>428</v>
      </c>
      <c r="F115" s="149"/>
      <c r="G115" s="149"/>
      <c r="H115" s="149"/>
      <c r="I115" s="149"/>
      <c r="J115" s="149"/>
    </row>
    <row r="116" spans="5:11" ht="15" customHeight="1" x14ac:dyDescent="0.2">
      <c r="E116" s="147" t="s">
        <v>1869</v>
      </c>
      <c r="F116" s="147"/>
      <c r="G116" s="147"/>
      <c r="H116" s="147"/>
      <c r="I116" s="147"/>
      <c r="J116" s="147"/>
    </row>
    <row r="117" spans="5:11" ht="12.75" customHeight="1" x14ac:dyDescent="0.2"/>
    <row r="118" spans="5:11" ht="25.5" customHeight="1" x14ac:dyDescent="0.2">
      <c r="E118" s="152" t="s">
        <v>429</v>
      </c>
      <c r="F118" s="152"/>
      <c r="G118" s="152"/>
      <c r="H118" s="152"/>
      <c r="I118" s="152"/>
      <c r="J118" s="152"/>
    </row>
    <row r="119" spans="5:11" ht="51" customHeight="1" x14ac:dyDescent="0.2">
      <c r="E119" s="172" t="s">
        <v>1812</v>
      </c>
      <c r="F119" s="173"/>
      <c r="G119" s="173"/>
      <c r="H119" s="173"/>
      <c r="I119" s="173"/>
      <c r="J119" s="174"/>
    </row>
    <row r="120" spans="5:11" ht="12.75" customHeight="1" x14ac:dyDescent="0.2"/>
    <row r="121" spans="5:11" ht="12.75" customHeight="1" x14ac:dyDescent="0.2"/>
    <row r="122" spans="5:11" ht="15.75" customHeight="1" x14ac:dyDescent="0.2">
      <c r="E122" s="159" t="s">
        <v>430</v>
      </c>
      <c r="F122" s="159"/>
      <c r="G122" s="159"/>
      <c r="H122" s="159"/>
      <c r="I122" s="159"/>
      <c r="J122" s="159"/>
      <c r="K122" s="52" t="s">
        <v>1586</v>
      </c>
    </row>
    <row r="123" spans="5:11" ht="25.5" customHeight="1" x14ac:dyDescent="0.2">
      <c r="E123" s="152" t="s">
        <v>431</v>
      </c>
      <c r="F123" s="152"/>
      <c r="G123" s="152"/>
      <c r="H123" s="152"/>
      <c r="I123" s="152"/>
      <c r="J123" s="152"/>
    </row>
    <row r="124" spans="5:11" ht="15" customHeight="1" x14ac:dyDescent="0.2">
      <c r="E124" s="147" t="s">
        <v>432</v>
      </c>
      <c r="F124" s="149"/>
      <c r="G124" s="149"/>
      <c r="H124" s="149"/>
      <c r="I124" s="149"/>
      <c r="J124" s="149"/>
    </row>
    <row r="125" spans="5:11" ht="12.75" customHeight="1" x14ac:dyDescent="0.2"/>
    <row r="126" spans="5:11" ht="15" customHeight="1" x14ac:dyDescent="0.2">
      <c r="E126" s="202" t="s">
        <v>1726</v>
      </c>
      <c r="F126" s="203"/>
      <c r="G126" s="203"/>
      <c r="H126" s="203"/>
      <c r="I126" s="203"/>
      <c r="J126" s="204"/>
    </row>
    <row r="127" spans="5:11" ht="15" customHeight="1" x14ac:dyDescent="0.2">
      <c r="E127" s="147" t="s">
        <v>1386</v>
      </c>
      <c r="F127" s="149"/>
      <c r="G127" s="149"/>
      <c r="H127" s="149"/>
      <c r="I127" s="149"/>
      <c r="J127" s="149"/>
    </row>
    <row r="128" spans="5:11" ht="15" customHeight="1" x14ac:dyDescent="0.2">
      <c r="E128" s="147" t="s">
        <v>433</v>
      </c>
      <c r="F128" s="149"/>
      <c r="G128" s="149"/>
      <c r="H128" s="149"/>
      <c r="I128" s="149"/>
      <c r="J128" s="149"/>
    </row>
    <row r="129" spans="5:11" ht="15" customHeight="1" x14ac:dyDescent="0.2">
      <c r="E129" s="147" t="s">
        <v>1587</v>
      </c>
      <c r="F129" s="149"/>
      <c r="G129" s="149"/>
      <c r="H129" s="149"/>
      <c r="I129" s="149"/>
      <c r="J129" s="149"/>
    </row>
    <row r="130" spans="5:11" ht="15" customHeight="1" x14ac:dyDescent="0.2">
      <c r="E130" s="147" t="s">
        <v>1870</v>
      </c>
      <c r="F130" s="149"/>
      <c r="G130" s="149"/>
      <c r="H130" s="149"/>
      <c r="I130" s="149"/>
      <c r="J130" s="149"/>
    </row>
    <row r="131" spans="5:11" ht="12.75" customHeight="1" x14ac:dyDescent="0.2"/>
    <row r="132" spans="5:11" ht="25.5" customHeight="1" x14ac:dyDescent="0.2">
      <c r="E132" s="152" t="s">
        <v>434</v>
      </c>
      <c r="F132" s="152"/>
      <c r="G132" s="152"/>
      <c r="H132" s="152"/>
      <c r="I132" s="152"/>
      <c r="J132" s="152"/>
    </row>
    <row r="133" spans="5:11" ht="25.5" customHeight="1" x14ac:dyDescent="0.2">
      <c r="E133" s="172" t="s">
        <v>1813</v>
      </c>
      <c r="F133" s="173"/>
      <c r="G133" s="173"/>
      <c r="H133" s="173"/>
      <c r="I133" s="173"/>
      <c r="J133" s="174"/>
    </row>
    <row r="134" spans="5:11" ht="12.75" customHeight="1" x14ac:dyDescent="0.2"/>
    <row r="135" spans="5:11" ht="12.75" customHeight="1" x14ac:dyDescent="0.2"/>
    <row r="136" spans="5:11" ht="15.75" customHeight="1" x14ac:dyDescent="0.2">
      <c r="E136" s="159" t="s">
        <v>3457</v>
      </c>
      <c r="F136" s="159"/>
      <c r="G136" s="159"/>
      <c r="H136" s="159"/>
      <c r="I136" s="159"/>
      <c r="J136" s="159"/>
      <c r="K136" s="52" t="s">
        <v>3465</v>
      </c>
    </row>
    <row r="137" spans="5:11" ht="25.5" customHeight="1" x14ac:dyDescent="0.2">
      <c r="E137" s="152" t="s">
        <v>3458</v>
      </c>
      <c r="F137" s="152"/>
      <c r="G137" s="152"/>
      <c r="H137" s="152"/>
      <c r="I137" s="152"/>
      <c r="J137" s="152"/>
    </row>
    <row r="138" spans="5:11" ht="21.75" customHeight="1" x14ac:dyDescent="0.2">
      <c r="E138" s="147" t="s">
        <v>3459</v>
      </c>
      <c r="F138" s="149"/>
      <c r="G138" s="149"/>
      <c r="H138" s="149"/>
      <c r="I138" s="149"/>
      <c r="J138" s="149"/>
    </row>
    <row r="139" spans="5:11" ht="12.75" customHeight="1" x14ac:dyDescent="0.2"/>
    <row r="140" spans="5:11" ht="15" customHeight="1" x14ac:dyDescent="0.2">
      <c r="E140" s="202" t="s">
        <v>1725</v>
      </c>
      <c r="F140" s="203"/>
      <c r="G140" s="203"/>
      <c r="H140" s="203"/>
      <c r="I140" s="203"/>
      <c r="J140" s="204"/>
    </row>
    <row r="141" spans="5:11" ht="15" customHeight="1" x14ac:dyDescent="0.2">
      <c r="E141" s="147" t="s">
        <v>3460</v>
      </c>
      <c r="F141" s="149"/>
      <c r="G141" s="149"/>
      <c r="H141" s="149"/>
      <c r="I141" s="149"/>
      <c r="J141" s="149"/>
    </row>
    <row r="142" spans="5:11" ht="15" customHeight="1" x14ac:dyDescent="0.2">
      <c r="E142" s="147" t="s">
        <v>1743</v>
      </c>
      <c r="F142" s="149"/>
      <c r="G142" s="149"/>
      <c r="H142" s="149"/>
      <c r="I142" s="149"/>
      <c r="J142" s="149"/>
    </row>
    <row r="143" spans="5:11" ht="15" customHeight="1" x14ac:dyDescent="0.2">
      <c r="E143" s="147" t="s">
        <v>3461</v>
      </c>
      <c r="F143" s="149"/>
      <c r="G143" s="149"/>
      <c r="H143" s="149"/>
      <c r="I143" s="149"/>
      <c r="J143" s="149"/>
    </row>
    <row r="144" spans="5:11" ht="15" customHeight="1" x14ac:dyDescent="0.2">
      <c r="E144" s="147" t="s">
        <v>3462</v>
      </c>
      <c r="F144" s="149"/>
      <c r="G144" s="149"/>
      <c r="H144" s="149"/>
      <c r="I144" s="149"/>
      <c r="J144" s="149"/>
    </row>
    <row r="145" spans="5:11" ht="12.75" customHeight="1" x14ac:dyDescent="0.2"/>
    <row r="146" spans="5:11" ht="25.5" customHeight="1" x14ac:dyDescent="0.2">
      <c r="E146" s="152" t="s">
        <v>3463</v>
      </c>
      <c r="F146" s="152"/>
      <c r="G146" s="152"/>
      <c r="H146" s="152"/>
      <c r="I146" s="152"/>
      <c r="J146" s="152"/>
    </row>
    <row r="147" spans="5:11" ht="25.5" customHeight="1" x14ac:dyDescent="0.2">
      <c r="E147" s="172" t="s">
        <v>3464</v>
      </c>
      <c r="F147" s="173"/>
      <c r="G147" s="173"/>
      <c r="H147" s="173"/>
      <c r="I147" s="173"/>
      <c r="J147" s="174"/>
    </row>
    <row r="148" spans="5:11" ht="12.75" customHeight="1" x14ac:dyDescent="0.2"/>
    <row r="149" spans="5:11" ht="12.75" customHeight="1" x14ac:dyDescent="0.2"/>
    <row r="150" spans="5:11" ht="15.75" customHeight="1" x14ac:dyDescent="0.2">
      <c r="E150" s="159" t="s">
        <v>3466</v>
      </c>
      <c r="F150" s="159"/>
      <c r="G150" s="159"/>
      <c r="H150" s="159"/>
      <c r="I150" s="159"/>
      <c r="J150" s="159"/>
      <c r="K150" s="52" t="s">
        <v>3475</v>
      </c>
    </row>
    <row r="151" spans="5:11" ht="25.5" customHeight="1" x14ac:dyDescent="0.2">
      <c r="E151" s="152" t="s">
        <v>3467</v>
      </c>
      <c r="F151" s="152"/>
      <c r="G151" s="152"/>
      <c r="H151" s="152"/>
      <c r="I151" s="152"/>
      <c r="J151" s="152"/>
    </row>
    <row r="152" spans="5:11" ht="21.75" customHeight="1" x14ac:dyDescent="0.2">
      <c r="E152" s="147" t="s">
        <v>3468</v>
      </c>
      <c r="F152" s="149"/>
      <c r="G152" s="149"/>
      <c r="H152" s="149"/>
      <c r="I152" s="149"/>
      <c r="J152" s="149"/>
    </row>
    <row r="153" spans="5:11" ht="12.75" customHeight="1" x14ac:dyDescent="0.2"/>
    <row r="154" spans="5:11" ht="15" customHeight="1" x14ac:dyDescent="0.2">
      <c r="E154" s="202" t="s">
        <v>1725</v>
      </c>
      <c r="F154" s="203"/>
      <c r="G154" s="203"/>
      <c r="H154" s="203"/>
      <c r="I154" s="203"/>
      <c r="J154" s="204"/>
    </row>
    <row r="155" spans="5:11" ht="15" customHeight="1" x14ac:dyDescent="0.2">
      <c r="E155" s="147" t="s">
        <v>3469</v>
      </c>
      <c r="F155" s="149"/>
      <c r="G155" s="149"/>
      <c r="H155" s="149"/>
      <c r="I155" s="149"/>
      <c r="J155" s="149"/>
    </row>
    <row r="156" spans="5:11" ht="15" customHeight="1" x14ac:dyDescent="0.2">
      <c r="E156" s="147" t="s">
        <v>3470</v>
      </c>
      <c r="F156" s="149"/>
      <c r="G156" s="149"/>
      <c r="H156" s="149"/>
      <c r="I156" s="149"/>
      <c r="J156" s="149"/>
    </row>
    <row r="157" spans="5:11" ht="15" customHeight="1" x14ac:dyDescent="0.2">
      <c r="E157" s="147" t="s">
        <v>3471</v>
      </c>
      <c r="F157" s="149"/>
      <c r="G157" s="149"/>
      <c r="H157" s="149"/>
      <c r="I157" s="149"/>
      <c r="J157" s="149"/>
    </row>
    <row r="158" spans="5:11" ht="15" customHeight="1" x14ac:dyDescent="0.2">
      <c r="E158" s="147" t="s">
        <v>3472</v>
      </c>
      <c r="F158" s="149"/>
      <c r="G158" s="149"/>
      <c r="H158" s="149"/>
      <c r="I158" s="149"/>
      <c r="J158" s="149"/>
    </row>
    <row r="159" spans="5:11" ht="12.75" customHeight="1" x14ac:dyDescent="0.2"/>
    <row r="160" spans="5:11" ht="15" customHeight="1" x14ac:dyDescent="0.2">
      <c r="E160" s="152" t="s">
        <v>3473</v>
      </c>
      <c r="F160" s="152"/>
      <c r="G160" s="152"/>
      <c r="H160" s="152"/>
      <c r="I160" s="152"/>
      <c r="J160" s="152"/>
    </row>
    <row r="161" spans="5:12" ht="15" customHeight="1" x14ac:dyDescent="0.2">
      <c r="E161" s="172" t="s">
        <v>3474</v>
      </c>
      <c r="F161" s="173"/>
      <c r="G161" s="173"/>
      <c r="H161" s="173"/>
      <c r="I161" s="173"/>
      <c r="J161" s="174"/>
    </row>
    <row r="162" spans="5:12" ht="12.75" customHeight="1" x14ac:dyDescent="0.2"/>
    <row r="163" spans="5:12" ht="12.75" customHeight="1" x14ac:dyDescent="0.2"/>
    <row r="164" spans="5:12" ht="15" customHeight="1" x14ac:dyDescent="0.2">
      <c r="E164" s="151" t="s">
        <v>1861</v>
      </c>
      <c r="F164" s="151"/>
      <c r="G164" s="151"/>
      <c r="H164" s="151"/>
      <c r="I164" s="151"/>
      <c r="J164" s="151"/>
      <c r="K164" s="151"/>
      <c r="L164" s="151"/>
    </row>
    <row r="165" spans="5:12" ht="15" customHeight="1" x14ac:dyDescent="0.2">
      <c r="E165" s="151"/>
      <c r="F165" s="151"/>
      <c r="G165" s="151"/>
      <c r="H165" s="151"/>
      <c r="I165" s="151"/>
      <c r="J165" s="151"/>
      <c r="K165" s="151"/>
      <c r="L165" s="151"/>
    </row>
    <row r="166" spans="5:12" ht="12.75" customHeight="1" x14ac:dyDescent="0.2"/>
    <row r="167" spans="5:12" ht="15.75" customHeight="1" x14ac:dyDescent="0.2">
      <c r="E167" s="175" t="s">
        <v>1731</v>
      </c>
      <c r="F167" s="175"/>
      <c r="G167" s="175"/>
      <c r="H167" s="175"/>
      <c r="I167" s="175"/>
      <c r="J167" s="175"/>
      <c r="K167" s="58" t="s">
        <v>1732</v>
      </c>
    </row>
    <row r="168" spans="5:12" ht="25.5" customHeight="1" x14ac:dyDescent="0.2">
      <c r="E168" s="177" t="s">
        <v>1733</v>
      </c>
      <c r="F168" s="177"/>
      <c r="G168" s="177"/>
      <c r="H168" s="177"/>
      <c r="I168" s="177"/>
      <c r="J168" s="177"/>
    </row>
    <row r="169" spans="5:12" ht="21.75" customHeight="1" x14ac:dyDescent="0.2">
      <c r="E169" s="176" t="s">
        <v>1734</v>
      </c>
      <c r="F169" s="176"/>
      <c r="G169" s="176"/>
      <c r="H169" s="176"/>
      <c r="I169" s="176"/>
      <c r="J169" s="176"/>
    </row>
    <row r="171" spans="5:12" ht="15" customHeight="1" x14ac:dyDescent="0.2">
      <c r="E171" s="182" t="s">
        <v>1725</v>
      </c>
      <c r="F171" s="183"/>
      <c r="G171" s="183"/>
      <c r="H171" s="183"/>
      <c r="I171" s="183"/>
      <c r="J171" s="184"/>
    </row>
    <row r="172" spans="5:12" ht="15" customHeight="1" x14ac:dyDescent="0.2">
      <c r="E172" s="176" t="s">
        <v>1735</v>
      </c>
      <c r="F172" s="176"/>
      <c r="G172" s="176"/>
      <c r="H172" s="176"/>
      <c r="I172" s="176"/>
      <c r="J172" s="176"/>
    </row>
    <row r="173" spans="5:12" ht="15" customHeight="1" x14ac:dyDescent="0.2">
      <c r="E173" s="176" t="s">
        <v>1736</v>
      </c>
      <c r="F173" s="176"/>
      <c r="G173" s="176"/>
      <c r="H173" s="176"/>
      <c r="I173" s="176"/>
      <c r="J173" s="176"/>
    </row>
    <row r="174" spans="5:12" ht="15" customHeight="1" x14ac:dyDescent="0.2">
      <c r="E174" s="176" t="s">
        <v>1737</v>
      </c>
      <c r="F174" s="176"/>
      <c r="G174" s="176"/>
      <c r="H174" s="176"/>
      <c r="I174" s="176"/>
      <c r="J174" s="176"/>
    </row>
    <row r="175" spans="5:12" ht="15" customHeight="1" x14ac:dyDescent="0.2">
      <c r="E175" s="176" t="s">
        <v>1871</v>
      </c>
      <c r="F175" s="176"/>
      <c r="G175" s="176"/>
      <c r="H175" s="176"/>
      <c r="I175" s="176"/>
      <c r="J175" s="176"/>
    </row>
    <row r="177" spans="5:10" ht="25.5" customHeight="1" x14ac:dyDescent="0.2">
      <c r="E177" s="177" t="s">
        <v>1738</v>
      </c>
      <c r="F177" s="177"/>
      <c r="G177" s="177"/>
      <c r="H177" s="177"/>
      <c r="I177" s="177"/>
      <c r="J177" s="177"/>
    </row>
    <row r="178" spans="5:10" ht="25.5" customHeight="1" x14ac:dyDescent="0.2">
      <c r="E178" s="156" t="s">
        <v>1816</v>
      </c>
      <c r="F178" s="157"/>
      <c r="G178" s="157"/>
      <c r="H178" s="157"/>
      <c r="I178" s="157"/>
      <c r="J178" s="158"/>
    </row>
    <row r="180" spans="5:10" ht="15" customHeight="1" x14ac:dyDescent="0.2">
      <c r="E180" s="198" t="s">
        <v>1859</v>
      </c>
      <c r="F180" s="199"/>
      <c r="G180" s="199"/>
      <c r="H180" s="199"/>
      <c r="I180" s="199"/>
      <c r="J180" s="200"/>
    </row>
  </sheetData>
  <mergeCells count="116">
    <mergeCell ref="E157:J157"/>
    <mergeCell ref="E158:J158"/>
    <mergeCell ref="E160:J160"/>
    <mergeCell ref="E161:J161"/>
    <mergeCell ref="E151:J151"/>
    <mergeCell ref="E152:J152"/>
    <mergeCell ref="E154:J154"/>
    <mergeCell ref="E155:J155"/>
    <mergeCell ref="E156:J156"/>
    <mergeCell ref="E3:L4"/>
    <mergeCell ref="E6:L7"/>
    <mergeCell ref="E54:J54"/>
    <mergeCell ref="E5:L5"/>
    <mergeCell ref="E25:J25"/>
    <mergeCell ref="E26:J26"/>
    <mergeCell ref="E27:J27"/>
    <mergeCell ref="E9:J13"/>
    <mergeCell ref="E15:J18"/>
    <mergeCell ref="E20:J20"/>
    <mergeCell ref="E22:L23"/>
    <mergeCell ref="E29:J29"/>
    <mergeCell ref="E30:J30"/>
    <mergeCell ref="E31:J31"/>
    <mergeCell ref="E32:J32"/>
    <mergeCell ref="E34:J34"/>
    <mergeCell ref="E35:J35"/>
    <mergeCell ref="E38:J38"/>
    <mergeCell ref="E39:J39"/>
    <mergeCell ref="E40:J40"/>
    <mergeCell ref="E42:J42"/>
    <mergeCell ref="E51:L52"/>
    <mergeCell ref="E55:J55"/>
    <mergeCell ref="E56:J56"/>
    <mergeCell ref="E43:J43"/>
    <mergeCell ref="E44:J44"/>
    <mergeCell ref="E45:J45"/>
    <mergeCell ref="E47:J47"/>
    <mergeCell ref="E48:J48"/>
    <mergeCell ref="E58:J58"/>
    <mergeCell ref="E59:J59"/>
    <mergeCell ref="E60:J60"/>
    <mergeCell ref="E61:J61"/>
    <mergeCell ref="E63:J63"/>
    <mergeCell ref="E64:J64"/>
    <mergeCell ref="E80:J80"/>
    <mergeCell ref="E81:J81"/>
    <mergeCell ref="E82:J82"/>
    <mergeCell ref="E84:J84"/>
    <mergeCell ref="E67:J67"/>
    <mergeCell ref="E68:J68"/>
    <mergeCell ref="E69:J69"/>
    <mergeCell ref="E71:J71"/>
    <mergeCell ref="E72:J72"/>
    <mergeCell ref="E73:J73"/>
    <mergeCell ref="E74:J74"/>
    <mergeCell ref="E76:J76"/>
    <mergeCell ref="E77:J77"/>
    <mergeCell ref="E85:J85"/>
    <mergeCell ref="E86:J86"/>
    <mergeCell ref="E87:J87"/>
    <mergeCell ref="E88:J88"/>
    <mergeCell ref="E90:J90"/>
    <mergeCell ref="E91:J91"/>
    <mergeCell ref="E94:J94"/>
    <mergeCell ref="E95:J95"/>
    <mergeCell ref="E96:J96"/>
    <mergeCell ref="E98:J98"/>
    <mergeCell ref="E99:J99"/>
    <mergeCell ref="E100:J100"/>
    <mergeCell ref="E101:J101"/>
    <mergeCell ref="E102:J102"/>
    <mergeCell ref="E104:J104"/>
    <mergeCell ref="E105:J105"/>
    <mergeCell ref="E108:J108"/>
    <mergeCell ref="E109:J109"/>
    <mergeCell ref="E110:J110"/>
    <mergeCell ref="E112:J112"/>
    <mergeCell ref="E113:J113"/>
    <mergeCell ref="E114:J114"/>
    <mergeCell ref="E115:J115"/>
    <mergeCell ref="E116:J116"/>
    <mergeCell ref="E118:J118"/>
    <mergeCell ref="E119:J119"/>
    <mergeCell ref="E122:J122"/>
    <mergeCell ref="E123:J123"/>
    <mergeCell ref="E124:J124"/>
    <mergeCell ref="E126:J126"/>
    <mergeCell ref="E127:J127"/>
    <mergeCell ref="E128:J128"/>
    <mergeCell ref="E129:J129"/>
    <mergeCell ref="E130:J130"/>
    <mergeCell ref="E132:J132"/>
    <mergeCell ref="E133:J133"/>
    <mergeCell ref="E164:L165"/>
    <mergeCell ref="E167:J167"/>
    <mergeCell ref="E168:J168"/>
    <mergeCell ref="E169:J169"/>
    <mergeCell ref="E136:J136"/>
    <mergeCell ref="E137:J137"/>
    <mergeCell ref="E138:J138"/>
    <mergeCell ref="E140:J140"/>
    <mergeCell ref="E141:J141"/>
    <mergeCell ref="E142:J142"/>
    <mergeCell ref="E143:J143"/>
    <mergeCell ref="E144:J144"/>
    <mergeCell ref="E146:J146"/>
    <mergeCell ref="E147:J147"/>
    <mergeCell ref="E150:J150"/>
    <mergeCell ref="E177:J177"/>
    <mergeCell ref="E178:J178"/>
    <mergeCell ref="E180:J180"/>
    <mergeCell ref="E171:J171"/>
    <mergeCell ref="E172:J172"/>
    <mergeCell ref="E173:J173"/>
    <mergeCell ref="E174:J174"/>
    <mergeCell ref="E175:J175"/>
  </mergeCells>
  <hyperlinks>
    <hyperlink ref="B2" location="'Start here'!E6" tooltip="back to Start here" display="⌂  CompBot Tutorial" xr:uid="{00000000-0004-0000-0600-000000000000}"/>
    <hyperlink ref="E5" location="'Case'!K31:T40" display="'Case'!K31:T40" xr:uid="{C5F57F63-F8A6-4B4B-8A75-E5A675148E3F}"/>
    <hyperlink ref="E180" location="'Case'!K31:T40" display="'Case'!G65:O74" xr:uid="{AAD8A3F4-2607-4B38-BF20-9B4433F6F393}"/>
    <hyperlink ref="B6" location="'Start here'!E6" display="▸  START" xr:uid="{FFEEB882-6E91-4F4D-A6CF-44F7ACF63C59}"/>
    <hyperlink ref="B7" location="'C1 Your machine'!E6" display="▾  COMMANDS" xr:uid="{9E6CFF7E-B37B-4920-8987-838BE0F2B6C9}"/>
    <hyperlink ref="B8" location="'C1 Your machine'!E6" display="C1 Your machine" xr:uid="{E5C06084-A9EF-4895-AD15-62A4C52F1485}"/>
    <hyperlink ref="B9" location="'C2 Open the case'!E6" display="C2 Open the case" xr:uid="{C2922F29-E3E7-468C-9FC3-D6F505CA6D3E}"/>
    <hyperlink ref="B10" location="'C3 Read the questions'!E6" display="C3 Read the questions" xr:uid="{5075904F-B387-4F7F-87FB-C5EB02E6E4B2}"/>
    <hyperlink ref="B12" location="'C5 Wrap a formula'!E6" display="C5 Wrap a formula" xr:uid="{55825C18-536C-435C-9F00-6169F8520791}"/>
    <hyperlink ref="B13" location="'C6 Text, codes and lookups'!E6" display="C6 Text, codes and lookups" xr:uid="{7FAF365B-54BE-44C3-B6D4-8EFE8938A4C6}"/>
    <hyperlink ref="B14" location="'C7 Maps, grids and sheets'!E6" display="C7 Maps, grids and sheets" xr:uid="{1A0ACD7D-04E6-4D85-B21B-38EBCE1B1BDA}"/>
    <hyperlink ref="B15" location="'C8 Housekeeping'!E6" display="C8 Housekeeping" xr:uid="{230359DA-051A-4FFD-A45B-540385EC064B}"/>
    <hyperlink ref="B16" location="'Demo maps'!E6" display="▸  DEMO SHEETS" xr:uid="{C6465C38-6EFE-46A4-9FD1-0DFD3C07F2F6}"/>
    <hyperlink ref="B17" location="'Level 1 Basics'!E6" display="▸  LAMBDAS" xr:uid="{8973AE3C-3AB2-4DEC-A2CC-696BD0F6B08A}"/>
    <hyperlink ref="B19" location="'Command cheat sheet'!E6" display="▸  REFERENCE" xr:uid="{0A68BD63-2594-44D2-BC73-945857BBE1D5}"/>
    <hyperlink ref="B18" location="'I1 The Alves Method'!E6" display="▸  INSIDER" xr:uid="{D2E6D524-EB95-4034-A97D-DABD66562FF7}"/>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1A5FB4"/>
  </sheetPr>
  <dimension ref="A1:L563"/>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9" customWidth="1"/>
    <col min="2" max="2" width="27" style="19" customWidth="1"/>
    <col min="3" max="3" width="1.5" style="19" customWidth="1"/>
    <col min="4" max="4" width="2.5" customWidth="1"/>
    <col min="5" max="10" width="14.5" customWidth="1"/>
    <col min="11" max="11" width="44" customWidth="1"/>
    <col min="12" max="12" width="46" customWidth="1"/>
  </cols>
  <sheetData>
    <row r="1" spans="2:12" ht="12.75" x14ac:dyDescent="0.2"/>
    <row r="2" spans="2:12" ht="30" customHeight="1" x14ac:dyDescent="0.3">
      <c r="B2" s="20" t="s">
        <v>0</v>
      </c>
      <c r="E2" s="3" t="s">
        <v>444</v>
      </c>
    </row>
    <row r="3" spans="2:12" ht="15" customHeight="1" x14ac:dyDescent="0.2">
      <c r="B3" s="21" t="s">
        <v>2</v>
      </c>
      <c r="E3" s="147" t="s">
        <v>445</v>
      </c>
      <c r="F3" s="148"/>
      <c r="G3" s="148"/>
      <c r="H3" s="148"/>
      <c r="I3" s="148"/>
      <c r="J3" s="148"/>
      <c r="K3" s="148"/>
      <c r="L3" s="148"/>
    </row>
    <row r="4" spans="2:12" ht="15" customHeight="1" x14ac:dyDescent="0.2">
      <c r="E4" s="148"/>
      <c r="F4" s="148"/>
      <c r="G4" s="148"/>
      <c r="H4" s="148"/>
      <c r="I4" s="148"/>
      <c r="J4" s="148"/>
      <c r="K4" s="148"/>
      <c r="L4" s="148"/>
    </row>
    <row r="5" spans="2:12" ht="12.75" x14ac:dyDescent="0.2"/>
    <row r="6" spans="2:12" ht="15" customHeight="1" x14ac:dyDescent="0.2">
      <c r="B6" s="103" t="s">
        <v>315</v>
      </c>
      <c r="E6" s="152" t="s">
        <v>1391</v>
      </c>
      <c r="F6" s="148"/>
      <c r="G6" s="148"/>
      <c r="H6" s="148"/>
      <c r="I6" s="148"/>
      <c r="J6" s="148"/>
    </row>
    <row r="7" spans="2:12" ht="15" customHeight="1" x14ac:dyDescent="0.2">
      <c r="B7" s="103" t="s">
        <v>317</v>
      </c>
      <c r="E7" s="148"/>
      <c r="F7" s="148"/>
      <c r="G7" s="148"/>
      <c r="H7" s="148"/>
      <c r="I7" s="148"/>
      <c r="J7" s="148"/>
    </row>
    <row r="8" spans="2:12" ht="15" customHeight="1" x14ac:dyDescent="0.2">
      <c r="B8" s="105" t="s">
        <v>32</v>
      </c>
      <c r="E8" s="148"/>
      <c r="F8" s="148"/>
      <c r="G8" s="148"/>
      <c r="H8" s="148"/>
      <c r="I8" s="148"/>
      <c r="J8" s="148"/>
    </row>
    <row r="9" spans="2:12" ht="15" customHeight="1" x14ac:dyDescent="0.2">
      <c r="B9" s="105" t="s">
        <v>35</v>
      </c>
      <c r="E9" s="152" t="s">
        <v>446</v>
      </c>
      <c r="F9" s="148"/>
      <c r="G9" s="148"/>
      <c r="H9" s="148"/>
      <c r="I9" s="148"/>
      <c r="J9" s="148"/>
    </row>
    <row r="10" spans="2:12" ht="15" customHeight="1" x14ac:dyDescent="0.2">
      <c r="B10" s="105" t="s">
        <v>37</v>
      </c>
      <c r="E10" s="148"/>
      <c r="F10" s="148"/>
      <c r="G10" s="148"/>
      <c r="H10" s="148"/>
      <c r="I10" s="148"/>
      <c r="J10" s="148"/>
    </row>
    <row r="11" spans="2:12" ht="12.75" x14ac:dyDescent="0.2">
      <c r="B11" s="105" t="s">
        <v>39</v>
      </c>
    </row>
    <row r="12" spans="2:12" ht="12.75" x14ac:dyDescent="0.2">
      <c r="B12" s="104" t="s">
        <v>40</v>
      </c>
      <c r="E12" s="22" t="s">
        <v>1936</v>
      </c>
    </row>
    <row r="13" spans="2:12" ht="12.75" x14ac:dyDescent="0.2">
      <c r="B13" s="105" t="s">
        <v>42</v>
      </c>
      <c r="E13" s="23" t="s">
        <v>447</v>
      </c>
      <c r="F13" s="23" t="s">
        <v>448</v>
      </c>
      <c r="G13" s="23" t="s">
        <v>449</v>
      </c>
      <c r="H13" s="23" t="s">
        <v>450</v>
      </c>
      <c r="I13" s="23" t="s">
        <v>451</v>
      </c>
    </row>
    <row r="14" spans="2:12" ht="12.75" x14ac:dyDescent="0.2">
      <c r="B14" s="105" t="s">
        <v>44</v>
      </c>
      <c r="E14" s="23">
        <v>3</v>
      </c>
      <c r="F14" s="23" t="b">
        <v>1</v>
      </c>
      <c r="G14" s="23" t="s">
        <v>452</v>
      </c>
      <c r="H14" s="23" t="s">
        <v>453</v>
      </c>
      <c r="I14" s="23">
        <v>3</v>
      </c>
    </row>
    <row r="15" spans="2:12" ht="12.75" x14ac:dyDescent="0.2">
      <c r="B15" s="105" t="s">
        <v>46</v>
      </c>
      <c r="E15" s="23">
        <v>-7</v>
      </c>
      <c r="F15" s="23" t="b">
        <v>0</v>
      </c>
      <c r="G15" s="23" t="s">
        <v>454</v>
      </c>
      <c r="H15" s="23"/>
      <c r="I15" s="23">
        <v>7</v>
      </c>
    </row>
    <row r="16" spans="2:12" ht="12.75" x14ac:dyDescent="0.2">
      <c r="B16" s="103" t="s">
        <v>11</v>
      </c>
      <c r="E16" s="23">
        <v>0</v>
      </c>
      <c r="F16" s="23" t="b">
        <v>1</v>
      </c>
      <c r="G16" s="23" t="s">
        <v>452</v>
      </c>
      <c r="H16" s="23" t="s">
        <v>455</v>
      </c>
      <c r="I16" s="23">
        <v>12</v>
      </c>
    </row>
    <row r="17" spans="2:9" ht="12.75" x14ac:dyDescent="0.2">
      <c r="B17" s="103" t="s">
        <v>13</v>
      </c>
      <c r="E17" s="23">
        <v>12</v>
      </c>
      <c r="F17" s="23" t="b">
        <v>1</v>
      </c>
      <c r="G17" s="23" t="s">
        <v>456</v>
      </c>
      <c r="H17" s="23"/>
      <c r="I17" s="23">
        <v>15</v>
      </c>
    </row>
    <row r="18" spans="2:9" ht="12.75" x14ac:dyDescent="0.2">
      <c r="B18" s="103" t="s">
        <v>3407</v>
      </c>
      <c r="E18" s="23">
        <v>5</v>
      </c>
      <c r="F18" s="23" t="b">
        <v>0</v>
      </c>
      <c r="G18" s="23" t="s">
        <v>454</v>
      </c>
      <c r="H18" s="23" t="s">
        <v>457</v>
      </c>
      <c r="I18" s="23">
        <v>24</v>
      </c>
    </row>
    <row r="19" spans="2:9" ht="12.75" x14ac:dyDescent="0.2">
      <c r="B19" s="103" t="s">
        <v>14</v>
      </c>
    </row>
    <row r="20" spans="2:9" ht="12.75" x14ac:dyDescent="0.2">
      <c r="B20" s="102"/>
      <c r="E20" s="22" t="s">
        <v>458</v>
      </c>
    </row>
    <row r="21" spans="2:9" ht="12.75" x14ac:dyDescent="0.2">
      <c r="B21" s="102"/>
      <c r="E21" s="23">
        <v>1</v>
      </c>
      <c r="F21" s="23">
        <v>2</v>
      </c>
      <c r="G21" s="23">
        <v>3</v>
      </c>
    </row>
    <row r="22" spans="2:9" ht="12.75" x14ac:dyDescent="0.2">
      <c r="B22" s="102"/>
      <c r="E22" s="23">
        <v>4</v>
      </c>
      <c r="F22" s="23">
        <v>5</v>
      </c>
      <c r="G22" s="23">
        <v>6</v>
      </c>
    </row>
    <row r="23" spans="2:9" ht="12.75" x14ac:dyDescent="0.2">
      <c r="B23" s="102"/>
      <c r="E23" s="23">
        <v>7</v>
      </c>
      <c r="F23" s="23">
        <v>8</v>
      </c>
      <c r="G23" s="23">
        <v>9</v>
      </c>
    </row>
    <row r="24" spans="2:9" ht="12.75" x14ac:dyDescent="0.2">
      <c r="B24" s="102"/>
      <c r="E24" s="23">
        <v>10</v>
      </c>
      <c r="F24" s="23">
        <v>11</v>
      </c>
      <c r="G24" s="23">
        <v>12</v>
      </c>
    </row>
    <row r="25" spans="2:9" ht="12.75" x14ac:dyDescent="0.2">
      <c r="B25" s="102"/>
      <c r="E25" s="23">
        <v>13</v>
      </c>
      <c r="F25" s="23">
        <v>14</v>
      </c>
      <c r="G25" s="23">
        <v>15</v>
      </c>
    </row>
    <row r="26" spans="2:9" ht="12.75" x14ac:dyDescent="0.2">
      <c r="B26" s="102"/>
    </row>
    <row r="27" spans="2:9" ht="12.75" x14ac:dyDescent="0.2">
      <c r="B27" s="102"/>
      <c r="E27" s="22" t="s">
        <v>1392</v>
      </c>
    </row>
    <row r="28" spans="2:9" ht="12.75" x14ac:dyDescent="0.2">
      <c r="B28" s="102"/>
      <c r="E28" s="23">
        <v>1</v>
      </c>
      <c r="F28" s="23">
        <v>2</v>
      </c>
      <c r="G28" s="23"/>
    </row>
    <row r="29" spans="2:9" ht="12.75" x14ac:dyDescent="0.2">
      <c r="B29" s="102"/>
      <c r="E29" s="23">
        <v>3</v>
      </c>
      <c r="F29" s="23"/>
      <c r="G29" s="23"/>
    </row>
    <row r="30" spans="2:9" ht="12.75" x14ac:dyDescent="0.2">
      <c r="B30" s="102"/>
      <c r="E30" s="23">
        <v>4</v>
      </c>
      <c r="F30" s="23">
        <v>5</v>
      </c>
      <c r="G30" s="23">
        <v>6</v>
      </c>
    </row>
    <row r="31" spans="2:9" ht="12.75" x14ac:dyDescent="0.2">
      <c r="B31" s="102"/>
    </row>
    <row r="32" spans="2:9" ht="12.75" x14ac:dyDescent="0.2">
      <c r="B32" s="102"/>
    </row>
    <row r="33" spans="2:12" ht="15.75" customHeight="1" x14ac:dyDescent="0.2">
      <c r="B33" s="102"/>
      <c r="E33" s="159" t="s">
        <v>459</v>
      </c>
      <c r="F33" s="159"/>
      <c r="G33" s="159"/>
      <c r="H33" s="159"/>
      <c r="I33" s="159"/>
      <c r="J33" s="159"/>
      <c r="K33" s="52" t="s">
        <v>460</v>
      </c>
    </row>
    <row r="34" spans="2:12" ht="25.5" customHeight="1" x14ac:dyDescent="0.2">
      <c r="B34" s="102"/>
      <c r="E34" s="152" t="s">
        <v>1393</v>
      </c>
      <c r="F34" s="152"/>
      <c r="G34" s="152"/>
      <c r="H34" s="152"/>
      <c r="I34" s="152"/>
      <c r="J34" s="152"/>
    </row>
    <row r="35" spans="2:12" ht="15" customHeight="1" x14ac:dyDescent="0.2">
      <c r="B35" s="102"/>
      <c r="E35" s="147" t="s">
        <v>461</v>
      </c>
      <c r="F35" s="149"/>
      <c r="G35" s="149"/>
      <c r="H35" s="149"/>
      <c r="I35" s="149"/>
      <c r="J35" s="149"/>
    </row>
    <row r="36" spans="2:12" ht="12.75" x14ac:dyDescent="0.2">
      <c r="B36" s="102"/>
    </row>
    <row r="37" spans="2:12" ht="15" customHeight="1" x14ac:dyDescent="0.2">
      <c r="B37" s="102"/>
      <c r="E37" s="202" t="s">
        <v>1729</v>
      </c>
      <c r="F37" s="203"/>
      <c r="G37" s="203"/>
      <c r="H37" s="203"/>
      <c r="I37" s="203"/>
      <c r="J37" s="204"/>
    </row>
    <row r="38" spans="2:12" ht="15" customHeight="1" x14ac:dyDescent="0.2">
      <c r="B38" s="102"/>
      <c r="E38" s="147" t="s">
        <v>462</v>
      </c>
      <c r="F38" s="149"/>
      <c r="G38" s="149"/>
      <c r="H38" s="149"/>
      <c r="I38" s="149"/>
      <c r="J38" s="149"/>
    </row>
    <row r="39" spans="2:12" ht="15" customHeight="1" x14ac:dyDescent="0.2">
      <c r="B39" s="102"/>
      <c r="E39" s="147" t="s">
        <v>463</v>
      </c>
      <c r="F39" s="149"/>
      <c r="G39" s="149"/>
      <c r="H39" s="149"/>
      <c r="I39" s="149"/>
      <c r="J39" s="149"/>
    </row>
    <row r="40" spans="2:12" ht="12.75" x14ac:dyDescent="0.2">
      <c r="B40" s="102"/>
    </row>
    <row r="41" spans="2:12" ht="15" customHeight="1" x14ac:dyDescent="0.2">
      <c r="B41" s="102"/>
      <c r="E41" s="147" t="s">
        <v>1394</v>
      </c>
      <c r="F41" s="147"/>
      <c r="G41" s="147"/>
      <c r="H41" s="147"/>
      <c r="I41" s="147"/>
      <c r="J41" s="147"/>
      <c r="K41" s="24" t="s">
        <v>1938</v>
      </c>
      <c r="L41" s="24" t="s">
        <v>1939</v>
      </c>
    </row>
    <row r="42" spans="2:12" ht="15" customHeight="1" x14ac:dyDescent="0.2">
      <c r="B42" s="102"/>
      <c r="E42" s="209" t="s">
        <v>464</v>
      </c>
      <c r="F42" s="148"/>
      <c r="G42" s="148"/>
      <c r="H42" s="148"/>
      <c r="I42" s="148"/>
      <c r="J42" s="148"/>
      <c r="K42" s="5" t="s">
        <v>465</v>
      </c>
      <c r="L42" s="207" t="s">
        <v>1937</v>
      </c>
    </row>
    <row r="43" spans="2:12" ht="15" customHeight="1" x14ac:dyDescent="0.2">
      <c r="B43" s="102"/>
      <c r="E43" s="25" t="str" cm="1">
        <f t="array" ref="E43:E48">$E$13:$E$18</f>
        <v>Value</v>
      </c>
      <c r="K43" s="79" t="s">
        <v>1942</v>
      </c>
      <c r="L43" s="207"/>
    </row>
    <row r="44" spans="2:12" ht="12.75" x14ac:dyDescent="0.2">
      <c r="B44" s="102"/>
      <c r="E44">
        <v>3</v>
      </c>
      <c r="L44" s="207"/>
    </row>
    <row r="45" spans="2:12" ht="12.75" x14ac:dyDescent="0.2">
      <c r="B45" s="102"/>
      <c r="E45">
        <v>-7</v>
      </c>
      <c r="L45" s="207"/>
    </row>
    <row r="46" spans="2:12" ht="12.75" x14ac:dyDescent="0.2">
      <c r="B46" s="102"/>
      <c r="E46">
        <v>0</v>
      </c>
      <c r="L46" s="207"/>
    </row>
    <row r="47" spans="2:12" ht="12.75" x14ac:dyDescent="0.2">
      <c r="E47">
        <v>12</v>
      </c>
      <c r="L47" s="207"/>
    </row>
    <row r="48" spans="2:12" ht="12.75" x14ac:dyDescent="0.2">
      <c r="E48">
        <v>5</v>
      </c>
      <c r="L48" s="207"/>
    </row>
    <row r="49" spans="5:12" ht="12.75" x14ac:dyDescent="0.2">
      <c r="K49" s="24" t="s">
        <v>1940</v>
      </c>
      <c r="L49" s="24" t="s">
        <v>1941</v>
      </c>
    </row>
    <row r="50" spans="5:12" ht="15" customHeight="1" x14ac:dyDescent="0.2">
      <c r="E50" s="209" t="s">
        <v>466</v>
      </c>
      <c r="F50" s="148"/>
      <c r="G50" s="148"/>
      <c r="H50" s="148"/>
      <c r="I50" s="148"/>
      <c r="J50" s="148"/>
      <c r="K50" s="77" t="s">
        <v>1944</v>
      </c>
      <c r="L50" s="207" t="s">
        <v>1943</v>
      </c>
    </row>
    <row r="51" spans="5:12" ht="15" customHeight="1" x14ac:dyDescent="0.2">
      <c r="E51" s="26" cm="1">
        <f t="array" ref="E51:E55">_xlfn.DROP($E$13:$E$18,1)</f>
        <v>3</v>
      </c>
      <c r="L51" s="208"/>
    </row>
    <row r="52" spans="5:12" ht="12.75" x14ac:dyDescent="0.2">
      <c r="E52">
        <v>-7</v>
      </c>
      <c r="L52" s="208"/>
    </row>
    <row r="53" spans="5:12" ht="12.75" x14ac:dyDescent="0.2">
      <c r="E53">
        <v>0</v>
      </c>
      <c r="L53" s="208"/>
    </row>
    <row r="54" spans="5:12" ht="12.75" x14ac:dyDescent="0.2">
      <c r="E54">
        <v>12</v>
      </c>
      <c r="L54" s="208"/>
    </row>
    <row r="55" spans="5:12" ht="12.75" x14ac:dyDescent="0.2">
      <c r="E55">
        <v>5</v>
      </c>
      <c r="L55" s="208"/>
    </row>
    <row r="56" spans="5:12" ht="12.75" x14ac:dyDescent="0.2">
      <c r="L56" s="208"/>
    </row>
    <row r="57" spans="5:12" ht="15" customHeight="1" x14ac:dyDescent="0.2">
      <c r="E57" s="152" t="s">
        <v>467</v>
      </c>
      <c r="F57" s="152"/>
      <c r="G57" s="152"/>
      <c r="H57" s="152"/>
      <c r="I57" s="152"/>
      <c r="J57" s="152"/>
    </row>
    <row r="58" spans="5:12" ht="12.75" x14ac:dyDescent="0.2"/>
    <row r="59" spans="5:12" ht="12.75" x14ac:dyDescent="0.2"/>
    <row r="60" spans="5:12" ht="15.75" customHeight="1" x14ac:dyDescent="0.2">
      <c r="E60" s="159" t="s">
        <v>468</v>
      </c>
      <c r="F60" s="159"/>
      <c r="G60" s="159"/>
      <c r="H60" s="159"/>
      <c r="I60" s="159"/>
      <c r="J60" s="159"/>
      <c r="K60" s="52" t="s">
        <v>469</v>
      </c>
    </row>
    <row r="61" spans="5:12" ht="15" customHeight="1" x14ac:dyDescent="0.2">
      <c r="E61" s="152" t="s">
        <v>470</v>
      </c>
      <c r="F61" s="149"/>
      <c r="G61" s="149"/>
      <c r="H61" s="149"/>
      <c r="I61" s="149"/>
      <c r="J61" s="149"/>
    </row>
    <row r="62" spans="5:12" ht="21.75" customHeight="1" x14ac:dyDescent="0.2">
      <c r="E62" s="147" t="s">
        <v>3223</v>
      </c>
      <c r="F62" s="147"/>
      <c r="G62" s="147"/>
      <c r="H62" s="147"/>
      <c r="I62" s="147"/>
      <c r="J62" s="147"/>
    </row>
    <row r="63" spans="5:12" ht="12.75" x14ac:dyDescent="0.2"/>
    <row r="64" spans="5:12" ht="15" customHeight="1" x14ac:dyDescent="0.2">
      <c r="E64" s="202" t="s">
        <v>1729</v>
      </c>
      <c r="F64" s="203"/>
      <c r="G64" s="203"/>
      <c r="H64" s="203"/>
      <c r="I64" s="203"/>
      <c r="J64" s="204"/>
    </row>
    <row r="65" spans="5:12" ht="15" customHeight="1" x14ac:dyDescent="0.2">
      <c r="E65" s="147" t="s">
        <v>462</v>
      </c>
      <c r="F65" s="149"/>
      <c r="G65" s="149"/>
      <c r="H65" s="149"/>
      <c r="I65" s="149"/>
      <c r="J65" s="149"/>
    </row>
    <row r="66" spans="5:12" ht="15" customHeight="1" x14ac:dyDescent="0.2">
      <c r="E66" s="147" t="s">
        <v>471</v>
      </c>
      <c r="F66" s="149"/>
      <c r="G66" s="149"/>
      <c r="H66" s="149"/>
      <c r="I66" s="149"/>
      <c r="J66" s="149"/>
    </row>
    <row r="67" spans="5:12" ht="12.75" x14ac:dyDescent="0.2"/>
    <row r="68" spans="5:12" ht="15" customHeight="1" x14ac:dyDescent="0.2">
      <c r="E68" s="147" t="s">
        <v>1394</v>
      </c>
      <c r="F68" s="147"/>
      <c r="G68" s="147"/>
      <c r="H68" s="147"/>
      <c r="I68" s="147"/>
      <c r="J68" s="147"/>
      <c r="K68" s="24" t="s">
        <v>1938</v>
      </c>
      <c r="L68" s="24" t="s">
        <v>1939</v>
      </c>
    </row>
    <row r="69" spans="5:12" ht="15" customHeight="1" x14ac:dyDescent="0.2">
      <c r="E69" s="209" t="s">
        <v>472</v>
      </c>
      <c r="F69" s="148"/>
      <c r="G69" s="148"/>
      <c r="H69" s="148"/>
      <c r="I69" s="148"/>
      <c r="J69" s="148"/>
      <c r="K69" s="5" t="s">
        <v>473</v>
      </c>
      <c r="L69" s="207" t="s">
        <v>1945</v>
      </c>
    </row>
    <row r="70" spans="5:12" ht="15" customHeight="1" x14ac:dyDescent="0.2">
      <c r="E70" s="25" t="str" cm="1">
        <f t="array" ref="E70:E74">$G$14:$G$18</f>
        <v>alpha</v>
      </c>
      <c r="K70" s="79" t="s">
        <v>1944</v>
      </c>
      <c r="L70" s="207"/>
    </row>
    <row r="71" spans="5:12" ht="12.75" x14ac:dyDescent="0.2">
      <c r="E71" t="str">
        <v>beta</v>
      </c>
      <c r="L71" s="207"/>
    </row>
    <row r="72" spans="5:12" ht="12.75" x14ac:dyDescent="0.2">
      <c r="E72" t="str">
        <v>alpha</v>
      </c>
      <c r="L72" s="207"/>
    </row>
    <row r="73" spans="5:12" ht="12.75" x14ac:dyDescent="0.2">
      <c r="E73" t="str">
        <v>gamma</v>
      </c>
      <c r="L73" s="207"/>
    </row>
    <row r="74" spans="5:12" ht="12.75" x14ac:dyDescent="0.2">
      <c r="E74" t="str">
        <v>beta</v>
      </c>
      <c r="L74" s="207"/>
    </row>
    <row r="75" spans="5:12" ht="12.75" x14ac:dyDescent="0.2">
      <c r="K75" s="24" t="s">
        <v>1940</v>
      </c>
      <c r="L75" s="24" t="s">
        <v>1941</v>
      </c>
    </row>
    <row r="76" spans="5:12" ht="15" customHeight="1" x14ac:dyDescent="0.2">
      <c r="E76" s="209" t="s">
        <v>474</v>
      </c>
      <c r="F76" s="148"/>
      <c r="G76" s="148"/>
      <c r="H76" s="148"/>
      <c r="I76" s="148"/>
      <c r="J76" s="148"/>
      <c r="K76" s="77" t="s">
        <v>1947</v>
      </c>
      <c r="L76" s="207" t="s">
        <v>1946</v>
      </c>
    </row>
    <row r="77" spans="5:12" ht="15" customHeight="1" x14ac:dyDescent="0.2">
      <c r="E77" s="26" t="str" cm="1">
        <f t="array" ref="E77:E79">_xlfn.UNIQUE($G$14:$G$18)</f>
        <v>alpha</v>
      </c>
      <c r="L77" s="208"/>
    </row>
    <row r="78" spans="5:12" ht="12.75" x14ac:dyDescent="0.2">
      <c r="E78" t="str">
        <v>beta</v>
      </c>
      <c r="L78" s="208"/>
    </row>
    <row r="79" spans="5:12" ht="12.75" x14ac:dyDescent="0.2">
      <c r="E79" t="str">
        <v>gamma</v>
      </c>
      <c r="L79" s="208"/>
    </row>
    <row r="80" spans="5:12" ht="12.75" x14ac:dyDescent="0.2">
      <c r="L80" s="208"/>
    </row>
    <row r="81" spans="5:12" ht="25.5" customHeight="1" x14ac:dyDescent="0.2">
      <c r="E81" s="152" t="s">
        <v>1395</v>
      </c>
      <c r="F81" s="152"/>
      <c r="G81" s="152"/>
      <c r="H81" s="152"/>
      <c r="I81" s="152"/>
      <c r="J81" s="152"/>
    </row>
    <row r="82" spans="5:12" ht="12.75" x14ac:dyDescent="0.2"/>
    <row r="83" spans="5:12" ht="12.75" x14ac:dyDescent="0.2"/>
    <row r="84" spans="5:12" ht="15.75" customHeight="1" x14ac:dyDescent="0.2">
      <c r="E84" s="159" t="s">
        <v>475</v>
      </c>
      <c r="F84" s="159"/>
      <c r="G84" s="159"/>
      <c r="H84" s="159"/>
      <c r="I84" s="159"/>
      <c r="J84" s="159"/>
      <c r="K84" s="52" t="s">
        <v>476</v>
      </c>
    </row>
    <row r="85" spans="5:12" ht="15" customHeight="1" x14ac:dyDescent="0.2">
      <c r="E85" s="152" t="s">
        <v>477</v>
      </c>
      <c r="F85" s="149"/>
      <c r="G85" s="149"/>
      <c r="H85" s="149"/>
      <c r="I85" s="149"/>
      <c r="J85" s="149"/>
    </row>
    <row r="86" spans="5:12" ht="15" customHeight="1" x14ac:dyDescent="0.2">
      <c r="E86" s="147" t="s">
        <v>478</v>
      </c>
      <c r="F86" s="149"/>
      <c r="G86" s="149"/>
      <c r="H86" s="149"/>
      <c r="I86" s="149"/>
      <c r="J86" s="149"/>
    </row>
    <row r="87" spans="5:12" ht="12.75" x14ac:dyDescent="0.2"/>
    <row r="88" spans="5:12" ht="15" customHeight="1" x14ac:dyDescent="0.2">
      <c r="E88" s="202" t="s">
        <v>1729</v>
      </c>
      <c r="F88" s="203"/>
      <c r="G88" s="203"/>
      <c r="H88" s="203"/>
      <c r="I88" s="203"/>
      <c r="J88" s="204"/>
    </row>
    <row r="89" spans="5:12" ht="15" customHeight="1" x14ac:dyDescent="0.2">
      <c r="E89" s="147" t="s">
        <v>462</v>
      </c>
      <c r="F89" s="149"/>
      <c r="G89" s="149"/>
      <c r="H89" s="149"/>
      <c r="I89" s="149"/>
      <c r="J89" s="149"/>
    </row>
    <row r="90" spans="5:12" ht="15" customHeight="1" x14ac:dyDescent="0.2">
      <c r="E90" s="147" t="s">
        <v>479</v>
      </c>
      <c r="F90" s="149"/>
      <c r="G90" s="149"/>
      <c r="H90" s="149"/>
      <c r="I90" s="149"/>
      <c r="J90" s="149"/>
    </row>
    <row r="91" spans="5:12" ht="12.75" x14ac:dyDescent="0.2"/>
    <row r="92" spans="5:12" ht="15" customHeight="1" x14ac:dyDescent="0.2">
      <c r="E92" s="147" t="s">
        <v>1394</v>
      </c>
      <c r="F92" s="147"/>
      <c r="G92" s="147"/>
      <c r="H92" s="147"/>
      <c r="I92" s="147"/>
      <c r="J92" s="147"/>
      <c r="K92" s="24" t="s">
        <v>1938</v>
      </c>
      <c r="L92" s="24" t="s">
        <v>1939</v>
      </c>
    </row>
    <row r="93" spans="5:12" ht="15" customHeight="1" x14ac:dyDescent="0.2">
      <c r="E93" s="209" t="s">
        <v>480</v>
      </c>
      <c r="F93" s="148"/>
      <c r="G93" s="148"/>
      <c r="H93" s="148"/>
      <c r="I93" s="148"/>
      <c r="J93" s="148"/>
      <c r="K93" s="5" t="s">
        <v>481</v>
      </c>
      <c r="L93" s="207" t="s">
        <v>1943</v>
      </c>
    </row>
    <row r="94" spans="5:12" ht="15" customHeight="1" x14ac:dyDescent="0.2">
      <c r="E94" s="25" cm="1">
        <f t="array" ref="E94:E98">$E$14:$E$18</f>
        <v>3</v>
      </c>
      <c r="K94" s="79" t="s">
        <v>1944</v>
      </c>
      <c r="L94" s="207"/>
    </row>
    <row r="95" spans="5:12" ht="12.75" x14ac:dyDescent="0.2">
      <c r="E95">
        <v>-7</v>
      </c>
      <c r="L95" s="207"/>
    </row>
    <row r="96" spans="5:12" ht="12.75" x14ac:dyDescent="0.2">
      <c r="E96">
        <v>0</v>
      </c>
      <c r="L96" s="207"/>
    </row>
    <row r="97" spans="5:12" ht="12.75" x14ac:dyDescent="0.2">
      <c r="E97">
        <v>12</v>
      </c>
      <c r="L97" s="207"/>
    </row>
    <row r="98" spans="5:12" ht="12.75" x14ac:dyDescent="0.2">
      <c r="E98">
        <v>5</v>
      </c>
      <c r="L98" s="207"/>
    </row>
    <row r="99" spans="5:12" ht="12.75" x14ac:dyDescent="0.2">
      <c r="K99" s="24" t="s">
        <v>1940</v>
      </c>
      <c r="L99" s="24" t="s">
        <v>1941</v>
      </c>
    </row>
    <row r="100" spans="5:12" ht="15" customHeight="1" x14ac:dyDescent="0.2">
      <c r="E100" s="209" t="s">
        <v>482</v>
      </c>
      <c r="F100" s="148"/>
      <c r="G100" s="148"/>
      <c r="H100" s="148"/>
      <c r="I100" s="148"/>
      <c r="J100" s="148"/>
      <c r="K100" s="77" t="s">
        <v>1944</v>
      </c>
      <c r="L100" s="207" t="s">
        <v>1948</v>
      </c>
    </row>
    <row r="101" spans="5:12" ht="15" customHeight="1" x14ac:dyDescent="0.2">
      <c r="E101" s="26" cm="1">
        <f t="array" ref="E101:E105">_xlfn.SEQUENCE(ROWS($E$14:$E$18),1,1,1)</f>
        <v>1</v>
      </c>
      <c r="L101" s="208"/>
    </row>
    <row r="102" spans="5:12" ht="12.75" x14ac:dyDescent="0.2">
      <c r="E102">
        <v>2</v>
      </c>
      <c r="L102" s="208"/>
    </row>
    <row r="103" spans="5:12" ht="12.75" x14ac:dyDescent="0.2">
      <c r="E103">
        <v>3</v>
      </c>
      <c r="L103" s="208"/>
    </row>
    <row r="104" spans="5:12" ht="12.75" x14ac:dyDescent="0.2">
      <c r="E104">
        <v>4</v>
      </c>
      <c r="L104" s="208"/>
    </row>
    <row r="105" spans="5:12" ht="12.75" x14ac:dyDescent="0.2">
      <c r="E105">
        <v>5</v>
      </c>
      <c r="L105" s="208"/>
    </row>
    <row r="106" spans="5:12" ht="12.75" x14ac:dyDescent="0.2">
      <c r="L106" s="208"/>
    </row>
    <row r="107" spans="5:12" ht="25.5" customHeight="1" x14ac:dyDescent="0.2">
      <c r="E107" s="152" t="s">
        <v>483</v>
      </c>
      <c r="F107" s="152"/>
      <c r="G107" s="152"/>
      <c r="H107" s="152"/>
      <c r="I107" s="152"/>
      <c r="J107" s="152"/>
    </row>
    <row r="108" spans="5:12" ht="15" customHeight="1" x14ac:dyDescent="0.2">
      <c r="E108" s="172" t="s">
        <v>1817</v>
      </c>
      <c r="F108" s="173"/>
      <c r="G108" s="173"/>
      <c r="H108" s="173"/>
      <c r="I108" s="173"/>
      <c r="J108" s="174"/>
    </row>
    <row r="109" spans="5:12" ht="12.75" x14ac:dyDescent="0.2"/>
    <row r="110" spans="5:12" ht="12.75" x14ac:dyDescent="0.2"/>
    <row r="111" spans="5:12" ht="15.75" customHeight="1" x14ac:dyDescent="0.2">
      <c r="E111" s="159" t="s">
        <v>484</v>
      </c>
      <c r="F111" s="159"/>
      <c r="G111" s="159"/>
      <c r="H111" s="159"/>
      <c r="I111" s="159"/>
      <c r="J111" s="159"/>
      <c r="K111" s="52" t="s">
        <v>485</v>
      </c>
    </row>
    <row r="112" spans="5:12" ht="25.5" customHeight="1" x14ac:dyDescent="0.2">
      <c r="E112" s="152" t="s">
        <v>486</v>
      </c>
      <c r="F112" s="152"/>
      <c r="G112" s="152"/>
      <c r="H112" s="152"/>
      <c r="I112" s="152"/>
      <c r="J112" s="152"/>
    </row>
    <row r="113" spans="5:12" ht="21.75" customHeight="1" x14ac:dyDescent="0.2">
      <c r="E113" s="147" t="s">
        <v>487</v>
      </c>
      <c r="F113" s="147"/>
      <c r="G113" s="147"/>
      <c r="H113" s="147"/>
      <c r="I113" s="147"/>
      <c r="J113" s="147"/>
    </row>
    <row r="114" spans="5:12" ht="12.75" x14ac:dyDescent="0.2"/>
    <row r="115" spans="5:12" ht="15" customHeight="1" x14ac:dyDescent="0.2">
      <c r="E115" s="202" t="s">
        <v>1729</v>
      </c>
      <c r="F115" s="203"/>
      <c r="G115" s="203"/>
      <c r="H115" s="203"/>
      <c r="I115" s="203"/>
      <c r="J115" s="204"/>
    </row>
    <row r="116" spans="5:12" ht="15" customHeight="1" x14ac:dyDescent="0.2">
      <c r="E116" s="147" t="s">
        <v>488</v>
      </c>
      <c r="F116" s="149"/>
      <c r="G116" s="149"/>
      <c r="H116" s="149"/>
      <c r="I116" s="149"/>
      <c r="J116" s="149"/>
    </row>
    <row r="117" spans="5:12" ht="15" customHeight="1" x14ac:dyDescent="0.2">
      <c r="E117" s="147" t="s">
        <v>489</v>
      </c>
      <c r="F117" s="149"/>
      <c r="G117" s="149"/>
      <c r="H117" s="149"/>
      <c r="I117" s="149"/>
      <c r="J117" s="149"/>
    </row>
    <row r="118" spans="5:12" ht="12.75" x14ac:dyDescent="0.2"/>
    <row r="119" spans="5:12" ht="15" customHeight="1" x14ac:dyDescent="0.2">
      <c r="E119" s="147" t="s">
        <v>1394</v>
      </c>
      <c r="F119" s="147"/>
      <c r="G119" s="147"/>
      <c r="H119" s="147"/>
      <c r="I119" s="147"/>
      <c r="J119" s="147"/>
      <c r="K119" s="24" t="s">
        <v>1938</v>
      </c>
      <c r="L119" s="24" t="s">
        <v>1939</v>
      </c>
    </row>
    <row r="120" spans="5:12" ht="15" customHeight="1" x14ac:dyDescent="0.2">
      <c r="E120" s="209" t="s">
        <v>490</v>
      </c>
      <c r="F120" s="148"/>
      <c r="G120" s="148"/>
      <c r="H120" s="148"/>
      <c r="I120" s="148"/>
      <c r="J120" s="148"/>
      <c r="K120" s="5" t="s">
        <v>491</v>
      </c>
      <c r="L120" s="207" t="s">
        <v>1949</v>
      </c>
    </row>
    <row r="121" spans="5:12" ht="15" customHeight="1" x14ac:dyDescent="0.2">
      <c r="E121" s="25" cm="1">
        <f t="array" ref="E121:G125">$E$21:$G$25</f>
        <v>1</v>
      </c>
      <c r="F121">
        <v>2</v>
      </c>
      <c r="G121">
        <v>3</v>
      </c>
      <c r="K121" s="79" t="s">
        <v>1950</v>
      </c>
      <c r="L121" s="207"/>
    </row>
    <row r="122" spans="5:12" ht="12.75" x14ac:dyDescent="0.2">
      <c r="E122">
        <v>4</v>
      </c>
      <c r="F122">
        <v>5</v>
      </c>
      <c r="G122">
        <v>6</v>
      </c>
      <c r="L122" s="207"/>
    </row>
    <row r="123" spans="5:12" ht="12.75" x14ac:dyDescent="0.2">
      <c r="E123">
        <v>7</v>
      </c>
      <c r="F123">
        <v>8</v>
      </c>
      <c r="G123">
        <v>9</v>
      </c>
      <c r="L123" s="207"/>
    </row>
    <row r="124" spans="5:12" ht="12.75" x14ac:dyDescent="0.2">
      <c r="E124">
        <v>10</v>
      </c>
      <c r="F124">
        <v>11</v>
      </c>
      <c r="G124">
        <v>12</v>
      </c>
      <c r="L124" s="207"/>
    </row>
    <row r="125" spans="5:12" ht="12.75" x14ac:dyDescent="0.2">
      <c r="E125">
        <v>13</v>
      </c>
      <c r="F125">
        <v>14</v>
      </c>
      <c r="G125">
        <v>15</v>
      </c>
      <c r="L125" s="207"/>
    </row>
    <row r="126" spans="5:12" ht="12.75" x14ac:dyDescent="0.2">
      <c r="K126" s="24" t="s">
        <v>1940</v>
      </c>
      <c r="L126" s="24" t="s">
        <v>1941</v>
      </c>
    </row>
    <row r="127" spans="5:12" ht="15" customHeight="1" x14ac:dyDescent="0.2">
      <c r="E127" s="209" t="s">
        <v>492</v>
      </c>
      <c r="F127" s="148"/>
      <c r="G127" s="148"/>
      <c r="H127" s="148"/>
      <c r="I127" s="148"/>
      <c r="J127" s="148"/>
      <c r="K127" s="5"/>
      <c r="L127" s="207">
        <v>8</v>
      </c>
    </row>
    <row r="128" spans="5:12" ht="15" customHeight="1" x14ac:dyDescent="0.2">
      <c r="E128" s="26" cm="1">
        <f t="array" ref="E128">_xlfn.CHOOSEROWS(_xlfn.CHOOSECOLS($E$21:$G$25,{2}),{3})</f>
        <v>8</v>
      </c>
      <c r="L128" s="208"/>
    </row>
    <row r="129" spans="5:12" ht="12.75" x14ac:dyDescent="0.2">
      <c r="L129" s="208"/>
    </row>
    <row r="130" spans="5:12" ht="25.5" customHeight="1" x14ac:dyDescent="0.2">
      <c r="E130" s="152" t="s">
        <v>493</v>
      </c>
      <c r="F130" s="152"/>
      <c r="G130" s="152"/>
      <c r="H130" s="152"/>
      <c r="I130" s="152"/>
      <c r="J130" s="152"/>
    </row>
    <row r="131" spans="5:12" ht="15" customHeight="1" x14ac:dyDescent="0.2">
      <c r="E131" s="172" t="s">
        <v>1818</v>
      </c>
      <c r="F131" s="173"/>
      <c r="G131" s="173"/>
      <c r="H131" s="173"/>
      <c r="I131" s="173"/>
      <c r="J131" s="174"/>
    </row>
    <row r="132" spans="5:12" ht="12.75" x14ac:dyDescent="0.2"/>
    <row r="133" spans="5:12" ht="12.75" x14ac:dyDescent="0.2"/>
    <row r="134" spans="5:12" ht="15.75" customHeight="1" x14ac:dyDescent="0.2">
      <c r="E134" s="159" t="s">
        <v>494</v>
      </c>
      <c r="F134" s="159"/>
      <c r="G134" s="159"/>
      <c r="H134" s="159"/>
      <c r="I134" s="159"/>
      <c r="J134" s="159"/>
      <c r="K134" s="52" t="s">
        <v>495</v>
      </c>
    </row>
    <row r="135" spans="5:12" ht="15" customHeight="1" x14ac:dyDescent="0.2">
      <c r="E135" s="152" t="s">
        <v>496</v>
      </c>
      <c r="F135" s="149"/>
      <c r="G135" s="149"/>
      <c r="H135" s="149"/>
      <c r="I135" s="149"/>
      <c r="J135" s="149"/>
    </row>
    <row r="136" spans="5:12" ht="15" customHeight="1" x14ac:dyDescent="0.2">
      <c r="E136" s="147" t="s">
        <v>497</v>
      </c>
      <c r="F136" s="149"/>
      <c r="G136" s="149"/>
      <c r="H136" s="149"/>
      <c r="I136" s="149"/>
      <c r="J136" s="149"/>
    </row>
    <row r="137" spans="5:12" ht="12.75" x14ac:dyDescent="0.2"/>
    <row r="138" spans="5:12" ht="15" customHeight="1" x14ac:dyDescent="0.2">
      <c r="E138" s="202" t="s">
        <v>1729</v>
      </c>
      <c r="F138" s="203"/>
      <c r="G138" s="203"/>
      <c r="H138" s="203"/>
      <c r="I138" s="203"/>
      <c r="J138" s="204"/>
    </row>
    <row r="139" spans="5:12" ht="15" customHeight="1" x14ac:dyDescent="0.2">
      <c r="E139" s="147" t="s">
        <v>462</v>
      </c>
      <c r="F139" s="149"/>
      <c r="G139" s="149"/>
      <c r="H139" s="149"/>
      <c r="I139" s="149"/>
      <c r="J139" s="149"/>
    </row>
    <row r="140" spans="5:12" ht="15" customHeight="1" x14ac:dyDescent="0.2">
      <c r="E140" s="147" t="s">
        <v>498</v>
      </c>
      <c r="F140" s="149"/>
      <c r="G140" s="149"/>
      <c r="H140" s="149"/>
      <c r="I140" s="149"/>
      <c r="J140" s="149"/>
    </row>
    <row r="141" spans="5:12" ht="12.75" x14ac:dyDescent="0.2"/>
    <row r="142" spans="5:12" ht="15" customHeight="1" x14ac:dyDescent="0.2">
      <c r="E142" s="147" t="s">
        <v>1394</v>
      </c>
      <c r="F142" s="147"/>
      <c r="G142" s="147"/>
      <c r="H142" s="147"/>
      <c r="I142" s="147"/>
      <c r="J142" s="147"/>
      <c r="K142" s="24" t="s">
        <v>1938</v>
      </c>
      <c r="L142" s="24" t="s">
        <v>1939</v>
      </c>
    </row>
    <row r="143" spans="5:12" ht="15" customHeight="1" x14ac:dyDescent="0.2">
      <c r="E143" s="209" t="s">
        <v>499</v>
      </c>
      <c r="F143" s="148"/>
      <c r="G143" s="148"/>
      <c r="H143" s="148"/>
      <c r="I143" s="148"/>
      <c r="J143" s="148"/>
      <c r="K143" s="5" t="s">
        <v>500</v>
      </c>
      <c r="L143" s="207" t="s">
        <v>1951</v>
      </c>
    </row>
    <row r="144" spans="5:12" ht="15" customHeight="1" x14ac:dyDescent="0.2">
      <c r="E144" s="25" cm="1">
        <f t="array" ref="E144:G146">$E$28:$G$30</f>
        <v>1</v>
      </c>
      <c r="F144">
        <v>2</v>
      </c>
      <c r="G144">
        <v>0</v>
      </c>
      <c r="K144" s="79" t="s">
        <v>1952</v>
      </c>
      <c r="L144" s="207"/>
    </row>
    <row r="145" spans="5:12" ht="12.75" x14ac:dyDescent="0.2">
      <c r="E145">
        <v>3</v>
      </c>
      <c r="F145">
        <v>0</v>
      </c>
      <c r="G145">
        <v>0</v>
      </c>
      <c r="L145" s="207"/>
    </row>
    <row r="146" spans="5:12" ht="12.75" x14ac:dyDescent="0.2">
      <c r="E146">
        <v>4</v>
      </c>
      <c r="F146">
        <v>5</v>
      </c>
      <c r="G146">
        <v>6</v>
      </c>
      <c r="L146" s="207"/>
    </row>
    <row r="147" spans="5:12" ht="12.75" x14ac:dyDescent="0.2">
      <c r="K147" s="24" t="s">
        <v>1940</v>
      </c>
      <c r="L147" s="24" t="s">
        <v>1941</v>
      </c>
    </row>
    <row r="148" spans="5:12" ht="15" customHeight="1" x14ac:dyDescent="0.2">
      <c r="E148" s="209" t="s">
        <v>501</v>
      </c>
      <c r="F148" s="148"/>
      <c r="G148" s="148"/>
      <c r="H148" s="148"/>
      <c r="I148" s="148"/>
      <c r="J148" s="148"/>
      <c r="K148" s="77" t="s">
        <v>1952</v>
      </c>
      <c r="L148" s="207" t="s">
        <v>1953</v>
      </c>
    </row>
    <row r="149" spans="5:12" ht="15" customHeight="1" x14ac:dyDescent="0.2">
      <c r="E149" s="26" t="str" cm="1">
        <f t="array" ref="E149:G151">RightAlignedArray_byJaqKennedy(IFBLANK($E$28:$G$30,""))</f>
        <v/>
      </c>
      <c r="F149">
        <v>1</v>
      </c>
      <c r="G149">
        <v>2</v>
      </c>
      <c r="L149" s="208"/>
    </row>
    <row r="150" spans="5:12" ht="12.75" x14ac:dyDescent="0.2">
      <c r="E150" t="str">
        <v/>
      </c>
      <c r="F150" t="str">
        <v/>
      </c>
      <c r="G150">
        <v>3</v>
      </c>
      <c r="L150" s="208"/>
    </row>
    <row r="151" spans="5:12" ht="12.75" x14ac:dyDescent="0.2">
      <c r="E151">
        <v>4</v>
      </c>
      <c r="F151">
        <v>5</v>
      </c>
      <c r="G151">
        <v>6</v>
      </c>
      <c r="L151" s="208"/>
    </row>
    <row r="152" spans="5:12" ht="12.75" x14ac:dyDescent="0.2">
      <c r="L152" s="208"/>
    </row>
    <row r="153" spans="5:12" ht="25.5" customHeight="1" x14ac:dyDescent="0.2">
      <c r="E153" s="152" t="s">
        <v>1396</v>
      </c>
      <c r="F153" s="152"/>
      <c r="G153" s="152"/>
      <c r="H153" s="152"/>
      <c r="I153" s="152"/>
      <c r="J153" s="152"/>
    </row>
    <row r="154" spans="5:12" ht="12.75" x14ac:dyDescent="0.2"/>
    <row r="155" spans="5:12" ht="12.75" x14ac:dyDescent="0.2"/>
    <row r="156" spans="5:12" ht="15.75" customHeight="1" x14ac:dyDescent="0.2">
      <c r="E156" s="159" t="s">
        <v>2050</v>
      </c>
      <c r="F156" s="159"/>
      <c r="G156" s="159"/>
      <c r="H156" s="159"/>
      <c r="I156" s="159"/>
      <c r="J156" s="159"/>
      <c r="K156" s="52" t="s">
        <v>2262</v>
      </c>
    </row>
    <row r="157" spans="5:12" ht="25.5" customHeight="1" x14ac:dyDescent="0.2">
      <c r="E157" s="152" t="s">
        <v>2051</v>
      </c>
      <c r="F157" s="149"/>
      <c r="G157" s="149"/>
      <c r="H157" s="149"/>
      <c r="I157" s="149"/>
      <c r="J157" s="149"/>
    </row>
    <row r="158" spans="5:12" ht="21.75" customHeight="1" x14ac:dyDescent="0.2">
      <c r="E158" s="210" t="s">
        <v>2263</v>
      </c>
      <c r="F158" s="149"/>
      <c r="G158" s="149"/>
      <c r="H158" s="149"/>
      <c r="I158" s="149"/>
      <c r="J158" s="149"/>
    </row>
    <row r="159" spans="5:12" ht="12.75" customHeight="1" x14ac:dyDescent="0.2"/>
    <row r="160" spans="5:12" ht="15" customHeight="1" x14ac:dyDescent="0.2">
      <c r="E160" s="202" t="s">
        <v>1729</v>
      </c>
      <c r="F160" s="203"/>
      <c r="G160" s="203"/>
      <c r="H160" s="203"/>
      <c r="I160" s="203"/>
      <c r="J160" s="204"/>
    </row>
    <row r="161" spans="5:12" ht="15" customHeight="1" x14ac:dyDescent="0.2">
      <c r="E161" s="147" t="s">
        <v>2052</v>
      </c>
      <c r="F161" s="149"/>
      <c r="G161" s="149"/>
      <c r="H161" s="149"/>
      <c r="I161" s="149"/>
      <c r="J161" s="149"/>
    </row>
    <row r="162" spans="5:12" ht="15" customHeight="1" x14ac:dyDescent="0.2">
      <c r="E162" s="147" t="s">
        <v>2053</v>
      </c>
      <c r="F162" s="149"/>
      <c r="G162" s="149"/>
      <c r="H162" s="149"/>
      <c r="I162" s="149"/>
      <c r="J162" s="149"/>
    </row>
    <row r="163" spans="5:12" ht="12.75" customHeight="1" x14ac:dyDescent="0.2"/>
    <row r="164" spans="5:12" ht="21.75" customHeight="1" x14ac:dyDescent="0.2">
      <c r="E164" s="147" t="s">
        <v>2054</v>
      </c>
      <c r="F164" s="147"/>
      <c r="G164" s="147"/>
      <c r="H164" s="147"/>
      <c r="I164" s="147"/>
      <c r="J164" s="147"/>
      <c r="K164" s="24" t="s">
        <v>1938</v>
      </c>
      <c r="L164" s="24" t="s">
        <v>1939</v>
      </c>
    </row>
    <row r="165" spans="5:12" ht="15" customHeight="1" x14ac:dyDescent="0.2">
      <c r="E165" s="209" t="s">
        <v>2057</v>
      </c>
      <c r="F165" s="148"/>
      <c r="G165" s="148"/>
      <c r="H165" s="148"/>
      <c r="I165" s="148"/>
      <c r="J165" s="148"/>
      <c r="K165" s="5" t="s">
        <v>2059</v>
      </c>
      <c r="L165" s="207" t="s">
        <v>1953</v>
      </c>
    </row>
    <row r="166" spans="5:12" ht="15" customHeight="1" x14ac:dyDescent="0.2">
      <c r="E166" s="25" t="str" cm="1">
        <f t="array" ref="E166:G168">RightAlignedArray_byJaqKennedy(IFBLANK($E$28:$G$30,""))</f>
        <v/>
      </c>
      <c r="F166">
        <v>1</v>
      </c>
      <c r="G166">
        <v>2</v>
      </c>
      <c r="K166" s="79" t="s">
        <v>1952</v>
      </c>
      <c r="L166" s="207"/>
    </row>
    <row r="167" spans="5:12" ht="12.75" customHeight="1" x14ac:dyDescent="0.2">
      <c r="E167" t="str">
        <v/>
      </c>
      <c r="F167" t="str">
        <v/>
      </c>
      <c r="G167">
        <v>3</v>
      </c>
      <c r="L167" s="207"/>
    </row>
    <row r="168" spans="5:12" ht="12.75" customHeight="1" x14ac:dyDescent="0.2">
      <c r="E168">
        <v>4</v>
      </c>
      <c r="F168">
        <v>5</v>
      </c>
      <c r="G168">
        <v>6</v>
      </c>
      <c r="L168" s="207"/>
    </row>
    <row r="169" spans="5:12" ht="12.75" customHeight="1" x14ac:dyDescent="0.2">
      <c r="K169" s="24" t="s">
        <v>1940</v>
      </c>
      <c r="L169" s="24" t="s">
        <v>1941</v>
      </c>
    </row>
    <row r="170" spans="5:12" ht="15" customHeight="1" x14ac:dyDescent="0.2">
      <c r="E170" s="209" t="s">
        <v>2058</v>
      </c>
      <c r="F170" s="148"/>
      <c r="G170" s="148"/>
      <c r="H170" s="148"/>
      <c r="I170" s="148"/>
      <c r="J170" s="148"/>
      <c r="K170" s="77" t="s">
        <v>1947</v>
      </c>
      <c r="L170" s="207" t="s">
        <v>2060</v>
      </c>
    </row>
    <row r="171" spans="5:12" ht="15" customHeight="1" x14ac:dyDescent="0.2">
      <c r="E171" s="26" cm="1">
        <f t="array" ref="E171:E173">_xlfn.CHOOSECOLS(RightAlignedArray_byJaqKennedy(IFBLANK($E$28:$G$30,"")),3)</f>
        <v>2</v>
      </c>
      <c r="L171" s="208"/>
    </row>
    <row r="172" spans="5:12" ht="12.75" customHeight="1" x14ac:dyDescent="0.2">
      <c r="E172">
        <v>3</v>
      </c>
      <c r="L172" s="208"/>
    </row>
    <row r="173" spans="5:12" ht="12.75" customHeight="1" x14ac:dyDescent="0.2">
      <c r="E173">
        <v>6</v>
      </c>
      <c r="L173" s="208"/>
    </row>
    <row r="174" spans="5:12" ht="12.75" customHeight="1" x14ac:dyDescent="0.2">
      <c r="L174" s="208"/>
    </row>
    <row r="175" spans="5:12" ht="25.5" customHeight="1" x14ac:dyDescent="0.2">
      <c r="E175" s="152" t="s">
        <v>2055</v>
      </c>
      <c r="F175" s="152"/>
      <c r="G175" s="152"/>
      <c r="H175" s="152"/>
      <c r="I175" s="152"/>
      <c r="J175" s="152"/>
    </row>
    <row r="176" spans="5:12" ht="25.5" customHeight="1" x14ac:dyDescent="0.2">
      <c r="E176" s="172" t="s">
        <v>2056</v>
      </c>
      <c r="F176" s="173"/>
      <c r="G176" s="173"/>
      <c r="H176" s="173"/>
      <c r="I176" s="173"/>
      <c r="J176" s="174"/>
    </row>
    <row r="177" spans="5:12" ht="12.75" customHeight="1" x14ac:dyDescent="0.2"/>
    <row r="178" spans="5:12" ht="15.75" customHeight="1" x14ac:dyDescent="0.2">
      <c r="E178" s="159" t="s">
        <v>502</v>
      </c>
      <c r="F178" s="159"/>
      <c r="G178" s="159"/>
      <c r="H178" s="159"/>
      <c r="I178" s="159"/>
      <c r="J178" s="159"/>
      <c r="K178" s="52" t="s">
        <v>503</v>
      </c>
    </row>
    <row r="179" spans="5:12" ht="15" customHeight="1" x14ac:dyDescent="0.2">
      <c r="E179" s="152" t="s">
        <v>504</v>
      </c>
      <c r="F179" s="149"/>
      <c r="G179" s="149"/>
      <c r="H179" s="149"/>
      <c r="I179" s="149"/>
      <c r="J179" s="149"/>
    </row>
    <row r="180" spans="5:12" ht="15" customHeight="1" x14ac:dyDescent="0.2">
      <c r="E180" s="147" t="s">
        <v>505</v>
      </c>
      <c r="F180" s="149"/>
      <c r="G180" s="149"/>
      <c r="H180" s="149"/>
      <c r="I180" s="149"/>
      <c r="J180" s="149"/>
    </row>
    <row r="181" spans="5:12" ht="12.75" x14ac:dyDescent="0.2"/>
    <row r="182" spans="5:12" ht="15" customHeight="1" x14ac:dyDescent="0.2">
      <c r="E182" s="202" t="s">
        <v>1729</v>
      </c>
      <c r="F182" s="203"/>
      <c r="G182" s="203"/>
      <c r="H182" s="203"/>
      <c r="I182" s="203"/>
      <c r="J182" s="204"/>
    </row>
    <row r="183" spans="5:12" ht="15" customHeight="1" x14ac:dyDescent="0.2">
      <c r="E183" s="147" t="s">
        <v>462</v>
      </c>
      <c r="F183" s="149"/>
      <c r="G183" s="149"/>
      <c r="H183" s="149"/>
      <c r="I183" s="149"/>
      <c r="J183" s="149"/>
    </row>
    <row r="184" spans="5:12" ht="15" customHeight="1" x14ac:dyDescent="0.2">
      <c r="E184" s="147" t="s">
        <v>506</v>
      </c>
      <c r="F184" s="149"/>
      <c r="G184" s="149"/>
      <c r="H184" s="149"/>
      <c r="I184" s="149"/>
      <c r="J184" s="149"/>
    </row>
    <row r="185" spans="5:12" ht="12.75" x14ac:dyDescent="0.2"/>
    <row r="186" spans="5:12" ht="15" customHeight="1" x14ac:dyDescent="0.2">
      <c r="E186" s="147" t="s">
        <v>1394</v>
      </c>
      <c r="F186" s="147"/>
      <c r="G186" s="147"/>
      <c r="H186" s="147"/>
      <c r="I186" s="147"/>
      <c r="J186" s="147"/>
      <c r="K186" s="24" t="s">
        <v>1938</v>
      </c>
      <c r="L186" s="24" t="s">
        <v>1939</v>
      </c>
    </row>
    <row r="187" spans="5:12" ht="15" customHeight="1" x14ac:dyDescent="0.2">
      <c r="E187" s="209" t="s">
        <v>507</v>
      </c>
      <c r="F187" s="148"/>
      <c r="G187" s="148"/>
      <c r="H187" s="148"/>
      <c r="I187" s="148"/>
      <c r="J187" s="148"/>
      <c r="K187" s="5" t="s">
        <v>508</v>
      </c>
      <c r="L187" s="207" t="s">
        <v>1954</v>
      </c>
    </row>
    <row r="188" spans="5:12" ht="15" customHeight="1" x14ac:dyDescent="0.2">
      <c r="E188" s="25" t="str" cm="1">
        <f t="array" ref="E188:E192">$H$14:$H$18</f>
        <v>x</v>
      </c>
      <c r="K188" s="79" t="s">
        <v>1944</v>
      </c>
      <c r="L188" s="207"/>
    </row>
    <row r="189" spans="5:12" ht="12.75" x14ac:dyDescent="0.2">
      <c r="E189">
        <v>0</v>
      </c>
      <c r="L189" s="207"/>
    </row>
    <row r="190" spans="5:12" ht="12.75" x14ac:dyDescent="0.2">
      <c r="E190" t="str">
        <v>z</v>
      </c>
      <c r="L190" s="207"/>
    </row>
    <row r="191" spans="5:12" ht="12.75" x14ac:dyDescent="0.2">
      <c r="E191">
        <v>0</v>
      </c>
      <c r="L191" s="207"/>
    </row>
    <row r="192" spans="5:12" ht="12.75" x14ac:dyDescent="0.2">
      <c r="E192" t="str">
        <v>w</v>
      </c>
      <c r="L192" s="207"/>
    </row>
    <row r="193" spans="5:12" ht="12.75" x14ac:dyDescent="0.2">
      <c r="K193" s="24" t="s">
        <v>1940</v>
      </c>
      <c r="L193" s="24" t="s">
        <v>1941</v>
      </c>
    </row>
    <row r="194" spans="5:12" ht="15" customHeight="1" x14ac:dyDescent="0.2">
      <c r="E194" s="209" t="s">
        <v>509</v>
      </c>
      <c r="F194" s="148"/>
      <c r="G194" s="148"/>
      <c r="H194" s="148"/>
      <c r="I194" s="148"/>
      <c r="J194" s="148"/>
      <c r="K194" s="77" t="s">
        <v>1947</v>
      </c>
      <c r="L194" s="207" t="s">
        <v>1955</v>
      </c>
    </row>
    <row r="195" spans="5:12" ht="15" customHeight="1" x14ac:dyDescent="0.2">
      <c r="E195" s="26" t="str" cm="1">
        <f t="array" ref="E195:E197">_xlfn._xlws.FILTER($H$14:$H$18,$H$14:$H$18&lt;&gt;"")</f>
        <v>x</v>
      </c>
      <c r="L195" s="208"/>
    </row>
    <row r="196" spans="5:12" ht="12.75" x14ac:dyDescent="0.2">
      <c r="E196" t="str">
        <v>z</v>
      </c>
      <c r="L196" s="208"/>
    </row>
    <row r="197" spans="5:12" ht="12.75" x14ac:dyDescent="0.2">
      <c r="E197" t="str">
        <v>w</v>
      </c>
      <c r="L197" s="208"/>
    </row>
    <row r="198" spans="5:12" ht="12.75" x14ac:dyDescent="0.2">
      <c r="L198" s="208"/>
    </row>
    <row r="199" spans="5:12" ht="25.5" customHeight="1" x14ac:dyDescent="0.2">
      <c r="E199" s="152" t="s">
        <v>1397</v>
      </c>
      <c r="F199" s="152"/>
      <c r="G199" s="152"/>
      <c r="H199" s="152"/>
      <c r="I199" s="152"/>
      <c r="J199" s="152"/>
    </row>
    <row r="200" spans="5:12" ht="25.5" customHeight="1" x14ac:dyDescent="0.2">
      <c r="E200" s="172" t="s">
        <v>1819</v>
      </c>
      <c r="F200" s="173"/>
      <c r="G200" s="173"/>
      <c r="H200" s="173"/>
      <c r="I200" s="173"/>
      <c r="J200" s="174"/>
    </row>
    <row r="201" spans="5:12" ht="12.75" x14ac:dyDescent="0.2"/>
    <row r="202" spans="5:12" ht="12.75" x14ac:dyDescent="0.2"/>
    <row r="203" spans="5:12" ht="15.75" customHeight="1" x14ac:dyDescent="0.2">
      <c r="E203" s="159" t="s">
        <v>510</v>
      </c>
      <c r="F203" s="159"/>
      <c r="G203" s="159"/>
      <c r="H203" s="159"/>
      <c r="I203" s="159"/>
      <c r="J203" s="159"/>
      <c r="K203" s="52" t="s">
        <v>511</v>
      </c>
    </row>
    <row r="204" spans="5:12" ht="15" customHeight="1" x14ac:dyDescent="0.2">
      <c r="E204" s="152" t="s">
        <v>1398</v>
      </c>
      <c r="F204" s="152"/>
      <c r="G204" s="152"/>
      <c r="H204" s="152"/>
      <c r="I204" s="152"/>
      <c r="J204" s="152"/>
    </row>
    <row r="205" spans="5:12" ht="15" customHeight="1" x14ac:dyDescent="0.2">
      <c r="E205" s="147" t="s">
        <v>512</v>
      </c>
      <c r="F205" s="149"/>
      <c r="G205" s="149"/>
      <c r="H205" s="149"/>
      <c r="I205" s="149"/>
      <c r="J205" s="149"/>
    </row>
    <row r="206" spans="5:12" ht="12.75" x14ac:dyDescent="0.2"/>
    <row r="207" spans="5:12" ht="15" customHeight="1" x14ac:dyDescent="0.2">
      <c r="E207" s="202" t="s">
        <v>1729</v>
      </c>
      <c r="F207" s="203"/>
      <c r="G207" s="203"/>
      <c r="H207" s="203"/>
      <c r="I207" s="203"/>
      <c r="J207" s="204"/>
    </row>
    <row r="208" spans="5:12" ht="15" customHeight="1" x14ac:dyDescent="0.2">
      <c r="E208" s="147" t="s">
        <v>513</v>
      </c>
      <c r="F208" s="147"/>
      <c r="G208" s="147"/>
      <c r="H208" s="147"/>
      <c r="I208" s="147"/>
      <c r="J208" s="147"/>
    </row>
    <row r="209" spans="5:12" ht="15" customHeight="1" x14ac:dyDescent="0.2">
      <c r="E209" s="147" t="s">
        <v>514</v>
      </c>
      <c r="F209" s="149"/>
      <c r="G209" s="149"/>
      <c r="H209" s="149"/>
      <c r="I209" s="149"/>
      <c r="J209" s="149"/>
    </row>
    <row r="210" spans="5:12" ht="12.75" x14ac:dyDescent="0.2"/>
    <row r="211" spans="5:12" ht="21.75" customHeight="1" x14ac:dyDescent="0.2">
      <c r="E211" s="147" t="s">
        <v>1934</v>
      </c>
      <c r="F211" s="147"/>
      <c r="G211" s="147"/>
      <c r="H211" s="147"/>
      <c r="I211" s="147"/>
      <c r="J211" s="147"/>
      <c r="K211" s="24" t="s">
        <v>1938</v>
      </c>
      <c r="L211" s="24" t="s">
        <v>1939</v>
      </c>
    </row>
    <row r="212" spans="5:12" ht="17.100000000000001" customHeight="1" x14ac:dyDescent="0.2">
      <c r="E212" s="76" t="s">
        <v>1933</v>
      </c>
      <c r="F212" s="23">
        <v>2</v>
      </c>
      <c r="K212" s="24"/>
      <c r="L212" s="24"/>
    </row>
    <row r="213" spans="5:12" ht="15" customHeight="1" x14ac:dyDescent="0.2">
      <c r="E213" s="209" t="s">
        <v>490</v>
      </c>
      <c r="F213" s="148"/>
      <c r="G213" s="148"/>
      <c r="H213" s="148"/>
      <c r="I213" s="148"/>
      <c r="J213" s="148"/>
      <c r="K213" s="5" t="s">
        <v>515</v>
      </c>
      <c r="L213" s="207" t="s">
        <v>1949</v>
      </c>
    </row>
    <row r="214" spans="5:12" ht="15" customHeight="1" x14ac:dyDescent="0.2">
      <c r="E214" s="148"/>
      <c r="F214" s="148"/>
      <c r="G214" s="148"/>
      <c r="H214" s="148"/>
      <c r="I214" s="148"/>
      <c r="J214" s="148"/>
      <c r="K214" s="79" t="s">
        <v>1950</v>
      </c>
      <c r="L214" s="207"/>
    </row>
    <row r="215" spans="5:12" ht="15" customHeight="1" x14ac:dyDescent="0.2">
      <c r="E215" s="25" cm="1">
        <f t="array" ref="E215:G219">$E$21:$G$25</f>
        <v>1</v>
      </c>
      <c r="F215">
        <v>2</v>
      </c>
      <c r="G215">
        <v>3</v>
      </c>
      <c r="K215" s="79"/>
      <c r="L215" s="207"/>
    </row>
    <row r="216" spans="5:12" ht="12.75" x14ac:dyDescent="0.2">
      <c r="E216">
        <v>4</v>
      </c>
      <c r="F216">
        <v>5</v>
      </c>
      <c r="G216">
        <v>6</v>
      </c>
      <c r="L216" s="207"/>
    </row>
    <row r="217" spans="5:12" ht="12.75" x14ac:dyDescent="0.2">
      <c r="E217">
        <v>7</v>
      </c>
      <c r="F217">
        <v>8</v>
      </c>
      <c r="G217">
        <v>9</v>
      </c>
      <c r="L217" s="207"/>
    </row>
    <row r="218" spans="5:12" ht="12.75" x14ac:dyDescent="0.2">
      <c r="E218">
        <v>10</v>
      </c>
      <c r="F218">
        <v>11</v>
      </c>
      <c r="G218">
        <v>12</v>
      </c>
      <c r="L218" s="207"/>
    </row>
    <row r="219" spans="5:12" ht="12.75" x14ac:dyDescent="0.2">
      <c r="E219">
        <v>13</v>
      </c>
      <c r="F219">
        <v>14</v>
      </c>
      <c r="G219">
        <v>15</v>
      </c>
      <c r="L219" s="207"/>
    </row>
    <row r="220" spans="5:12" ht="12.75" x14ac:dyDescent="0.2">
      <c r="K220" s="24" t="s">
        <v>1940</v>
      </c>
      <c r="L220" s="24" t="s">
        <v>1941</v>
      </c>
    </row>
    <row r="221" spans="5:12" ht="15" customHeight="1" x14ac:dyDescent="0.2">
      <c r="E221" s="209" t="s">
        <v>516</v>
      </c>
      <c r="F221" s="148"/>
      <c r="G221" s="148"/>
      <c r="H221" s="148"/>
      <c r="I221" s="148"/>
      <c r="J221" s="148"/>
      <c r="K221" s="77" t="s">
        <v>1957</v>
      </c>
      <c r="L221" s="207" t="s">
        <v>1956</v>
      </c>
    </row>
    <row r="222" spans="5:12" ht="15" customHeight="1" x14ac:dyDescent="0.2">
      <c r="E222" s="148"/>
      <c r="F222" s="148"/>
      <c r="G222" s="148"/>
      <c r="H222" s="148"/>
      <c r="I222" s="148"/>
      <c r="J222" s="148"/>
      <c r="K222" s="80"/>
      <c r="L222" s="208"/>
    </row>
    <row r="223" spans="5:12" ht="15" customHeight="1" x14ac:dyDescent="0.2">
      <c r="E223" s="26" cm="1">
        <f t="array" ref="E223:F227">_xlfn.TAKE($E$21:$G$25,,2)</f>
        <v>1</v>
      </c>
      <c r="F223">
        <v>2</v>
      </c>
      <c r="L223" s="208"/>
    </row>
    <row r="224" spans="5:12" ht="12.75" x14ac:dyDescent="0.2">
      <c r="E224">
        <v>4</v>
      </c>
      <c r="F224">
        <v>5</v>
      </c>
      <c r="L224" s="208"/>
    </row>
    <row r="225" spans="5:12" ht="12.75" x14ac:dyDescent="0.2">
      <c r="E225">
        <v>7</v>
      </c>
      <c r="F225">
        <v>8</v>
      </c>
      <c r="L225" s="208"/>
    </row>
    <row r="226" spans="5:12" ht="12.75" x14ac:dyDescent="0.2">
      <c r="E226">
        <v>10</v>
      </c>
      <c r="F226">
        <v>11</v>
      </c>
      <c r="L226" s="208"/>
    </row>
    <row r="227" spans="5:12" ht="12.75" x14ac:dyDescent="0.2">
      <c r="E227">
        <v>13</v>
      </c>
      <c r="F227">
        <v>14</v>
      </c>
      <c r="L227" s="208"/>
    </row>
    <row r="228" spans="5:12" ht="12.75" x14ac:dyDescent="0.2">
      <c r="L228" s="208"/>
    </row>
    <row r="229" spans="5:12" ht="12.75" x14ac:dyDescent="0.2">
      <c r="L229" s="208"/>
    </row>
    <row r="230" spans="5:12" ht="12.75" x14ac:dyDescent="0.2">
      <c r="L230" s="208"/>
    </row>
    <row r="231" spans="5:12" ht="12.75" x14ac:dyDescent="0.2">
      <c r="L231" s="208"/>
    </row>
    <row r="232" spans="5:12" ht="25.5" customHeight="1" x14ac:dyDescent="0.2">
      <c r="E232" s="152" t="s">
        <v>517</v>
      </c>
      <c r="F232" s="152"/>
      <c r="G232" s="152"/>
      <c r="H232" s="152"/>
      <c r="I232" s="152"/>
      <c r="J232" s="152"/>
    </row>
    <row r="233" spans="5:12" ht="25.5" customHeight="1" x14ac:dyDescent="0.2">
      <c r="E233" s="172" t="s">
        <v>1935</v>
      </c>
      <c r="F233" s="173"/>
      <c r="G233" s="173"/>
      <c r="H233" s="173"/>
      <c r="I233" s="173"/>
      <c r="J233" s="174"/>
    </row>
    <row r="234" spans="5:12" ht="12.75" x14ac:dyDescent="0.2"/>
    <row r="235" spans="5:12" ht="12.75" x14ac:dyDescent="0.2"/>
    <row r="236" spans="5:12" ht="15.75" customHeight="1" x14ac:dyDescent="0.2">
      <c r="E236" s="159" t="s">
        <v>518</v>
      </c>
      <c r="F236" s="159"/>
      <c r="G236" s="159"/>
      <c r="H236" s="159"/>
      <c r="I236" s="159"/>
      <c r="J236" s="159"/>
      <c r="K236" s="52" t="s">
        <v>519</v>
      </c>
    </row>
    <row r="237" spans="5:12" ht="15" customHeight="1" x14ac:dyDescent="0.2">
      <c r="E237" s="152" t="s">
        <v>520</v>
      </c>
      <c r="F237" s="149"/>
      <c r="G237" s="149"/>
      <c r="H237" s="149"/>
      <c r="I237" s="149"/>
      <c r="J237" s="149"/>
    </row>
    <row r="238" spans="5:12" ht="21.75" customHeight="1" x14ac:dyDescent="0.2">
      <c r="E238" s="147" t="s">
        <v>1513</v>
      </c>
      <c r="F238" s="147"/>
      <c r="G238" s="147"/>
      <c r="H238" s="147"/>
      <c r="I238" s="147"/>
      <c r="J238" s="147"/>
    </row>
    <row r="239" spans="5:12" ht="12.75" x14ac:dyDescent="0.2"/>
    <row r="240" spans="5:12" ht="15" customHeight="1" x14ac:dyDescent="0.2">
      <c r="E240" s="202" t="s">
        <v>1729</v>
      </c>
      <c r="F240" s="203"/>
      <c r="G240" s="203"/>
      <c r="H240" s="203"/>
      <c r="I240" s="203"/>
      <c r="J240" s="204"/>
    </row>
    <row r="241" spans="5:12" ht="15" customHeight="1" x14ac:dyDescent="0.2">
      <c r="E241" s="147" t="s">
        <v>462</v>
      </c>
      <c r="F241" s="149"/>
      <c r="G241" s="149"/>
      <c r="H241" s="149"/>
      <c r="I241" s="149"/>
      <c r="J241" s="149"/>
    </row>
    <row r="242" spans="5:12" ht="15" customHeight="1" x14ac:dyDescent="0.2">
      <c r="E242" s="147" t="s">
        <v>521</v>
      </c>
      <c r="F242" s="149"/>
      <c r="G242" s="149"/>
      <c r="H242" s="149"/>
      <c r="I242" s="149"/>
      <c r="J242" s="149"/>
    </row>
    <row r="243" spans="5:12" ht="12.75" x14ac:dyDescent="0.2"/>
    <row r="244" spans="5:12" ht="15" customHeight="1" x14ac:dyDescent="0.2">
      <c r="E244" s="147" t="s">
        <v>1394</v>
      </c>
      <c r="F244" s="147"/>
      <c r="G244" s="147"/>
      <c r="H244" s="147"/>
      <c r="I244" s="147"/>
      <c r="J244" s="147"/>
      <c r="K244" s="24" t="s">
        <v>1938</v>
      </c>
      <c r="L244" s="24" t="s">
        <v>1939</v>
      </c>
    </row>
    <row r="245" spans="5:12" ht="15" customHeight="1" x14ac:dyDescent="0.2">
      <c r="E245" s="209" t="s">
        <v>480</v>
      </c>
      <c r="F245" s="148"/>
      <c r="G245" s="148"/>
      <c r="H245" s="148"/>
      <c r="I245" s="148"/>
      <c r="J245" s="148"/>
      <c r="K245" s="5" t="s">
        <v>522</v>
      </c>
      <c r="L245" s="207" t="s">
        <v>1943</v>
      </c>
    </row>
    <row r="246" spans="5:12" ht="15" customHeight="1" x14ac:dyDescent="0.2">
      <c r="E246" s="25" cm="1">
        <f t="array" ref="E246:E250">$E$14:$E$18</f>
        <v>3</v>
      </c>
      <c r="K246" s="79" t="s">
        <v>1944</v>
      </c>
      <c r="L246" s="207"/>
    </row>
    <row r="247" spans="5:12" ht="12.75" x14ac:dyDescent="0.2">
      <c r="E247">
        <v>-7</v>
      </c>
      <c r="L247" s="207"/>
    </row>
    <row r="248" spans="5:12" ht="12.75" x14ac:dyDescent="0.2">
      <c r="E248">
        <v>0</v>
      </c>
      <c r="L248" s="207"/>
    </row>
    <row r="249" spans="5:12" ht="12.75" x14ac:dyDescent="0.2">
      <c r="E249">
        <v>12</v>
      </c>
      <c r="L249" s="207"/>
    </row>
    <row r="250" spans="5:12" ht="12.75" x14ac:dyDescent="0.2">
      <c r="E250">
        <v>5</v>
      </c>
      <c r="L250" s="207"/>
    </row>
    <row r="251" spans="5:12" ht="12.75" x14ac:dyDescent="0.2">
      <c r="K251" s="24" t="s">
        <v>1940</v>
      </c>
      <c r="L251" s="24" t="s">
        <v>1941</v>
      </c>
    </row>
    <row r="252" spans="5:12" ht="15" customHeight="1" x14ac:dyDescent="0.2">
      <c r="E252" s="209" t="s">
        <v>523</v>
      </c>
      <c r="F252" s="148"/>
      <c r="G252" s="148"/>
      <c r="H252" s="148"/>
      <c r="I252" s="148"/>
      <c r="J252" s="148"/>
      <c r="K252" s="77" t="s">
        <v>1944</v>
      </c>
      <c r="L252" s="207" t="s">
        <v>1958</v>
      </c>
    </row>
    <row r="253" spans="5:12" ht="15" customHeight="1" x14ac:dyDescent="0.2">
      <c r="E253" s="26" cm="1">
        <f t="array" ref="E253:E257">ABS($E$14:$E$18)</f>
        <v>3</v>
      </c>
      <c r="L253" s="208"/>
    </row>
    <row r="254" spans="5:12" ht="12.75" x14ac:dyDescent="0.2">
      <c r="E254">
        <v>7</v>
      </c>
      <c r="L254" s="208"/>
    </row>
    <row r="255" spans="5:12" ht="12.75" x14ac:dyDescent="0.2">
      <c r="E255">
        <v>0</v>
      </c>
      <c r="L255" s="208"/>
    </row>
    <row r="256" spans="5:12" ht="12.75" x14ac:dyDescent="0.2">
      <c r="E256">
        <v>12</v>
      </c>
      <c r="L256" s="208"/>
    </row>
    <row r="257" spans="5:12" ht="12.75" x14ac:dyDescent="0.2">
      <c r="E257">
        <v>5</v>
      </c>
      <c r="L257" s="208"/>
    </row>
    <row r="258" spans="5:12" ht="12.75" x14ac:dyDescent="0.2">
      <c r="L258" s="208"/>
    </row>
    <row r="259" spans="5:12" ht="25.5" customHeight="1" x14ac:dyDescent="0.2">
      <c r="E259" s="152" t="s">
        <v>1399</v>
      </c>
      <c r="F259" s="152"/>
      <c r="G259" s="152"/>
      <c r="H259" s="152"/>
      <c r="I259" s="152"/>
      <c r="J259" s="152"/>
    </row>
    <row r="260" spans="5:12" ht="15" customHeight="1" x14ac:dyDescent="0.2">
      <c r="E260" s="147" t="s">
        <v>1654</v>
      </c>
      <c r="F260" s="147"/>
      <c r="G260" s="147"/>
      <c r="H260" s="147"/>
      <c r="I260" s="147"/>
      <c r="J260" s="147"/>
    </row>
    <row r="261" spans="5:12" ht="12.75" x14ac:dyDescent="0.2"/>
    <row r="262" spans="5:12" ht="12.75" x14ac:dyDescent="0.2"/>
    <row r="263" spans="5:12" ht="15.75" customHeight="1" x14ac:dyDescent="0.2">
      <c r="E263" s="159" t="s">
        <v>524</v>
      </c>
      <c r="F263" s="159"/>
      <c r="G263" s="159"/>
      <c r="H263" s="159"/>
      <c r="I263" s="159"/>
      <c r="J263" s="159"/>
      <c r="K263" s="52" t="s">
        <v>525</v>
      </c>
    </row>
    <row r="264" spans="5:12" ht="15" customHeight="1" x14ac:dyDescent="0.2">
      <c r="E264" s="152" t="s">
        <v>526</v>
      </c>
      <c r="F264" s="149"/>
      <c r="G264" s="149"/>
      <c r="H264" s="149"/>
      <c r="I264" s="149"/>
      <c r="J264" s="149"/>
    </row>
    <row r="265" spans="5:12" ht="21.75" customHeight="1" x14ac:dyDescent="0.2">
      <c r="E265" s="147" t="s">
        <v>1514</v>
      </c>
      <c r="F265" s="147"/>
      <c r="G265" s="147"/>
      <c r="H265" s="147"/>
      <c r="I265" s="147"/>
      <c r="J265" s="147"/>
    </row>
    <row r="266" spans="5:12" ht="12.75" x14ac:dyDescent="0.2"/>
    <row r="267" spans="5:12" ht="15" customHeight="1" x14ac:dyDescent="0.2">
      <c r="E267" s="202" t="s">
        <v>1729</v>
      </c>
      <c r="F267" s="203"/>
      <c r="G267" s="203"/>
      <c r="H267" s="203"/>
      <c r="I267" s="203"/>
      <c r="J267" s="204"/>
    </row>
    <row r="268" spans="5:12" ht="15" customHeight="1" x14ac:dyDescent="0.2">
      <c r="E268" s="147" t="s">
        <v>462</v>
      </c>
      <c r="F268" s="149"/>
      <c r="G268" s="149"/>
      <c r="H268" s="149"/>
      <c r="I268" s="149"/>
      <c r="J268" s="149"/>
    </row>
    <row r="269" spans="5:12" ht="15" customHeight="1" x14ac:dyDescent="0.2">
      <c r="E269" s="147" t="s">
        <v>527</v>
      </c>
      <c r="F269" s="149"/>
      <c r="G269" s="149"/>
      <c r="H269" s="149"/>
      <c r="I269" s="149"/>
      <c r="J269" s="149"/>
    </row>
    <row r="270" spans="5:12" ht="12.75" x14ac:dyDescent="0.2"/>
    <row r="271" spans="5:12" ht="15" customHeight="1" x14ac:dyDescent="0.2">
      <c r="E271" s="147" t="s">
        <v>1394</v>
      </c>
      <c r="F271" s="147"/>
      <c r="G271" s="147"/>
      <c r="H271" s="147"/>
      <c r="I271" s="147"/>
      <c r="J271" s="147"/>
      <c r="K271" s="24" t="s">
        <v>1938</v>
      </c>
      <c r="L271" s="24" t="s">
        <v>1939</v>
      </c>
    </row>
    <row r="272" spans="5:12" ht="15" customHeight="1" x14ac:dyDescent="0.2">
      <c r="E272" s="209" t="s">
        <v>528</v>
      </c>
      <c r="F272" s="148"/>
      <c r="G272" s="148"/>
      <c r="H272" s="148"/>
      <c r="I272" s="148"/>
      <c r="J272" s="148"/>
      <c r="K272" s="5" t="s">
        <v>529</v>
      </c>
      <c r="L272" s="207" t="s">
        <v>1959</v>
      </c>
    </row>
    <row r="273" spans="5:12" ht="15" customHeight="1" x14ac:dyDescent="0.2">
      <c r="E273" s="25" cm="1">
        <f t="array" ref="E273:E277">$E$14:$E$18/3</f>
        <v>1</v>
      </c>
      <c r="K273" s="79" t="s">
        <v>1944</v>
      </c>
      <c r="L273" s="207"/>
    </row>
    <row r="274" spans="5:12" ht="12.75" x14ac:dyDescent="0.2">
      <c r="E274">
        <v>-2.3333333333333335</v>
      </c>
      <c r="L274" s="207"/>
    </row>
    <row r="275" spans="5:12" ht="12.75" x14ac:dyDescent="0.2">
      <c r="E275">
        <v>0</v>
      </c>
      <c r="L275" s="207"/>
    </row>
    <row r="276" spans="5:12" ht="12.75" x14ac:dyDescent="0.2">
      <c r="E276">
        <v>4</v>
      </c>
      <c r="L276" s="207"/>
    </row>
    <row r="277" spans="5:12" ht="12.75" x14ac:dyDescent="0.2">
      <c r="E277">
        <v>1.6666666666666667</v>
      </c>
      <c r="L277" s="207"/>
    </row>
    <row r="278" spans="5:12" ht="12.75" x14ac:dyDescent="0.2">
      <c r="K278" s="24" t="s">
        <v>1940</v>
      </c>
      <c r="L278" s="24" t="s">
        <v>1941</v>
      </c>
    </row>
    <row r="279" spans="5:12" ht="15" customHeight="1" x14ac:dyDescent="0.2">
      <c r="E279" s="209" t="s">
        <v>530</v>
      </c>
      <c r="F279" s="148"/>
      <c r="G279" s="148"/>
      <c r="H279" s="148"/>
      <c r="I279" s="148"/>
      <c r="J279" s="148"/>
      <c r="K279" s="77" t="s">
        <v>1944</v>
      </c>
      <c r="L279" s="207" t="s">
        <v>1960</v>
      </c>
    </row>
    <row r="280" spans="5:12" ht="15" customHeight="1" x14ac:dyDescent="0.2">
      <c r="E280" s="26" cm="1">
        <f t="array" ref="E280:E284">ROUND($E$14:$E$18/3,0)</f>
        <v>1</v>
      </c>
      <c r="L280" s="208"/>
    </row>
    <row r="281" spans="5:12" ht="12.75" x14ac:dyDescent="0.2">
      <c r="E281">
        <v>-2</v>
      </c>
      <c r="L281" s="208"/>
    </row>
    <row r="282" spans="5:12" ht="12.75" x14ac:dyDescent="0.2">
      <c r="E282">
        <v>0</v>
      </c>
      <c r="L282" s="208"/>
    </row>
    <row r="283" spans="5:12" ht="12.75" x14ac:dyDescent="0.2">
      <c r="E283">
        <v>4</v>
      </c>
      <c r="L283" s="208"/>
    </row>
    <row r="284" spans="5:12" ht="12.75" x14ac:dyDescent="0.2">
      <c r="E284">
        <v>2</v>
      </c>
      <c r="L284" s="208"/>
    </row>
    <row r="285" spans="5:12" ht="12.75" x14ac:dyDescent="0.2">
      <c r="L285" s="208"/>
    </row>
    <row r="286" spans="5:12" ht="15" customHeight="1" x14ac:dyDescent="0.2">
      <c r="E286" s="152" t="s">
        <v>1932</v>
      </c>
      <c r="F286" s="152"/>
      <c r="G286" s="152"/>
      <c r="H286" s="152"/>
      <c r="I286" s="152"/>
      <c r="J286" s="152"/>
    </row>
    <row r="287" spans="5:12" ht="25.5" customHeight="1" x14ac:dyDescent="0.2">
      <c r="E287" s="172" t="s">
        <v>1820</v>
      </c>
      <c r="F287" s="173"/>
      <c r="G287" s="173"/>
      <c r="H287" s="173"/>
      <c r="I287" s="173"/>
      <c r="J287" s="174"/>
    </row>
    <row r="288" spans="5:12" ht="15" customHeight="1" x14ac:dyDescent="0.2">
      <c r="E288" s="147" t="s">
        <v>1653</v>
      </c>
      <c r="F288" s="147"/>
      <c r="G288" s="147"/>
      <c r="H288" s="147"/>
      <c r="I288" s="147"/>
      <c r="J288" s="147"/>
    </row>
    <row r="289" spans="5:12" ht="12.75" x14ac:dyDescent="0.2"/>
    <row r="290" spans="5:12" ht="12.75" x14ac:dyDescent="0.2"/>
    <row r="291" spans="5:12" ht="15.75" customHeight="1" x14ac:dyDescent="0.2">
      <c r="E291" s="159" t="s">
        <v>531</v>
      </c>
      <c r="F291" s="159"/>
      <c r="G291" s="159"/>
      <c r="H291" s="159"/>
      <c r="I291" s="159"/>
      <c r="J291" s="159"/>
      <c r="K291" s="52" t="s">
        <v>532</v>
      </c>
    </row>
    <row r="292" spans="5:12" ht="15" customHeight="1" x14ac:dyDescent="0.2">
      <c r="E292" s="152" t="s">
        <v>533</v>
      </c>
      <c r="F292" s="149"/>
      <c r="G292" s="149"/>
      <c r="H292" s="149"/>
      <c r="I292" s="149"/>
      <c r="J292" s="149"/>
    </row>
    <row r="293" spans="5:12" ht="15" customHeight="1" x14ac:dyDescent="0.2">
      <c r="E293" s="147" t="s">
        <v>534</v>
      </c>
      <c r="F293" s="149"/>
      <c r="G293" s="149"/>
      <c r="H293" s="149"/>
      <c r="I293" s="149"/>
      <c r="J293" s="149"/>
    </row>
    <row r="294" spans="5:12" ht="12.75" x14ac:dyDescent="0.2"/>
    <row r="295" spans="5:12" ht="15" customHeight="1" x14ac:dyDescent="0.2">
      <c r="E295" s="202" t="s">
        <v>1729</v>
      </c>
      <c r="F295" s="203"/>
      <c r="G295" s="203"/>
      <c r="H295" s="203"/>
      <c r="I295" s="203"/>
      <c r="J295" s="204"/>
    </row>
    <row r="296" spans="5:12" ht="15" customHeight="1" x14ac:dyDescent="0.2">
      <c r="E296" s="147" t="s">
        <v>462</v>
      </c>
      <c r="F296" s="149"/>
      <c r="G296" s="149"/>
      <c r="H296" s="149"/>
      <c r="I296" s="149"/>
      <c r="J296" s="149"/>
    </row>
    <row r="297" spans="5:12" ht="15" customHeight="1" x14ac:dyDescent="0.2">
      <c r="E297" s="147" t="s">
        <v>535</v>
      </c>
      <c r="F297" s="149"/>
      <c r="G297" s="149"/>
      <c r="H297" s="149"/>
      <c r="I297" s="149"/>
      <c r="J297" s="149"/>
    </row>
    <row r="298" spans="5:12" ht="12.75" x14ac:dyDescent="0.2"/>
    <row r="299" spans="5:12" ht="15" customHeight="1" x14ac:dyDescent="0.2">
      <c r="E299" s="147" t="s">
        <v>1394</v>
      </c>
      <c r="F299" s="147"/>
      <c r="G299" s="147"/>
      <c r="H299" s="147"/>
      <c r="I299" s="147"/>
      <c r="J299" s="147"/>
      <c r="K299" s="24" t="s">
        <v>1938</v>
      </c>
      <c r="L299" s="24" t="s">
        <v>1939</v>
      </c>
    </row>
    <row r="300" spans="5:12" ht="15" customHeight="1" x14ac:dyDescent="0.2">
      <c r="E300" s="209" t="s">
        <v>480</v>
      </c>
      <c r="F300" s="148"/>
      <c r="G300" s="148"/>
      <c r="H300" s="148"/>
      <c r="I300" s="148"/>
      <c r="J300" s="148"/>
      <c r="K300" s="5" t="s">
        <v>536</v>
      </c>
      <c r="L300" s="207" t="s">
        <v>1943</v>
      </c>
    </row>
    <row r="301" spans="5:12" ht="15" customHeight="1" x14ac:dyDescent="0.2">
      <c r="E301" s="25" cm="1">
        <f t="array" ref="E301:E305">$E$14:$E$18</f>
        <v>3</v>
      </c>
      <c r="K301" s="79" t="s">
        <v>1944</v>
      </c>
      <c r="L301" s="207"/>
    </row>
    <row r="302" spans="5:12" ht="12.75" x14ac:dyDescent="0.2">
      <c r="E302">
        <v>-7</v>
      </c>
      <c r="L302" s="207"/>
    </row>
    <row r="303" spans="5:12" ht="12.75" x14ac:dyDescent="0.2">
      <c r="E303">
        <v>0</v>
      </c>
      <c r="L303" s="207"/>
    </row>
    <row r="304" spans="5:12" ht="12.75" x14ac:dyDescent="0.2">
      <c r="E304">
        <v>12</v>
      </c>
      <c r="L304" s="207"/>
    </row>
    <row r="305" spans="5:12" ht="12.75" x14ac:dyDescent="0.2">
      <c r="E305">
        <v>5</v>
      </c>
      <c r="L305" s="207"/>
    </row>
    <row r="306" spans="5:12" ht="12.75" x14ac:dyDescent="0.2">
      <c r="K306" s="24" t="s">
        <v>1940</v>
      </c>
      <c r="L306" s="24" t="s">
        <v>1941</v>
      </c>
    </row>
    <row r="307" spans="5:12" ht="15" customHeight="1" x14ac:dyDescent="0.2">
      <c r="E307" s="209" t="s">
        <v>537</v>
      </c>
      <c r="F307" s="148"/>
      <c r="G307" s="148"/>
      <c r="H307" s="148"/>
      <c r="I307" s="148"/>
      <c r="J307" s="148"/>
      <c r="K307" s="77" t="s">
        <v>1944</v>
      </c>
      <c r="L307" s="207" t="s">
        <v>1961</v>
      </c>
    </row>
    <row r="308" spans="5:12" ht="15" customHeight="1" x14ac:dyDescent="0.2">
      <c r="E308" s="26" cm="1">
        <f t="array" ref="E308:E312">IFERROR(-($E$14:$E$18),"")</f>
        <v>-3</v>
      </c>
      <c r="L308" s="208"/>
    </row>
    <row r="309" spans="5:12" ht="12.75" x14ac:dyDescent="0.2">
      <c r="E309">
        <v>7</v>
      </c>
      <c r="L309" s="208"/>
    </row>
    <row r="310" spans="5:12" ht="12.75" x14ac:dyDescent="0.2">
      <c r="E310">
        <v>0</v>
      </c>
      <c r="L310" s="208"/>
    </row>
    <row r="311" spans="5:12" ht="12.75" x14ac:dyDescent="0.2">
      <c r="E311">
        <v>-12</v>
      </c>
      <c r="L311" s="208"/>
    </row>
    <row r="312" spans="5:12" ht="12.75" x14ac:dyDescent="0.2">
      <c r="E312">
        <v>-5</v>
      </c>
      <c r="L312" s="208"/>
    </row>
    <row r="313" spans="5:12" ht="12.75" x14ac:dyDescent="0.2">
      <c r="L313" s="208"/>
    </row>
    <row r="314" spans="5:12" ht="25.5" customHeight="1" x14ac:dyDescent="0.2">
      <c r="E314" s="152" t="s">
        <v>538</v>
      </c>
      <c r="F314" s="152"/>
      <c r="G314" s="152"/>
      <c r="H314" s="152"/>
      <c r="I314" s="152"/>
      <c r="J314" s="152"/>
    </row>
    <row r="315" spans="5:12" ht="12.75" x14ac:dyDescent="0.2"/>
    <row r="316" spans="5:12" ht="12.75" x14ac:dyDescent="0.2"/>
    <row r="317" spans="5:12" ht="15.75" customHeight="1" x14ac:dyDescent="0.2">
      <c r="E317" s="159" t="s">
        <v>539</v>
      </c>
      <c r="F317" s="159"/>
      <c r="G317" s="159"/>
      <c r="H317" s="159"/>
      <c r="I317" s="159"/>
      <c r="J317" s="159"/>
      <c r="K317" s="52" t="s">
        <v>540</v>
      </c>
    </row>
    <row r="318" spans="5:12" ht="25.5" customHeight="1" x14ac:dyDescent="0.2">
      <c r="E318" s="152" t="s">
        <v>541</v>
      </c>
      <c r="F318" s="152"/>
      <c r="G318" s="152"/>
      <c r="H318" s="152"/>
      <c r="I318" s="152"/>
      <c r="J318" s="152"/>
    </row>
    <row r="319" spans="5:12" ht="15" customHeight="1" x14ac:dyDescent="0.2">
      <c r="E319" s="147" t="s">
        <v>542</v>
      </c>
      <c r="F319" s="149"/>
      <c r="G319" s="149"/>
      <c r="H319" s="149"/>
      <c r="I319" s="149"/>
      <c r="J319" s="149"/>
    </row>
    <row r="320" spans="5:12" ht="12.75" x14ac:dyDescent="0.2"/>
    <row r="321" spans="5:12" ht="15" customHeight="1" x14ac:dyDescent="0.2">
      <c r="E321" s="202" t="s">
        <v>1729</v>
      </c>
      <c r="F321" s="203"/>
      <c r="G321" s="203"/>
      <c r="H321" s="203"/>
      <c r="I321" s="203"/>
      <c r="J321" s="204"/>
    </row>
    <row r="322" spans="5:12" ht="15" customHeight="1" x14ac:dyDescent="0.2">
      <c r="E322" s="147" t="s">
        <v>462</v>
      </c>
      <c r="F322" s="149"/>
      <c r="G322" s="149"/>
      <c r="H322" s="149"/>
      <c r="I322" s="149"/>
      <c r="J322" s="149"/>
    </row>
    <row r="323" spans="5:12" ht="15" customHeight="1" x14ac:dyDescent="0.2">
      <c r="E323" s="147" t="s">
        <v>543</v>
      </c>
      <c r="F323" s="149"/>
      <c r="G323" s="149"/>
      <c r="H323" s="149"/>
      <c r="I323" s="149"/>
      <c r="J323" s="149"/>
    </row>
    <row r="324" spans="5:12" ht="12.75" x14ac:dyDescent="0.2"/>
    <row r="325" spans="5:12" ht="15" customHeight="1" x14ac:dyDescent="0.2">
      <c r="E325" s="147" t="s">
        <v>1394</v>
      </c>
      <c r="F325" s="147"/>
      <c r="G325" s="147"/>
      <c r="H325" s="147"/>
      <c r="I325" s="147"/>
      <c r="J325" s="147"/>
      <c r="K325" s="24" t="s">
        <v>1938</v>
      </c>
      <c r="L325" s="24" t="s">
        <v>1939</v>
      </c>
    </row>
    <row r="326" spans="5:12" ht="15" customHeight="1" x14ac:dyDescent="0.2">
      <c r="E326" s="209" t="s">
        <v>544</v>
      </c>
      <c r="F326" s="148"/>
      <c r="G326" s="148"/>
      <c r="H326" s="148"/>
      <c r="I326" s="148"/>
      <c r="J326" s="148"/>
      <c r="K326" s="5" t="s">
        <v>545</v>
      </c>
      <c r="L326" s="207" t="s">
        <v>1962</v>
      </c>
    </row>
    <row r="327" spans="5:12" ht="15" customHeight="1" x14ac:dyDescent="0.2">
      <c r="E327" s="25" t="b" cm="1">
        <f t="array" ref="E327:E331">$F$14:$F$18</f>
        <v>1</v>
      </c>
      <c r="K327" s="79" t="s">
        <v>1944</v>
      </c>
      <c r="L327" s="207"/>
    </row>
    <row r="328" spans="5:12" ht="12.75" x14ac:dyDescent="0.2">
      <c r="E328" t="b">
        <v>0</v>
      </c>
      <c r="L328" s="207"/>
    </row>
    <row r="329" spans="5:12" ht="12.75" x14ac:dyDescent="0.2">
      <c r="E329" t="b">
        <v>1</v>
      </c>
      <c r="L329" s="207"/>
    </row>
    <row r="330" spans="5:12" ht="12.75" x14ac:dyDescent="0.2">
      <c r="E330" t="b">
        <v>1</v>
      </c>
      <c r="L330" s="207"/>
    </row>
    <row r="331" spans="5:12" ht="12.75" x14ac:dyDescent="0.2">
      <c r="E331" t="b">
        <v>0</v>
      </c>
      <c r="L331" s="207"/>
    </row>
    <row r="332" spans="5:12" ht="12.75" x14ac:dyDescent="0.2">
      <c r="K332" s="24" t="s">
        <v>1940</v>
      </c>
      <c r="L332" s="24" t="s">
        <v>1941</v>
      </c>
    </row>
    <row r="333" spans="5:12" ht="15" customHeight="1" x14ac:dyDescent="0.2">
      <c r="E333" s="209" t="s">
        <v>546</v>
      </c>
      <c r="F333" s="148"/>
      <c r="G333" s="148"/>
      <c r="H333" s="148"/>
      <c r="I333" s="148"/>
      <c r="J333" s="148"/>
      <c r="K333" s="77" t="s">
        <v>1944</v>
      </c>
      <c r="L333" s="207" t="s">
        <v>1963</v>
      </c>
    </row>
    <row r="334" spans="5:12" ht="15" customHeight="1" x14ac:dyDescent="0.2">
      <c r="E334" s="26" cm="1">
        <f t="array" ref="E334:E338">MM_byHaDang($F$14:$F$18)</f>
        <v>1</v>
      </c>
      <c r="L334" s="208"/>
    </row>
    <row r="335" spans="5:12" ht="12.75" x14ac:dyDescent="0.2">
      <c r="E335">
        <v>0</v>
      </c>
      <c r="L335" s="208"/>
    </row>
    <row r="336" spans="5:12" ht="12.75" x14ac:dyDescent="0.2">
      <c r="E336">
        <v>1</v>
      </c>
      <c r="L336" s="208"/>
    </row>
    <row r="337" spans="5:12" ht="12.75" x14ac:dyDescent="0.2">
      <c r="E337">
        <v>1</v>
      </c>
      <c r="L337" s="208"/>
    </row>
    <row r="338" spans="5:12" ht="12.75" x14ac:dyDescent="0.2">
      <c r="E338">
        <v>0</v>
      </c>
      <c r="L338" s="208"/>
    </row>
    <row r="339" spans="5:12" ht="12.75" x14ac:dyDescent="0.2">
      <c r="L339" s="208"/>
    </row>
    <row r="340" spans="5:12" ht="25.5" customHeight="1" x14ac:dyDescent="0.2">
      <c r="E340" s="152" t="s">
        <v>547</v>
      </c>
      <c r="F340" s="152"/>
      <c r="G340" s="152"/>
      <c r="H340" s="152"/>
      <c r="I340" s="152"/>
      <c r="J340" s="152"/>
    </row>
    <row r="341" spans="5:12" ht="15" customHeight="1" x14ac:dyDescent="0.2">
      <c r="E341" s="172" t="s">
        <v>1821</v>
      </c>
      <c r="F341" s="173"/>
      <c r="G341" s="173"/>
      <c r="H341" s="173"/>
      <c r="I341" s="173"/>
      <c r="J341" s="174"/>
    </row>
    <row r="342" spans="5:12" ht="12.75" x14ac:dyDescent="0.2"/>
    <row r="343" spans="5:12" ht="12.75" x14ac:dyDescent="0.2"/>
    <row r="344" spans="5:12" ht="15.75" customHeight="1" x14ac:dyDescent="0.2">
      <c r="E344" s="159" t="s">
        <v>550</v>
      </c>
      <c r="F344" s="159"/>
      <c r="G344" s="159"/>
      <c r="H344" s="159"/>
      <c r="I344" s="159"/>
      <c r="J344" s="159"/>
      <c r="K344" s="52" t="s">
        <v>2003</v>
      </c>
    </row>
    <row r="345" spans="5:12" ht="25.5" customHeight="1" x14ac:dyDescent="0.2">
      <c r="E345" s="152" t="s">
        <v>1926</v>
      </c>
      <c r="F345" s="152"/>
      <c r="G345" s="152"/>
      <c r="H345" s="152"/>
      <c r="I345" s="152"/>
      <c r="J345" s="152"/>
      <c r="K345" s="207" t="s">
        <v>2004</v>
      </c>
      <c r="L345" s="207"/>
    </row>
    <row r="346" spans="5:12" ht="21.75" customHeight="1" x14ac:dyDescent="0.2">
      <c r="E346" s="147" t="s">
        <v>1927</v>
      </c>
      <c r="F346" s="147"/>
      <c r="G346" s="147"/>
      <c r="H346" s="147"/>
      <c r="I346" s="147"/>
      <c r="J346" s="147"/>
    </row>
    <row r="347" spans="5:12" ht="12.75" x14ac:dyDescent="0.2"/>
    <row r="348" spans="5:12" ht="15" customHeight="1" x14ac:dyDescent="0.2">
      <c r="E348" s="202" t="s">
        <v>1729</v>
      </c>
      <c r="F348" s="203"/>
      <c r="G348" s="203"/>
      <c r="H348" s="203"/>
      <c r="I348" s="203"/>
      <c r="J348" s="204"/>
    </row>
    <row r="349" spans="5:12" ht="15" customHeight="1" x14ac:dyDescent="0.2">
      <c r="E349" s="147" t="s">
        <v>462</v>
      </c>
      <c r="F349" s="149"/>
      <c r="G349" s="149"/>
      <c r="H349" s="149"/>
      <c r="I349" s="149"/>
      <c r="J349" s="149"/>
    </row>
    <row r="350" spans="5:12" ht="15" customHeight="1" x14ac:dyDescent="0.2">
      <c r="E350" s="147" t="s">
        <v>1928</v>
      </c>
      <c r="F350" s="149"/>
      <c r="G350" s="149"/>
      <c r="H350" s="149"/>
      <c r="I350" s="149"/>
      <c r="J350" s="149"/>
    </row>
    <row r="351" spans="5:12" ht="12.75" x14ac:dyDescent="0.2"/>
    <row r="352" spans="5:12" ht="15" customHeight="1" x14ac:dyDescent="0.2">
      <c r="E352" s="147" t="s">
        <v>1394</v>
      </c>
      <c r="F352" s="147"/>
      <c r="G352" s="147"/>
      <c r="H352" s="147"/>
      <c r="I352" s="147"/>
      <c r="J352" s="147"/>
      <c r="K352" s="24" t="s">
        <v>1938</v>
      </c>
      <c r="L352" s="24" t="s">
        <v>1939</v>
      </c>
    </row>
    <row r="353" spans="5:12" ht="15" customHeight="1" x14ac:dyDescent="0.2">
      <c r="E353" s="209" t="s">
        <v>544</v>
      </c>
      <c r="F353" s="148"/>
      <c r="G353" s="148"/>
      <c r="H353" s="148"/>
      <c r="I353" s="148"/>
      <c r="J353" s="148"/>
      <c r="K353" s="5" t="s">
        <v>548</v>
      </c>
      <c r="L353" s="207" t="s">
        <v>1962</v>
      </c>
    </row>
    <row r="354" spans="5:12" ht="15" customHeight="1" x14ac:dyDescent="0.2">
      <c r="E354" s="25" t="b" cm="1">
        <f t="array" ref="E354:E358">$F$14:$F$18</f>
        <v>1</v>
      </c>
      <c r="K354" s="79" t="s">
        <v>1944</v>
      </c>
      <c r="L354" s="207"/>
    </row>
    <row r="355" spans="5:12" ht="12.75" x14ac:dyDescent="0.2">
      <c r="E355" t="b">
        <v>0</v>
      </c>
      <c r="L355" s="207"/>
    </row>
    <row r="356" spans="5:12" ht="12.75" x14ac:dyDescent="0.2">
      <c r="E356" t="b">
        <v>1</v>
      </c>
      <c r="L356" s="207"/>
    </row>
    <row r="357" spans="5:12" ht="12.75" x14ac:dyDescent="0.2">
      <c r="E357" t="b">
        <v>1</v>
      </c>
      <c r="L357" s="207"/>
    </row>
    <row r="358" spans="5:12" ht="12.75" x14ac:dyDescent="0.2">
      <c r="E358" t="b">
        <v>0</v>
      </c>
      <c r="L358" s="207"/>
    </row>
    <row r="359" spans="5:12" ht="12.75" x14ac:dyDescent="0.2">
      <c r="K359" s="24" t="s">
        <v>1940</v>
      </c>
      <c r="L359" s="24" t="s">
        <v>1941</v>
      </c>
    </row>
    <row r="360" spans="5:12" ht="15" customHeight="1" x14ac:dyDescent="0.2">
      <c r="E360" s="209" t="s">
        <v>549</v>
      </c>
      <c r="F360" s="148"/>
      <c r="G360" s="148"/>
      <c r="H360" s="148"/>
      <c r="I360" s="148"/>
      <c r="J360" s="148"/>
      <c r="K360" s="5"/>
      <c r="L360" s="207">
        <v>3</v>
      </c>
    </row>
    <row r="361" spans="5:12" ht="15" customHeight="1" x14ac:dyDescent="0.2">
      <c r="E361" s="26" cm="1">
        <f t="array" ref="E361">MM_byHaDang($F$14:$F$18,1)</f>
        <v>3</v>
      </c>
      <c r="L361" s="208"/>
    </row>
    <row r="362" spans="5:12" ht="12.75" x14ac:dyDescent="0.2">
      <c r="L362" s="208"/>
    </row>
    <row r="363" spans="5:12" ht="15" customHeight="1" x14ac:dyDescent="0.2">
      <c r="E363" s="152" t="s">
        <v>1929</v>
      </c>
      <c r="F363" s="149"/>
      <c r="G363" s="149"/>
      <c r="H363" s="149"/>
      <c r="I363" s="149"/>
      <c r="J363" s="149"/>
    </row>
    <row r="364" spans="5:12" ht="25.5" customHeight="1" x14ac:dyDescent="0.2">
      <c r="E364" s="172" t="s">
        <v>1930</v>
      </c>
      <c r="F364" s="173"/>
      <c r="G364" s="173"/>
      <c r="H364" s="173"/>
      <c r="I364" s="173"/>
      <c r="J364" s="174"/>
    </row>
    <row r="365" spans="5:12" ht="12.75" x14ac:dyDescent="0.2"/>
    <row r="366" spans="5:12" ht="15.75" customHeight="1" x14ac:dyDescent="0.2">
      <c r="E366" s="159" t="s">
        <v>1917</v>
      </c>
      <c r="F366" s="159"/>
      <c r="G366" s="159"/>
      <c r="H366" s="159"/>
      <c r="I366" s="159"/>
      <c r="J366" s="159"/>
      <c r="K366" s="52" t="s">
        <v>1918</v>
      </c>
    </row>
    <row r="367" spans="5:12" ht="15" customHeight="1" x14ac:dyDescent="0.2">
      <c r="E367" s="152" t="s">
        <v>1919</v>
      </c>
      <c r="F367" s="152"/>
      <c r="G367" s="152"/>
      <c r="H367" s="152"/>
      <c r="I367" s="152"/>
      <c r="J367" s="152"/>
    </row>
    <row r="368" spans="5:12" ht="21.75" customHeight="1" x14ac:dyDescent="0.2">
      <c r="E368" s="147" t="s">
        <v>1920</v>
      </c>
      <c r="F368" s="147"/>
      <c r="G368" s="147"/>
      <c r="H368" s="147"/>
      <c r="I368" s="147"/>
      <c r="J368" s="147"/>
    </row>
    <row r="369" spans="5:12" ht="12.75" x14ac:dyDescent="0.2"/>
    <row r="370" spans="5:12" ht="15" customHeight="1" x14ac:dyDescent="0.2">
      <c r="E370" s="202" t="s">
        <v>1729</v>
      </c>
      <c r="F370" s="203"/>
      <c r="G370" s="203"/>
      <c r="H370" s="203"/>
      <c r="I370" s="203"/>
      <c r="J370" s="204"/>
    </row>
    <row r="371" spans="5:12" ht="15" customHeight="1" x14ac:dyDescent="0.2">
      <c r="E371" s="147" t="s">
        <v>462</v>
      </c>
      <c r="F371" s="149"/>
      <c r="G371" s="149"/>
      <c r="H371" s="149"/>
      <c r="I371" s="149"/>
      <c r="J371" s="149"/>
    </row>
    <row r="372" spans="5:12" ht="15" customHeight="1" x14ac:dyDescent="0.2">
      <c r="E372" s="147" t="s">
        <v>1921</v>
      </c>
      <c r="F372" s="149"/>
      <c r="G372" s="149"/>
      <c r="H372" s="149"/>
      <c r="I372" s="149"/>
      <c r="J372" s="149"/>
    </row>
    <row r="373" spans="5:12" ht="12.75" x14ac:dyDescent="0.2"/>
    <row r="374" spans="5:12" ht="15" customHeight="1" x14ac:dyDescent="0.2">
      <c r="E374" s="147" t="s">
        <v>1394</v>
      </c>
      <c r="F374" s="147"/>
      <c r="G374" s="147"/>
      <c r="H374" s="147"/>
      <c r="I374" s="147"/>
      <c r="J374" s="147"/>
      <c r="K374" s="24" t="s">
        <v>1938</v>
      </c>
      <c r="L374" s="24" t="s">
        <v>1939</v>
      </c>
    </row>
    <row r="375" spans="5:12" ht="15" customHeight="1" x14ac:dyDescent="0.2">
      <c r="E375" s="209" t="s">
        <v>552</v>
      </c>
      <c r="F375" s="148"/>
      <c r="G375" s="148"/>
      <c r="H375" s="148"/>
      <c r="I375" s="148"/>
      <c r="J375" s="148"/>
      <c r="K375" s="5" t="s">
        <v>1923</v>
      </c>
      <c r="L375" s="207" t="s">
        <v>1964</v>
      </c>
    </row>
    <row r="376" spans="5:12" ht="15" customHeight="1" x14ac:dyDescent="0.2">
      <c r="E376" s="25" t="b" cm="1">
        <f t="array" ref="E376:E380">$E$14:$E$18&gt;4</f>
        <v>0</v>
      </c>
      <c r="K376" s="79" t="s">
        <v>1944</v>
      </c>
      <c r="L376" s="207"/>
    </row>
    <row r="377" spans="5:12" ht="12.75" x14ac:dyDescent="0.2">
      <c r="E377" t="b">
        <v>0</v>
      </c>
      <c r="L377" s="207"/>
    </row>
    <row r="378" spans="5:12" ht="12.75" x14ac:dyDescent="0.2">
      <c r="E378" t="b">
        <v>0</v>
      </c>
      <c r="L378" s="207"/>
    </row>
    <row r="379" spans="5:12" ht="12.75" x14ac:dyDescent="0.2">
      <c r="E379" t="b">
        <v>1</v>
      </c>
      <c r="L379" s="207"/>
    </row>
    <row r="380" spans="5:12" ht="12.75" x14ac:dyDescent="0.2">
      <c r="E380" t="b">
        <v>1</v>
      </c>
      <c r="L380" s="207"/>
    </row>
    <row r="381" spans="5:12" ht="12.75" x14ac:dyDescent="0.2">
      <c r="K381" s="24" t="s">
        <v>1940</v>
      </c>
      <c r="L381" s="24" t="s">
        <v>1941</v>
      </c>
    </row>
    <row r="382" spans="5:12" ht="15" customHeight="1" x14ac:dyDescent="0.2">
      <c r="E382" s="209" t="s">
        <v>1922</v>
      </c>
      <c r="F382" s="148"/>
      <c r="G382" s="148"/>
      <c r="H382" s="148"/>
      <c r="I382" s="148"/>
      <c r="J382" s="148"/>
      <c r="K382" s="5"/>
      <c r="L382" s="207">
        <v>3</v>
      </c>
    </row>
    <row r="383" spans="5:12" ht="15" customHeight="1" x14ac:dyDescent="0.2">
      <c r="E383" s="26" cm="1">
        <f t="array" ref="E383">MM_byHaDang(MM_byHaDang($E$14:$E$18&gt;4)=0,1)</f>
        <v>3</v>
      </c>
      <c r="L383" s="208"/>
    </row>
    <row r="384" spans="5:12" ht="12.75" x14ac:dyDescent="0.2">
      <c r="L384" s="208"/>
    </row>
    <row r="385" spans="5:12" ht="15" customHeight="1" x14ac:dyDescent="0.2">
      <c r="E385" s="152" t="s">
        <v>1924</v>
      </c>
      <c r="F385" s="152"/>
      <c r="G385" s="152"/>
      <c r="H385" s="152"/>
      <c r="I385" s="152"/>
      <c r="J385" s="152"/>
    </row>
    <row r="386" spans="5:12" ht="15" customHeight="1" x14ac:dyDescent="0.2">
      <c r="E386" s="172" t="s">
        <v>1925</v>
      </c>
      <c r="F386" s="173"/>
      <c r="G386" s="173"/>
      <c r="H386" s="173"/>
      <c r="I386" s="173"/>
      <c r="J386" s="174"/>
    </row>
    <row r="387" spans="5:12" ht="12.75" x14ac:dyDescent="0.2"/>
    <row r="388" spans="5:12" ht="12.75" x14ac:dyDescent="0.2"/>
    <row r="389" spans="5:12" ht="15.75" customHeight="1" x14ac:dyDescent="0.2">
      <c r="E389" s="159" t="s">
        <v>553</v>
      </c>
      <c r="F389" s="159"/>
      <c r="G389" s="159"/>
      <c r="H389" s="159"/>
      <c r="I389" s="159"/>
      <c r="J389" s="159"/>
      <c r="K389" s="52" t="s">
        <v>554</v>
      </c>
    </row>
    <row r="390" spans="5:12" ht="25.5" customHeight="1" x14ac:dyDescent="0.2">
      <c r="E390" s="152" t="s">
        <v>1400</v>
      </c>
      <c r="F390" s="152"/>
      <c r="G390" s="152"/>
      <c r="H390" s="152"/>
      <c r="I390" s="152"/>
      <c r="J390" s="152"/>
    </row>
    <row r="391" spans="5:12" ht="15" customHeight="1" x14ac:dyDescent="0.2">
      <c r="E391" s="147" t="s">
        <v>1515</v>
      </c>
      <c r="F391" s="147"/>
      <c r="G391" s="147"/>
      <c r="H391" s="147"/>
      <c r="I391" s="147"/>
      <c r="J391" s="147"/>
    </row>
    <row r="392" spans="5:12" ht="12.75" x14ac:dyDescent="0.2"/>
    <row r="393" spans="5:12" ht="15" customHeight="1" x14ac:dyDescent="0.2">
      <c r="E393" s="202" t="s">
        <v>1729</v>
      </c>
      <c r="F393" s="203"/>
      <c r="G393" s="203"/>
      <c r="H393" s="203"/>
      <c r="I393" s="203"/>
      <c r="J393" s="204"/>
    </row>
    <row r="394" spans="5:12" ht="21.75" customHeight="1" x14ac:dyDescent="0.2">
      <c r="E394" s="147" t="s">
        <v>555</v>
      </c>
      <c r="F394" s="147"/>
      <c r="G394" s="147"/>
      <c r="H394" s="147"/>
      <c r="I394" s="147"/>
      <c r="J394" s="147"/>
    </row>
    <row r="395" spans="5:12" ht="15" customHeight="1" x14ac:dyDescent="0.2">
      <c r="E395" s="147" t="s">
        <v>556</v>
      </c>
      <c r="F395" s="149"/>
      <c r="G395" s="149"/>
      <c r="H395" s="149"/>
      <c r="I395" s="149"/>
      <c r="J395" s="149"/>
    </row>
    <row r="396" spans="5:12" ht="12.75" x14ac:dyDescent="0.2"/>
    <row r="397" spans="5:12" ht="15" customHeight="1" x14ac:dyDescent="0.2">
      <c r="E397" s="147" t="s">
        <v>1931</v>
      </c>
      <c r="F397" s="147"/>
      <c r="G397" s="147"/>
      <c r="H397" s="147"/>
      <c r="I397" s="147"/>
      <c r="J397" s="147"/>
      <c r="K397" s="24" t="s">
        <v>1938</v>
      </c>
      <c r="L397" s="24" t="s">
        <v>1939</v>
      </c>
    </row>
    <row r="398" spans="5:12" ht="15" customHeight="1" x14ac:dyDescent="0.2">
      <c r="E398" s="209" t="s">
        <v>557</v>
      </c>
      <c r="F398" s="148"/>
      <c r="G398" s="148"/>
      <c r="H398" s="148"/>
      <c r="I398" s="148"/>
      <c r="J398" s="148"/>
      <c r="K398" s="5" t="s">
        <v>558</v>
      </c>
      <c r="L398" s="207" t="s">
        <v>1965</v>
      </c>
    </row>
    <row r="399" spans="5:12" ht="15" customHeight="1" x14ac:dyDescent="0.2">
      <c r="E399" s="25" cm="1">
        <f t="array" ref="E399:E403">$I$14:$I$18</f>
        <v>3</v>
      </c>
      <c r="K399" s="79" t="s">
        <v>1944</v>
      </c>
      <c r="L399" s="207"/>
    </row>
    <row r="400" spans="5:12" ht="12.75" x14ac:dyDescent="0.2">
      <c r="E400">
        <v>7</v>
      </c>
      <c r="L400" s="207"/>
    </row>
    <row r="401" spans="5:12" ht="12.75" x14ac:dyDescent="0.2">
      <c r="E401">
        <v>12</v>
      </c>
      <c r="L401" s="207"/>
    </row>
    <row r="402" spans="5:12" ht="12.75" x14ac:dyDescent="0.2">
      <c r="E402">
        <v>15</v>
      </c>
      <c r="L402" s="207"/>
    </row>
    <row r="403" spans="5:12" ht="12.75" x14ac:dyDescent="0.2">
      <c r="E403">
        <v>24</v>
      </c>
      <c r="L403" s="207"/>
    </row>
    <row r="404" spans="5:12" ht="12.75" x14ac:dyDescent="0.2">
      <c r="K404" s="24" t="s">
        <v>1940</v>
      </c>
      <c r="L404" s="24" t="s">
        <v>1941</v>
      </c>
    </row>
    <row r="405" spans="5:12" ht="15" customHeight="1" x14ac:dyDescent="0.2">
      <c r="E405" s="209" t="s">
        <v>559</v>
      </c>
      <c r="F405" s="148"/>
      <c r="G405" s="148"/>
      <c r="H405" s="148"/>
      <c r="I405" s="148"/>
      <c r="J405" s="148"/>
      <c r="K405" s="77" t="s">
        <v>1944</v>
      </c>
      <c r="L405" s="207" t="s">
        <v>1966</v>
      </c>
    </row>
    <row r="406" spans="5:12" ht="15" customHeight="1" x14ac:dyDescent="0.2">
      <c r="E406" s="26" cm="1">
        <f t="array" ref="E406:E410">MOD($I$14:$I$18,12)</f>
        <v>3</v>
      </c>
      <c r="L406" s="208"/>
    </row>
    <row r="407" spans="5:12" ht="12.75" x14ac:dyDescent="0.2">
      <c r="E407">
        <v>7</v>
      </c>
      <c r="L407" s="208"/>
    </row>
    <row r="408" spans="5:12" ht="12.75" x14ac:dyDescent="0.2">
      <c r="E408">
        <v>0</v>
      </c>
      <c r="L408" s="208"/>
    </row>
    <row r="409" spans="5:12" ht="12.75" x14ac:dyDescent="0.2">
      <c r="E409">
        <v>3</v>
      </c>
      <c r="L409" s="208"/>
    </row>
    <row r="410" spans="5:12" ht="12.75" x14ac:dyDescent="0.2">
      <c r="E410">
        <v>0</v>
      </c>
      <c r="L410" s="208"/>
    </row>
    <row r="411" spans="5:12" ht="12.75" x14ac:dyDescent="0.2">
      <c r="L411" s="208"/>
    </row>
    <row r="412" spans="5:12" ht="15" customHeight="1" x14ac:dyDescent="0.2">
      <c r="E412" s="152" t="s">
        <v>560</v>
      </c>
      <c r="F412" s="149"/>
      <c r="G412" s="149"/>
      <c r="H412" s="149"/>
      <c r="I412" s="149"/>
      <c r="J412" s="149"/>
    </row>
    <row r="413" spans="5:12" ht="25.5" customHeight="1" x14ac:dyDescent="0.2">
      <c r="E413" s="172" t="s">
        <v>1822</v>
      </c>
      <c r="F413" s="173"/>
      <c r="G413" s="173"/>
      <c r="H413" s="173"/>
      <c r="I413" s="173"/>
      <c r="J413" s="174"/>
    </row>
    <row r="414" spans="5:12" ht="15" customHeight="1" x14ac:dyDescent="0.2">
      <c r="E414" s="147" t="s">
        <v>1652</v>
      </c>
      <c r="F414" s="147"/>
      <c r="G414" s="147"/>
      <c r="H414" s="147"/>
      <c r="I414" s="147"/>
      <c r="J414" s="147"/>
    </row>
    <row r="415" spans="5:12" ht="12.75" x14ac:dyDescent="0.2"/>
    <row r="416" spans="5:12" ht="12.75" x14ac:dyDescent="0.2"/>
    <row r="417" spans="5:12" ht="15.75" customHeight="1" x14ac:dyDescent="0.2">
      <c r="E417" s="159" t="s">
        <v>561</v>
      </c>
      <c r="F417" s="159"/>
      <c r="G417" s="159"/>
      <c r="H417" s="159"/>
      <c r="I417" s="159"/>
      <c r="J417" s="159"/>
      <c r="K417" s="52" t="s">
        <v>562</v>
      </c>
    </row>
    <row r="418" spans="5:12" ht="15" customHeight="1" x14ac:dyDescent="0.2">
      <c r="E418" s="152" t="s">
        <v>563</v>
      </c>
      <c r="F418" s="149"/>
      <c r="G418" s="149"/>
      <c r="H418" s="149"/>
      <c r="I418" s="149"/>
      <c r="J418" s="149"/>
    </row>
    <row r="419" spans="5:12" ht="21.75" customHeight="1" x14ac:dyDescent="0.2">
      <c r="E419" s="147" t="s">
        <v>3202</v>
      </c>
      <c r="F419" s="147"/>
      <c r="G419" s="147"/>
      <c r="H419" s="147"/>
      <c r="I419" s="147"/>
      <c r="J419" s="147"/>
    </row>
    <row r="420" spans="5:12" ht="12.75" x14ac:dyDescent="0.2"/>
    <row r="421" spans="5:12" ht="15" customHeight="1" x14ac:dyDescent="0.2">
      <c r="E421" s="202" t="s">
        <v>1729</v>
      </c>
      <c r="F421" s="203"/>
      <c r="G421" s="203"/>
      <c r="H421" s="203"/>
      <c r="I421" s="203"/>
      <c r="J421" s="204"/>
    </row>
    <row r="422" spans="5:12" ht="21.75" customHeight="1" x14ac:dyDescent="0.2">
      <c r="E422" s="147" t="s">
        <v>555</v>
      </c>
      <c r="F422" s="147"/>
      <c r="G422" s="147"/>
      <c r="H422" s="147"/>
      <c r="I422" s="147"/>
      <c r="J422" s="147"/>
    </row>
    <row r="423" spans="5:12" ht="15" customHeight="1" x14ac:dyDescent="0.2">
      <c r="E423" s="147" t="s">
        <v>564</v>
      </c>
      <c r="F423" s="149"/>
      <c r="G423" s="149"/>
      <c r="H423" s="149"/>
      <c r="I423" s="149"/>
      <c r="J423" s="149"/>
    </row>
    <row r="424" spans="5:12" ht="12.75" x14ac:dyDescent="0.2"/>
    <row r="425" spans="5:12" ht="15" customHeight="1" x14ac:dyDescent="0.2">
      <c r="E425" s="147" t="s">
        <v>1931</v>
      </c>
      <c r="F425" s="147"/>
      <c r="G425" s="147"/>
      <c r="H425" s="147"/>
      <c r="I425" s="147"/>
      <c r="J425" s="147"/>
      <c r="K425" s="24" t="s">
        <v>1938</v>
      </c>
      <c r="L425" s="24" t="s">
        <v>1939</v>
      </c>
    </row>
    <row r="426" spans="5:12" ht="15" customHeight="1" x14ac:dyDescent="0.2">
      <c r="E426" s="209" t="s">
        <v>557</v>
      </c>
      <c r="F426" s="148"/>
      <c r="G426" s="148"/>
      <c r="H426" s="148"/>
      <c r="I426" s="148"/>
      <c r="J426" s="148"/>
      <c r="K426" s="5" t="s">
        <v>565</v>
      </c>
      <c r="L426" s="207" t="s">
        <v>1965</v>
      </c>
    </row>
    <row r="427" spans="5:12" ht="15" customHeight="1" x14ac:dyDescent="0.2">
      <c r="E427" s="25" cm="1">
        <f t="array" ref="E427:E431">$I$14:$I$18</f>
        <v>3</v>
      </c>
      <c r="K427" s="79" t="s">
        <v>1944</v>
      </c>
      <c r="L427" s="207"/>
    </row>
    <row r="428" spans="5:12" ht="12.75" x14ac:dyDescent="0.2">
      <c r="E428">
        <v>7</v>
      </c>
      <c r="L428" s="207"/>
    </row>
    <row r="429" spans="5:12" ht="12.75" x14ac:dyDescent="0.2">
      <c r="E429">
        <v>12</v>
      </c>
      <c r="L429" s="207"/>
    </row>
    <row r="430" spans="5:12" ht="12.75" x14ac:dyDescent="0.2">
      <c r="E430">
        <v>15</v>
      </c>
      <c r="L430" s="207"/>
    </row>
    <row r="431" spans="5:12" ht="12.75" x14ac:dyDescent="0.2">
      <c r="E431">
        <v>24</v>
      </c>
      <c r="L431" s="207"/>
    </row>
    <row r="432" spans="5:12" ht="12.75" x14ac:dyDescent="0.2">
      <c r="K432" s="24" t="s">
        <v>1940</v>
      </c>
      <c r="L432" s="24" t="s">
        <v>1941</v>
      </c>
    </row>
    <row r="433" spans="5:12" ht="15" customHeight="1" x14ac:dyDescent="0.2">
      <c r="E433" s="209" t="s">
        <v>3203</v>
      </c>
      <c r="F433" s="148"/>
      <c r="G433" s="148"/>
      <c r="H433" s="148"/>
      <c r="I433" s="148"/>
      <c r="J433" s="148"/>
      <c r="K433" s="77" t="s">
        <v>1944</v>
      </c>
      <c r="L433" s="207" t="s">
        <v>1967</v>
      </c>
    </row>
    <row r="434" spans="5:12" ht="15" customHeight="1" x14ac:dyDescent="0.2">
      <c r="E434" s="26" cm="1">
        <f t="array" ref="E434:E438">BoardGameMove_byHadynWiseman($I$14:$I$18,12)</f>
        <v>3</v>
      </c>
      <c r="L434" s="208"/>
    </row>
    <row r="435" spans="5:12" ht="12.75" x14ac:dyDescent="0.2">
      <c r="E435">
        <v>7</v>
      </c>
      <c r="L435" s="208"/>
    </row>
    <row r="436" spans="5:12" ht="12.75" x14ac:dyDescent="0.2">
      <c r="E436">
        <v>12</v>
      </c>
      <c r="L436" s="208"/>
    </row>
    <row r="437" spans="5:12" ht="12.75" x14ac:dyDescent="0.2">
      <c r="E437">
        <v>3</v>
      </c>
      <c r="L437" s="208"/>
    </row>
    <row r="438" spans="5:12" ht="12.75" x14ac:dyDescent="0.2">
      <c r="E438">
        <v>12</v>
      </c>
      <c r="L438" s="208"/>
    </row>
    <row r="439" spans="5:12" ht="12.75" x14ac:dyDescent="0.2">
      <c r="L439" s="208"/>
    </row>
    <row r="440" spans="5:12" ht="25.5" customHeight="1" x14ac:dyDescent="0.2">
      <c r="E440" s="152" t="s">
        <v>1401</v>
      </c>
      <c r="F440" s="152"/>
      <c r="G440" s="152"/>
      <c r="H440" s="152"/>
      <c r="I440" s="152"/>
      <c r="J440" s="152"/>
    </row>
    <row r="441" spans="5:12" ht="15" customHeight="1" x14ac:dyDescent="0.2">
      <c r="E441" s="172" t="s">
        <v>1823</v>
      </c>
      <c r="F441" s="173"/>
      <c r="G441" s="173"/>
      <c r="H441" s="173"/>
      <c r="I441" s="173"/>
      <c r="J441" s="174"/>
    </row>
    <row r="442" spans="5:12" ht="15" customHeight="1" x14ac:dyDescent="0.2">
      <c r="E442" s="147" t="s">
        <v>1651</v>
      </c>
      <c r="F442" s="147"/>
      <c r="G442" s="147"/>
      <c r="H442" s="147"/>
      <c r="I442" s="147"/>
      <c r="J442" s="147"/>
    </row>
    <row r="443" spans="5:12" ht="12.75" x14ac:dyDescent="0.2"/>
    <row r="444" spans="5:12" ht="12.75" x14ac:dyDescent="0.2"/>
    <row r="445" spans="5:12" ht="15.75" customHeight="1" x14ac:dyDescent="0.2">
      <c r="E445" s="159" t="s">
        <v>2025</v>
      </c>
      <c r="F445" s="159"/>
      <c r="G445" s="159"/>
      <c r="H445" s="159"/>
      <c r="I445" s="159"/>
      <c r="J445" s="159"/>
      <c r="K445" s="52" t="s">
        <v>2026</v>
      </c>
    </row>
    <row r="446" spans="5:12" ht="15" customHeight="1" x14ac:dyDescent="0.2">
      <c r="E446" s="152" t="s">
        <v>2027</v>
      </c>
      <c r="F446" s="152"/>
      <c r="G446" s="152"/>
      <c r="H446" s="152"/>
      <c r="I446" s="152"/>
      <c r="J446" s="152"/>
    </row>
    <row r="447" spans="5:12" ht="15" customHeight="1" x14ac:dyDescent="0.2">
      <c r="E447" s="147" t="s">
        <v>2028</v>
      </c>
      <c r="F447" s="149"/>
      <c r="G447" s="149"/>
      <c r="H447" s="149"/>
      <c r="I447" s="149"/>
      <c r="J447" s="149"/>
    </row>
    <row r="448" spans="5:12" ht="12.75" x14ac:dyDescent="0.2"/>
    <row r="449" spans="5:12" ht="15" customHeight="1" x14ac:dyDescent="0.2">
      <c r="E449" s="202" t="s">
        <v>1729</v>
      </c>
      <c r="F449" s="203"/>
      <c r="G449" s="203"/>
      <c r="H449" s="203"/>
      <c r="I449" s="203"/>
      <c r="J449" s="204"/>
    </row>
    <row r="450" spans="5:12" ht="15" customHeight="1" x14ac:dyDescent="0.2">
      <c r="E450" s="147" t="s">
        <v>462</v>
      </c>
      <c r="F450" s="149"/>
      <c r="G450" s="149"/>
      <c r="H450" s="149"/>
      <c r="I450" s="149"/>
      <c r="J450" s="149"/>
    </row>
    <row r="451" spans="5:12" ht="15" customHeight="1" x14ac:dyDescent="0.2">
      <c r="E451" s="147" t="s">
        <v>2029</v>
      </c>
      <c r="F451" s="149"/>
      <c r="G451" s="149"/>
      <c r="H451" s="149"/>
      <c r="I451" s="149"/>
      <c r="J451" s="149"/>
    </row>
    <row r="452" spans="5:12" ht="12.75" x14ac:dyDescent="0.2"/>
    <row r="453" spans="5:12" ht="12.75" x14ac:dyDescent="0.2">
      <c r="E453" s="22" t="s">
        <v>566</v>
      </c>
    </row>
    <row r="454" spans="5:12" ht="12.75" x14ac:dyDescent="0.2">
      <c r="E454" s="23" t="s">
        <v>567</v>
      </c>
      <c r="F454" s="23" t="s">
        <v>568</v>
      </c>
      <c r="G454" s="23" t="s">
        <v>569</v>
      </c>
    </row>
    <row r="455" spans="5:12" ht="12.75" x14ac:dyDescent="0.2">
      <c r="E455" s="23">
        <v>1</v>
      </c>
      <c r="F455" s="23">
        <v>800</v>
      </c>
      <c r="G455" s="23">
        <v>0</v>
      </c>
    </row>
    <row r="456" spans="5:12" ht="12.75" x14ac:dyDescent="0.2">
      <c r="E456" s="23">
        <v>2</v>
      </c>
      <c r="F456" s="23">
        <v>800</v>
      </c>
      <c r="G456" s="23">
        <v>0</v>
      </c>
    </row>
    <row r="457" spans="5:12" ht="12.75" x14ac:dyDescent="0.2">
      <c r="E457" s="23">
        <v>3</v>
      </c>
      <c r="F457" s="23">
        <v>800</v>
      </c>
      <c r="G457" s="23">
        <v>1</v>
      </c>
    </row>
    <row r="458" spans="5:12" ht="12.75" x14ac:dyDescent="0.2">
      <c r="E458" s="23">
        <v>4</v>
      </c>
      <c r="F458" s="23">
        <v>800</v>
      </c>
      <c r="G458" s="23">
        <v>0</v>
      </c>
    </row>
    <row r="459" spans="5:12" ht="12.75" x14ac:dyDescent="0.2">
      <c r="E459" s="23">
        <v>5</v>
      </c>
      <c r="F459" s="23">
        <v>800</v>
      </c>
      <c r="G459" s="23">
        <v>0</v>
      </c>
    </row>
    <row r="460" spans="5:12" ht="12.75" x14ac:dyDescent="0.2"/>
    <row r="461" spans="5:12" ht="15" customHeight="1" x14ac:dyDescent="0.2">
      <c r="E461" s="147" t="s">
        <v>1394</v>
      </c>
      <c r="F461" s="147"/>
      <c r="G461" s="147"/>
      <c r="H461" s="147"/>
      <c r="I461" s="147"/>
      <c r="J461" s="147"/>
      <c r="K461" s="24" t="s">
        <v>1938</v>
      </c>
      <c r="L461" s="24" t="s">
        <v>1939</v>
      </c>
    </row>
    <row r="462" spans="5:12" ht="15" customHeight="1" x14ac:dyDescent="0.2">
      <c r="E462" s="209" t="s">
        <v>2194</v>
      </c>
      <c r="F462" s="148"/>
      <c r="G462" s="148"/>
      <c r="H462" s="148"/>
      <c r="I462" s="148"/>
      <c r="J462" s="148"/>
      <c r="K462" s="5" t="s">
        <v>2032</v>
      </c>
      <c r="L462" s="207" t="s">
        <v>1968</v>
      </c>
    </row>
    <row r="463" spans="5:12" ht="15" customHeight="1" x14ac:dyDescent="0.2">
      <c r="E463" s="25" cm="1">
        <f t="array" ref="E463:E467">$F$455:$F$459</f>
        <v>800</v>
      </c>
      <c r="K463" s="79" t="s">
        <v>1944</v>
      </c>
      <c r="L463" s="207"/>
    </row>
    <row r="464" spans="5:12" ht="12.75" x14ac:dyDescent="0.2">
      <c r="E464">
        <v>800</v>
      </c>
      <c r="L464" s="207"/>
    </row>
    <row r="465" spans="5:12" ht="12.75" x14ac:dyDescent="0.2">
      <c r="E465">
        <v>800</v>
      </c>
      <c r="L465" s="207"/>
    </row>
    <row r="466" spans="5:12" ht="12.75" x14ac:dyDescent="0.2">
      <c r="E466">
        <v>800</v>
      </c>
      <c r="L466" s="207"/>
    </row>
    <row r="467" spans="5:12" ht="12.75" x14ac:dyDescent="0.2">
      <c r="E467">
        <v>800</v>
      </c>
      <c r="L467" s="207"/>
    </row>
    <row r="468" spans="5:12" ht="12.75" x14ac:dyDescent="0.2">
      <c r="K468" s="24" t="s">
        <v>1940</v>
      </c>
      <c r="L468" s="24" t="s">
        <v>1941</v>
      </c>
    </row>
    <row r="469" spans="5:12" ht="15" customHeight="1" x14ac:dyDescent="0.2">
      <c r="E469" s="209" t="s">
        <v>2195</v>
      </c>
      <c r="F469" s="148"/>
      <c r="G469" s="148"/>
      <c r="H469" s="148"/>
      <c r="I469" s="148"/>
      <c r="J469" s="148"/>
      <c r="K469" s="77" t="s">
        <v>1944</v>
      </c>
      <c r="L469" s="207" t="s">
        <v>2061</v>
      </c>
    </row>
    <row r="470" spans="5:12" ht="15" customHeight="1" x14ac:dyDescent="0.2">
      <c r="E470" s="26" cm="1">
        <f t="array" ref="E470:E474">RunningTotal_byJaqKennedy($F$455:$F$459)</f>
        <v>800</v>
      </c>
      <c r="L470" s="208"/>
    </row>
    <row r="471" spans="5:12" ht="12.75" x14ac:dyDescent="0.2">
      <c r="E471">
        <v>1600</v>
      </c>
      <c r="L471" s="208"/>
    </row>
    <row r="472" spans="5:12" ht="12.75" x14ac:dyDescent="0.2">
      <c r="E472">
        <v>2400</v>
      </c>
      <c r="L472" s="208"/>
    </row>
    <row r="473" spans="5:12" ht="12.75" x14ac:dyDescent="0.2">
      <c r="E473">
        <v>3200</v>
      </c>
      <c r="L473" s="208"/>
    </row>
    <row r="474" spans="5:12" ht="12.75" x14ac:dyDescent="0.2">
      <c r="E474">
        <v>4000</v>
      </c>
      <c r="L474" s="208"/>
    </row>
    <row r="475" spans="5:12" ht="12.75" x14ac:dyDescent="0.2">
      <c r="L475" s="208"/>
    </row>
    <row r="476" spans="5:12" ht="15" customHeight="1" x14ac:dyDescent="0.2">
      <c r="E476" s="152" t="s">
        <v>2030</v>
      </c>
      <c r="F476" s="152"/>
      <c r="G476" s="152"/>
      <c r="H476" s="152"/>
      <c r="I476" s="152"/>
      <c r="J476" s="152"/>
    </row>
    <row r="477" spans="5:12" ht="15" customHeight="1" x14ac:dyDescent="0.2">
      <c r="E477" s="172" t="s">
        <v>2031</v>
      </c>
      <c r="F477" s="173"/>
      <c r="G477" s="173"/>
      <c r="H477" s="173"/>
      <c r="I477" s="173"/>
      <c r="J477" s="174"/>
    </row>
    <row r="478" spans="5:12" ht="12.75" x14ac:dyDescent="0.2"/>
    <row r="479" spans="5:12" ht="12.75" x14ac:dyDescent="0.2"/>
    <row r="480" spans="5:12" ht="15.75" customHeight="1" x14ac:dyDescent="0.2">
      <c r="E480" s="159" t="s">
        <v>2033</v>
      </c>
      <c r="F480" s="159"/>
      <c r="G480" s="159"/>
      <c r="H480" s="159"/>
      <c r="I480" s="159"/>
      <c r="J480" s="159"/>
      <c r="K480" s="52" t="s">
        <v>2034</v>
      </c>
    </row>
    <row r="481" spans="5:12" ht="25.5" customHeight="1" x14ac:dyDescent="0.2">
      <c r="E481" s="152" t="s">
        <v>2035</v>
      </c>
      <c r="F481" s="152"/>
      <c r="G481" s="152"/>
      <c r="H481" s="152"/>
      <c r="I481" s="152"/>
      <c r="J481" s="152"/>
    </row>
    <row r="482" spans="5:12" ht="21.75" customHeight="1" x14ac:dyDescent="0.2">
      <c r="E482" s="147" t="s">
        <v>2036</v>
      </c>
      <c r="F482" s="149"/>
      <c r="G482" s="149"/>
      <c r="H482" s="149"/>
      <c r="I482" s="149"/>
      <c r="J482" s="149"/>
    </row>
    <row r="483" spans="5:12" ht="12.75" customHeight="1" x14ac:dyDescent="0.2"/>
    <row r="484" spans="5:12" ht="15" customHeight="1" x14ac:dyDescent="0.2">
      <c r="E484" s="202" t="s">
        <v>1729</v>
      </c>
      <c r="F484" s="203"/>
      <c r="G484" s="203"/>
      <c r="H484" s="203"/>
      <c r="I484" s="203"/>
      <c r="J484" s="204"/>
    </row>
    <row r="485" spans="5:12" ht="21.75" customHeight="1" x14ac:dyDescent="0.2">
      <c r="E485" s="147" t="s">
        <v>2037</v>
      </c>
      <c r="F485" s="149"/>
      <c r="G485" s="149"/>
      <c r="H485" s="149"/>
      <c r="I485" s="149"/>
      <c r="J485" s="149"/>
    </row>
    <row r="486" spans="5:12" ht="15" customHeight="1" x14ac:dyDescent="0.2">
      <c r="E486" s="147" t="s">
        <v>2038</v>
      </c>
      <c r="F486" s="149"/>
      <c r="G486" s="149"/>
      <c r="H486" s="149"/>
      <c r="I486" s="149"/>
      <c r="J486" s="149"/>
    </row>
    <row r="487" spans="5:12" ht="12.75" customHeight="1" x14ac:dyDescent="0.2"/>
    <row r="488" spans="5:12" ht="21.75" customHeight="1" x14ac:dyDescent="0.2">
      <c r="E488" s="147" t="s">
        <v>2208</v>
      </c>
      <c r="F488" s="147"/>
      <c r="G488" s="147"/>
      <c r="H488" s="147"/>
      <c r="I488" s="147"/>
      <c r="J488" s="147"/>
      <c r="K488" s="24" t="s">
        <v>1938</v>
      </c>
      <c r="L488" s="24" t="s">
        <v>1939</v>
      </c>
    </row>
    <row r="489" spans="5:12" ht="15" customHeight="1" x14ac:dyDescent="0.2">
      <c r="E489" s="209" t="s">
        <v>2194</v>
      </c>
      <c r="F489" s="148"/>
      <c r="G489" s="148"/>
      <c r="H489" s="148"/>
      <c r="I489" s="148"/>
      <c r="J489" s="148"/>
      <c r="K489" s="5" t="s">
        <v>570</v>
      </c>
      <c r="L489" s="207" t="s">
        <v>1968</v>
      </c>
    </row>
    <row r="490" spans="5:12" ht="15" customHeight="1" x14ac:dyDescent="0.2">
      <c r="E490" s="25" cm="1">
        <f t="array" ref="E490:E494">$F$455:$F$459</f>
        <v>800</v>
      </c>
      <c r="K490" s="79" t="s">
        <v>1944</v>
      </c>
      <c r="L490" s="207"/>
    </row>
    <row r="491" spans="5:12" ht="12.75" customHeight="1" x14ac:dyDescent="0.2">
      <c r="E491">
        <v>800</v>
      </c>
      <c r="L491" s="207"/>
    </row>
    <row r="492" spans="5:12" ht="12.75" customHeight="1" x14ac:dyDescent="0.2">
      <c r="E492">
        <v>800</v>
      </c>
      <c r="L492" s="207"/>
    </row>
    <row r="493" spans="5:12" ht="12.75" customHeight="1" x14ac:dyDescent="0.2">
      <c r="E493">
        <v>800</v>
      </c>
      <c r="L493" s="207"/>
    </row>
    <row r="494" spans="5:12" ht="12.75" customHeight="1" x14ac:dyDescent="0.2">
      <c r="E494">
        <v>800</v>
      </c>
      <c r="L494" s="207"/>
    </row>
    <row r="495" spans="5:12" ht="12.75" customHeight="1" x14ac:dyDescent="0.2">
      <c r="K495" s="24" t="s">
        <v>1940</v>
      </c>
      <c r="L495" s="24" t="s">
        <v>1941</v>
      </c>
    </row>
    <row r="496" spans="5:12" ht="15" customHeight="1" x14ac:dyDescent="0.2">
      <c r="E496" s="209" t="s">
        <v>2196</v>
      </c>
      <c r="F496" s="148"/>
      <c r="G496" s="148"/>
      <c r="H496" s="148"/>
      <c r="I496" s="148"/>
      <c r="J496" s="148"/>
      <c r="K496" s="77" t="s">
        <v>1944</v>
      </c>
      <c r="L496" s="207" t="s">
        <v>2024</v>
      </c>
    </row>
    <row r="497" spans="5:12" ht="15" customHeight="1" x14ac:dyDescent="0.2">
      <c r="E497" s="26" cm="1">
        <f t="array" ref="E497:E501">RunningTotal_byJaqKennedy($F$455:$F$459,$G$455:$G$459,)</f>
        <v>800</v>
      </c>
      <c r="L497" s="208"/>
    </row>
    <row r="498" spans="5:12" ht="12.75" customHeight="1" x14ac:dyDescent="0.2">
      <c r="E498">
        <v>1600</v>
      </c>
      <c r="L498" s="208"/>
    </row>
    <row r="499" spans="5:12" ht="12.75" customHeight="1" x14ac:dyDescent="0.2">
      <c r="E499">
        <v>800</v>
      </c>
      <c r="L499" s="208"/>
    </row>
    <row r="500" spans="5:12" ht="12.75" customHeight="1" x14ac:dyDescent="0.2">
      <c r="E500">
        <v>1600</v>
      </c>
      <c r="L500" s="208"/>
    </row>
    <row r="501" spans="5:12" ht="12.75" customHeight="1" x14ac:dyDescent="0.2">
      <c r="E501">
        <v>2400</v>
      </c>
      <c r="L501" s="208"/>
    </row>
    <row r="502" spans="5:12" ht="12.75" customHeight="1" x14ac:dyDescent="0.2">
      <c r="L502" s="208"/>
    </row>
    <row r="503" spans="5:12" ht="15" customHeight="1" x14ac:dyDescent="0.2">
      <c r="E503" s="152" t="s">
        <v>2039</v>
      </c>
      <c r="F503" s="152"/>
      <c r="G503" s="152"/>
      <c r="H503" s="152"/>
      <c r="I503" s="152"/>
      <c r="J503" s="152"/>
    </row>
    <row r="504" spans="5:12" ht="25.5" customHeight="1" x14ac:dyDescent="0.2">
      <c r="E504" s="172" t="s">
        <v>2040</v>
      </c>
      <c r="F504" s="173"/>
      <c r="G504" s="173"/>
      <c r="H504" s="173"/>
      <c r="I504" s="173"/>
      <c r="J504" s="174"/>
    </row>
    <row r="505" spans="5:12" ht="12.75" customHeight="1" x14ac:dyDescent="0.2"/>
    <row r="506" spans="5:12" ht="12.75" customHeight="1" x14ac:dyDescent="0.2"/>
    <row r="507" spans="5:12" ht="15.75" customHeight="1" x14ac:dyDescent="0.2">
      <c r="E507" s="159" t="s">
        <v>2041</v>
      </c>
      <c r="F507" s="159"/>
      <c r="G507" s="159"/>
      <c r="H507" s="159"/>
      <c r="I507" s="159"/>
      <c r="J507" s="159"/>
      <c r="K507" s="52" t="s">
        <v>2042</v>
      </c>
    </row>
    <row r="508" spans="5:12" ht="15" customHeight="1" x14ac:dyDescent="0.2">
      <c r="E508" s="152" t="s">
        <v>2043</v>
      </c>
      <c r="F508" s="152"/>
      <c r="G508" s="152"/>
      <c r="H508" s="152"/>
      <c r="I508" s="152"/>
      <c r="J508" s="152"/>
    </row>
    <row r="509" spans="5:12" ht="21.75" customHeight="1" x14ac:dyDescent="0.2">
      <c r="E509" s="147" t="s">
        <v>2044</v>
      </c>
      <c r="F509" s="149"/>
      <c r="G509" s="149"/>
      <c r="H509" s="149"/>
      <c r="I509" s="149"/>
      <c r="J509" s="149"/>
    </row>
    <row r="510" spans="5:12" ht="12.75" customHeight="1" x14ac:dyDescent="0.2"/>
    <row r="511" spans="5:12" ht="15" customHeight="1" x14ac:dyDescent="0.2">
      <c r="E511" s="202" t="s">
        <v>1729</v>
      </c>
      <c r="F511" s="203"/>
      <c r="G511" s="203"/>
      <c r="H511" s="203"/>
      <c r="I511" s="203"/>
      <c r="J511" s="204"/>
    </row>
    <row r="512" spans="5:12" ht="15" customHeight="1" x14ac:dyDescent="0.2">
      <c r="E512" s="147" t="s">
        <v>2045</v>
      </c>
      <c r="F512" s="149"/>
      <c r="G512" s="149"/>
      <c r="H512" s="149"/>
      <c r="I512" s="149"/>
      <c r="J512" s="149"/>
    </row>
    <row r="513" spans="5:12" ht="15" customHeight="1" x14ac:dyDescent="0.2">
      <c r="E513" s="147" t="s">
        <v>2046</v>
      </c>
      <c r="F513" s="149"/>
      <c r="G513" s="149"/>
      <c r="H513" s="149"/>
      <c r="I513" s="149"/>
      <c r="J513" s="149"/>
    </row>
    <row r="514" spans="5:12" ht="12.75" customHeight="1" x14ac:dyDescent="0.2"/>
    <row r="515" spans="5:12" ht="15" customHeight="1" x14ac:dyDescent="0.2">
      <c r="E515" s="147" t="s">
        <v>2047</v>
      </c>
      <c r="F515" s="147"/>
      <c r="G515" s="147"/>
      <c r="H515" s="147"/>
      <c r="I515" s="147"/>
      <c r="J515" s="147"/>
      <c r="K515" s="24" t="s">
        <v>1938</v>
      </c>
      <c r="L515" s="24" t="s">
        <v>1939</v>
      </c>
    </row>
    <row r="516" spans="5:12" ht="17.100000000000001" customHeight="1" x14ac:dyDescent="0.2">
      <c r="E516" s="76" t="s">
        <v>1933</v>
      </c>
      <c r="F516" s="23">
        <v>2000</v>
      </c>
      <c r="K516" s="24"/>
      <c r="L516" s="24"/>
    </row>
    <row r="517" spans="5:12" ht="15" customHeight="1" x14ac:dyDescent="0.2">
      <c r="E517" s="209" t="s">
        <v>2194</v>
      </c>
      <c r="F517" s="148"/>
      <c r="G517" s="148"/>
      <c r="H517" s="148"/>
      <c r="I517" s="148"/>
      <c r="J517" s="148"/>
      <c r="K517" s="5" t="s">
        <v>2032</v>
      </c>
      <c r="L517" s="207" t="s">
        <v>1968</v>
      </c>
    </row>
    <row r="518" spans="5:12" ht="15" customHeight="1" x14ac:dyDescent="0.2">
      <c r="E518" s="25" cm="1">
        <f t="array" ref="E518:E522">$F$455:$F$459</f>
        <v>800</v>
      </c>
      <c r="K518" s="79" t="s">
        <v>1944</v>
      </c>
      <c r="L518" s="207"/>
    </row>
    <row r="519" spans="5:12" ht="12.75" customHeight="1" x14ac:dyDescent="0.2">
      <c r="E519">
        <v>800</v>
      </c>
      <c r="L519" s="207"/>
    </row>
    <row r="520" spans="5:12" ht="12.75" customHeight="1" x14ac:dyDescent="0.2">
      <c r="E520">
        <v>800</v>
      </c>
      <c r="L520" s="207"/>
    </row>
    <row r="521" spans="5:12" ht="12.75" customHeight="1" x14ac:dyDescent="0.2">
      <c r="E521">
        <v>800</v>
      </c>
      <c r="L521" s="207"/>
    </row>
    <row r="522" spans="5:12" ht="12.75" customHeight="1" x14ac:dyDescent="0.2">
      <c r="E522">
        <v>800</v>
      </c>
      <c r="L522" s="207"/>
    </row>
    <row r="523" spans="5:12" ht="12.75" customHeight="1" x14ac:dyDescent="0.2">
      <c r="K523" s="24" t="s">
        <v>1940</v>
      </c>
      <c r="L523" s="24" t="s">
        <v>1941</v>
      </c>
    </row>
    <row r="524" spans="5:12" ht="15" customHeight="1" x14ac:dyDescent="0.2">
      <c r="E524" s="209" t="s">
        <v>2197</v>
      </c>
      <c r="F524" s="148"/>
      <c r="G524" s="148"/>
      <c r="H524" s="148"/>
      <c r="I524" s="148"/>
      <c r="J524" s="148"/>
      <c r="K524" s="77" t="s">
        <v>1944</v>
      </c>
      <c r="L524" s="207" t="s">
        <v>2062</v>
      </c>
    </row>
    <row r="525" spans="5:12" ht="15" customHeight="1" x14ac:dyDescent="0.2">
      <c r="E525" s="26" cm="1">
        <f t="array" ref="E525:E529">RunningTotal_byJaqKennedy($F$455:$F$459,,,2000,1)</f>
        <v>800</v>
      </c>
      <c r="L525" s="208"/>
    </row>
    <row r="526" spans="5:12" ht="12.75" customHeight="1" x14ac:dyDescent="0.2">
      <c r="E526">
        <v>1600</v>
      </c>
      <c r="L526" s="208"/>
    </row>
    <row r="527" spans="5:12" ht="12.75" customHeight="1" x14ac:dyDescent="0.2">
      <c r="E527">
        <v>2000</v>
      </c>
      <c r="L527" s="208"/>
    </row>
    <row r="528" spans="5:12" ht="12.75" customHeight="1" x14ac:dyDescent="0.2">
      <c r="E528">
        <v>2000</v>
      </c>
      <c r="L528" s="208"/>
    </row>
    <row r="529" spans="5:12" ht="12.75" customHeight="1" x14ac:dyDescent="0.2">
      <c r="E529">
        <v>2000</v>
      </c>
      <c r="L529" s="208"/>
    </row>
    <row r="530" spans="5:12" ht="12.75" customHeight="1" x14ac:dyDescent="0.2">
      <c r="L530" s="208"/>
    </row>
    <row r="531" spans="5:12" ht="15" customHeight="1" x14ac:dyDescent="0.2">
      <c r="E531" s="152" t="s">
        <v>2048</v>
      </c>
      <c r="F531" s="152"/>
      <c r="G531" s="152"/>
      <c r="H531" s="152"/>
      <c r="I531" s="152"/>
      <c r="J531" s="152"/>
    </row>
    <row r="532" spans="5:12" ht="25.5" customHeight="1" x14ac:dyDescent="0.2">
      <c r="E532" s="172" t="s">
        <v>2049</v>
      </c>
      <c r="F532" s="173"/>
      <c r="G532" s="173"/>
      <c r="H532" s="173"/>
      <c r="I532" s="173"/>
      <c r="J532" s="174"/>
    </row>
    <row r="533" spans="5:12" ht="12.75" customHeight="1" x14ac:dyDescent="0.2"/>
    <row r="534" spans="5:12" ht="12.75" customHeight="1" x14ac:dyDescent="0.2"/>
    <row r="535" spans="5:12" ht="15.75" customHeight="1" x14ac:dyDescent="0.2">
      <c r="E535" s="159" t="s">
        <v>571</v>
      </c>
      <c r="F535" s="159"/>
      <c r="G535" s="159"/>
      <c r="H535" s="159"/>
      <c r="I535" s="159"/>
      <c r="J535" s="159"/>
      <c r="K535" s="52" t="s">
        <v>572</v>
      </c>
    </row>
    <row r="536" spans="5:12" ht="15" customHeight="1" x14ac:dyDescent="0.2">
      <c r="E536" s="152" t="s">
        <v>573</v>
      </c>
      <c r="F536" s="149"/>
      <c r="G536" s="149"/>
      <c r="H536" s="149"/>
      <c r="I536" s="149"/>
      <c r="J536" s="149"/>
    </row>
    <row r="537" spans="5:12" ht="15" customHeight="1" x14ac:dyDescent="0.2">
      <c r="E537" s="147" t="s">
        <v>1516</v>
      </c>
      <c r="F537" s="149"/>
      <c r="G537" s="149"/>
      <c r="H537" s="149"/>
      <c r="I537" s="149"/>
      <c r="J537" s="149"/>
    </row>
    <row r="538" spans="5:12" ht="12.75" x14ac:dyDescent="0.2"/>
    <row r="539" spans="5:12" ht="15" customHeight="1" x14ac:dyDescent="0.2">
      <c r="E539" s="202" t="s">
        <v>1729</v>
      </c>
      <c r="F539" s="203"/>
      <c r="G539" s="203"/>
      <c r="H539" s="203"/>
      <c r="I539" s="203"/>
      <c r="J539" s="204"/>
    </row>
    <row r="540" spans="5:12" ht="15" customHeight="1" x14ac:dyDescent="0.2">
      <c r="E540" s="147" t="s">
        <v>462</v>
      </c>
      <c r="F540" s="149"/>
      <c r="G540" s="149"/>
      <c r="H540" s="149"/>
      <c r="I540" s="149"/>
      <c r="J540" s="149"/>
    </row>
    <row r="541" spans="5:12" ht="15" customHeight="1" x14ac:dyDescent="0.2">
      <c r="E541" s="147" t="s">
        <v>574</v>
      </c>
      <c r="F541" s="149"/>
      <c r="G541" s="149"/>
      <c r="H541" s="149"/>
      <c r="I541" s="149"/>
      <c r="J541" s="149"/>
    </row>
    <row r="542" spans="5:12" ht="12.75" x14ac:dyDescent="0.2"/>
    <row r="543" spans="5:12" ht="12.75" x14ac:dyDescent="0.2">
      <c r="E543" s="22" t="s">
        <v>575</v>
      </c>
    </row>
    <row r="544" spans="5:12" ht="12.75" x14ac:dyDescent="0.2">
      <c r="E544" s="23" t="s">
        <v>576</v>
      </c>
      <c r="F544" s="23" t="s">
        <v>577</v>
      </c>
    </row>
    <row r="545" spans="5:12" ht="12.75" x14ac:dyDescent="0.2">
      <c r="E545" s="23">
        <v>10</v>
      </c>
      <c r="F545" s="23">
        <v>4</v>
      </c>
    </row>
    <row r="546" spans="5:12" ht="12.75" x14ac:dyDescent="0.2">
      <c r="E546" s="23">
        <v>20</v>
      </c>
      <c r="F546" s="23">
        <v>15</v>
      </c>
    </row>
    <row r="547" spans="5:12" ht="12.75" x14ac:dyDescent="0.2">
      <c r="E547" s="23">
        <v>7</v>
      </c>
      <c r="F547" s="23">
        <v>9</v>
      </c>
    </row>
    <row r="548" spans="5:12" ht="12.75" x14ac:dyDescent="0.2"/>
    <row r="549" spans="5:12" ht="15" customHeight="1" x14ac:dyDescent="0.2">
      <c r="E549" s="147" t="s">
        <v>1394</v>
      </c>
      <c r="F549" s="147"/>
      <c r="G549" s="147"/>
      <c r="H549" s="147"/>
      <c r="I549" s="147"/>
      <c r="J549" s="147"/>
      <c r="K549" s="24" t="s">
        <v>1938</v>
      </c>
      <c r="L549" s="24" t="s">
        <v>1939</v>
      </c>
    </row>
    <row r="550" spans="5:12" ht="15" customHeight="1" x14ac:dyDescent="0.2">
      <c r="E550" s="209" t="s">
        <v>2198</v>
      </c>
      <c r="F550" s="148"/>
      <c r="G550" s="148"/>
      <c r="H550" s="148"/>
      <c r="I550" s="148"/>
      <c r="J550" s="148"/>
      <c r="K550" s="5" t="s">
        <v>578</v>
      </c>
      <c r="L550" s="207" t="s">
        <v>1969</v>
      </c>
    </row>
    <row r="551" spans="5:12" ht="15" customHeight="1" x14ac:dyDescent="0.2">
      <c r="E551" s="25" cm="1">
        <f t="array" ref="E551:F553">$E$545:$F$547</f>
        <v>10</v>
      </c>
      <c r="F551">
        <v>4</v>
      </c>
      <c r="K551" s="79" t="s">
        <v>1970</v>
      </c>
      <c r="L551" s="207"/>
    </row>
    <row r="552" spans="5:12" ht="12.75" x14ac:dyDescent="0.2">
      <c r="E552">
        <v>20</v>
      </c>
      <c r="F552">
        <v>15</v>
      </c>
      <c r="L552" s="207"/>
    </row>
    <row r="553" spans="5:12" ht="12.75" x14ac:dyDescent="0.2">
      <c r="E553">
        <v>7</v>
      </c>
      <c r="F553">
        <v>9</v>
      </c>
      <c r="L553" s="207"/>
    </row>
    <row r="554" spans="5:12" ht="12.75" x14ac:dyDescent="0.2">
      <c r="K554" s="24" t="s">
        <v>1940</v>
      </c>
      <c r="L554" s="24" t="s">
        <v>1941</v>
      </c>
    </row>
    <row r="555" spans="5:12" ht="15" customHeight="1" x14ac:dyDescent="0.2">
      <c r="E555" s="209" t="s">
        <v>2199</v>
      </c>
      <c r="F555" s="148"/>
      <c r="G555" s="148"/>
      <c r="H555" s="148"/>
      <c r="I555" s="148"/>
      <c r="J555" s="148"/>
      <c r="K555" s="77" t="s">
        <v>1947</v>
      </c>
      <c r="L555" s="207" t="s">
        <v>1971</v>
      </c>
    </row>
    <row r="556" spans="5:12" ht="15" customHeight="1" x14ac:dyDescent="0.2">
      <c r="E556" s="26" cm="1">
        <f t="array" ref="E556:E558">DiffByRow_byJaqKennedy($E$545:$F$547)</f>
        <v>6</v>
      </c>
      <c r="L556" s="208"/>
    </row>
    <row r="557" spans="5:12" ht="12.75" x14ac:dyDescent="0.2">
      <c r="E557">
        <v>5</v>
      </c>
      <c r="L557" s="208"/>
    </row>
    <row r="558" spans="5:12" ht="12.75" x14ac:dyDescent="0.2">
      <c r="E558">
        <v>-2</v>
      </c>
      <c r="L558" s="208"/>
    </row>
    <row r="559" spans="5:12" ht="12.75" x14ac:dyDescent="0.2">
      <c r="L559" s="208"/>
    </row>
    <row r="560" spans="5:12" ht="25.5" customHeight="1" x14ac:dyDescent="0.2">
      <c r="E560" s="152" t="s">
        <v>1402</v>
      </c>
      <c r="F560" s="152"/>
      <c r="G560" s="152"/>
      <c r="H560" s="152"/>
      <c r="I560" s="152"/>
      <c r="J560" s="152"/>
    </row>
    <row r="561" spans="5:10" ht="15" customHeight="1" x14ac:dyDescent="0.2">
      <c r="E561" s="147" t="s">
        <v>1650</v>
      </c>
      <c r="F561" s="147"/>
      <c r="G561" s="147"/>
      <c r="H561" s="147"/>
      <c r="I561" s="147"/>
      <c r="J561" s="147"/>
    </row>
    <row r="562" spans="5:10" ht="12.75" x14ac:dyDescent="0.2"/>
    <row r="563" spans="5:10" ht="12.75" x14ac:dyDescent="0.2"/>
  </sheetData>
  <mergeCells count="263">
    <mergeCell ref="E461:J461"/>
    <mergeCell ref="E488:J488"/>
    <mergeCell ref="E515:J515"/>
    <mergeCell ref="E549:J549"/>
    <mergeCell ref="E92:J92"/>
    <mergeCell ref="E119:J119"/>
    <mergeCell ref="E142:J142"/>
    <mergeCell ref="E164:J164"/>
    <mergeCell ref="E186:J186"/>
    <mergeCell ref="E211:J211"/>
    <mergeCell ref="E244:J244"/>
    <mergeCell ref="E271:J271"/>
    <mergeCell ref="E299:J299"/>
    <mergeCell ref="E486:J486"/>
    <mergeCell ref="E489:J489"/>
    <mergeCell ref="E178:J178"/>
    <mergeCell ref="E153:J153"/>
    <mergeCell ref="E134:J134"/>
    <mergeCell ref="E131:J131"/>
    <mergeCell ref="E130:J130"/>
    <mergeCell ref="E113:J113"/>
    <mergeCell ref="E238:J238"/>
    <mergeCell ref="E236:J236"/>
    <mergeCell ref="E233:J233"/>
    <mergeCell ref="E175:J175"/>
    <mergeCell ref="E176:J176"/>
    <mergeCell ref="E325:J325"/>
    <mergeCell ref="E352:J352"/>
    <mergeCell ref="E374:J374"/>
    <mergeCell ref="E397:J397"/>
    <mergeCell ref="E425:J425"/>
    <mergeCell ref="L300:L305"/>
    <mergeCell ref="L326:L331"/>
    <mergeCell ref="L353:L358"/>
    <mergeCell ref="L375:L380"/>
    <mergeCell ref="L398:L403"/>
    <mergeCell ref="E346:J346"/>
    <mergeCell ref="E391:J391"/>
    <mergeCell ref="E390:J390"/>
    <mergeCell ref="E389:J389"/>
    <mergeCell ref="E386:J386"/>
    <mergeCell ref="E385:J385"/>
    <mergeCell ref="E368:J368"/>
    <mergeCell ref="E367:J367"/>
    <mergeCell ref="E366:J366"/>
    <mergeCell ref="E157:J157"/>
    <mergeCell ref="E158:J158"/>
    <mergeCell ref="E160:J160"/>
    <mergeCell ref="E161:J161"/>
    <mergeCell ref="E162:J162"/>
    <mergeCell ref="E165:J165"/>
    <mergeCell ref="L165:L168"/>
    <mergeCell ref="E170:J170"/>
    <mergeCell ref="L170:L174"/>
    <mergeCell ref="L426:L431"/>
    <mergeCell ref="L462:L467"/>
    <mergeCell ref="L550:L553"/>
    <mergeCell ref="K345:L345"/>
    <mergeCell ref="L517:L522"/>
    <mergeCell ref="L524:L530"/>
    <mergeCell ref="L489:L494"/>
    <mergeCell ref="L496:L502"/>
    <mergeCell ref="L42:L48"/>
    <mergeCell ref="L69:L74"/>
    <mergeCell ref="L93:L98"/>
    <mergeCell ref="L120:L125"/>
    <mergeCell ref="L143:L146"/>
    <mergeCell ref="L187:L192"/>
    <mergeCell ref="L213:L219"/>
    <mergeCell ref="L245:L250"/>
    <mergeCell ref="L272:L277"/>
    <mergeCell ref="E524:J524"/>
    <mergeCell ref="E531:J531"/>
    <mergeCell ref="E34:J34"/>
    <mergeCell ref="E33:J33"/>
    <mergeCell ref="E112:J112"/>
    <mergeCell ref="E111:J111"/>
    <mergeCell ref="E108:J108"/>
    <mergeCell ref="E107:J107"/>
    <mergeCell ref="E84:J84"/>
    <mergeCell ref="E81:J81"/>
    <mergeCell ref="E62:J62"/>
    <mergeCell ref="E60:J60"/>
    <mergeCell ref="E57:J57"/>
    <mergeCell ref="E64:J64"/>
    <mergeCell ref="E65:J65"/>
    <mergeCell ref="E61:J61"/>
    <mergeCell ref="E89:J89"/>
    <mergeCell ref="E50:J50"/>
    <mergeCell ref="E41:J41"/>
    <mergeCell ref="E68:J68"/>
    <mergeCell ref="E496:J496"/>
    <mergeCell ref="E503:J503"/>
    <mergeCell ref="E504:J504"/>
    <mergeCell ref="E156:J156"/>
    <mergeCell ref="E127:J127"/>
    <mergeCell ref="E232:J232"/>
    <mergeCell ref="E208:J208"/>
    <mergeCell ref="E204:J204"/>
    <mergeCell ref="E203:J203"/>
    <mergeCell ref="E200:J200"/>
    <mergeCell ref="E199:J199"/>
    <mergeCell ref="E561:J561"/>
    <mergeCell ref="E560:J560"/>
    <mergeCell ref="E535:J535"/>
    <mergeCell ref="E477:J477"/>
    <mergeCell ref="E476:J476"/>
    <mergeCell ref="E446:J446"/>
    <mergeCell ref="E445:J445"/>
    <mergeCell ref="E442:J442"/>
    <mergeCell ref="E441:J441"/>
    <mergeCell ref="E507:J507"/>
    <mergeCell ref="E508:J508"/>
    <mergeCell ref="E509:J509"/>
    <mergeCell ref="E511:J511"/>
    <mergeCell ref="E512:J512"/>
    <mergeCell ref="E513:J513"/>
    <mergeCell ref="E517:J517"/>
    <mergeCell ref="E394:J394"/>
    <mergeCell ref="E555:J555"/>
    <mergeCell ref="E100:J100"/>
    <mergeCell ref="E341:J341"/>
    <mergeCell ref="E340:J340"/>
    <mergeCell ref="E318:J318"/>
    <mergeCell ref="E317:J317"/>
    <mergeCell ref="E314:J314"/>
    <mergeCell ref="E291:J291"/>
    <mergeCell ref="E288:J288"/>
    <mergeCell ref="E287:J287"/>
    <mergeCell ref="E286:J286"/>
    <mergeCell ref="E265:J265"/>
    <mergeCell ref="E300:J300"/>
    <mergeCell ref="E363:J363"/>
    <mergeCell ref="E348:J348"/>
    <mergeCell ref="E405:J405"/>
    <mergeCell ref="E180:J180"/>
    <mergeCell ref="E360:J360"/>
    <mergeCell ref="E241:J241"/>
    <mergeCell ref="E252:J252"/>
    <mergeCell ref="E532:J532"/>
    <mergeCell ref="E480:J480"/>
    <mergeCell ref="E481:J481"/>
    <mergeCell ref="E482:J482"/>
    <mergeCell ref="L555:L559"/>
    <mergeCell ref="E136:J136"/>
    <mergeCell ref="E69:J69"/>
    <mergeCell ref="E296:J296"/>
    <mergeCell ref="E135:J135"/>
    <mergeCell ref="E398:J398"/>
    <mergeCell ref="E540:J540"/>
    <mergeCell ref="E370:J370"/>
    <mergeCell ref="E451:J451"/>
    <mergeCell ref="L307:L313"/>
    <mergeCell ref="L100:L106"/>
    <mergeCell ref="L405:L411"/>
    <mergeCell ref="E321:J321"/>
    <mergeCell ref="E393:J393"/>
    <mergeCell ref="E333:J333"/>
    <mergeCell ref="E536:J536"/>
    <mergeCell ref="E375:J375"/>
    <mergeCell ref="E140:J140"/>
    <mergeCell ref="E183:J183"/>
    <mergeCell ref="E319:J319"/>
    <mergeCell ref="E263:J263"/>
    <mergeCell ref="E260:J260"/>
    <mergeCell ref="E259:J259"/>
    <mergeCell ref="E440:J440"/>
    <mergeCell ref="E3:L4"/>
    <mergeCell ref="E207:J207"/>
    <mergeCell ref="E194:J194"/>
    <mergeCell ref="E35:J35"/>
    <mergeCell ref="L252:L258"/>
    <mergeCell ref="E426:J426"/>
    <mergeCell ref="L76:L80"/>
    <mergeCell ref="E242:J242"/>
    <mergeCell ref="E293:J293"/>
    <mergeCell ref="E322:J322"/>
    <mergeCell ref="E38:J38"/>
    <mergeCell ref="E184:J184"/>
    <mergeCell ref="E237:J237"/>
    <mergeCell ref="E382:J382"/>
    <mergeCell ref="E116:J116"/>
    <mergeCell ref="E344:J344"/>
    <mergeCell ref="E349:J349"/>
    <mergeCell ref="E88:J88"/>
    <mergeCell ref="E209:J209"/>
    <mergeCell ref="E267:J267"/>
    <mergeCell ref="E37:J37"/>
    <mergeCell ref="E86:J86"/>
    <mergeCell ref="E423:J423"/>
    <mergeCell ref="E182:J182"/>
    <mergeCell ref="E550:J550"/>
    <mergeCell ref="E205:J205"/>
    <mergeCell ref="E268:J268"/>
    <mergeCell ref="E42:J42"/>
    <mergeCell ref="E371:J371"/>
    <mergeCell ref="E66:J66"/>
    <mergeCell ref="L194:L198"/>
    <mergeCell ref="E138:J138"/>
    <mergeCell ref="E326:J326"/>
    <mergeCell ref="E213:J214"/>
    <mergeCell ref="L382:L384"/>
    <mergeCell ref="E462:J462"/>
    <mergeCell ref="E539:J539"/>
    <mergeCell ref="E449:J449"/>
    <mergeCell ref="E395:J395"/>
    <mergeCell ref="E541:J541"/>
    <mergeCell ref="E245:J245"/>
    <mergeCell ref="E469:J469"/>
    <mergeCell ref="E372:J372"/>
    <mergeCell ref="L50:L56"/>
    <mergeCell ref="L127:L129"/>
    <mergeCell ref="E264:J264"/>
    <mergeCell ref="E179:J179"/>
    <mergeCell ref="E272:J272"/>
    <mergeCell ref="E537:J537"/>
    <mergeCell ref="E120:J120"/>
    <mergeCell ref="E350:J350"/>
    <mergeCell ref="E90:J90"/>
    <mergeCell ref="E450:J450"/>
    <mergeCell ref="E279:J279"/>
    <mergeCell ref="L221:L231"/>
    <mergeCell ref="L360:L362"/>
    <mergeCell ref="L433:L439"/>
    <mergeCell ref="L279:L285"/>
    <mergeCell ref="L333:L339"/>
    <mergeCell ref="E269:J269"/>
    <mergeCell ref="E292:J292"/>
    <mergeCell ref="E364:J364"/>
    <mergeCell ref="E240:J240"/>
    <mergeCell ref="E345:J345"/>
    <mergeCell ref="E353:J353"/>
    <mergeCell ref="E418:J418"/>
    <mergeCell ref="E484:J484"/>
    <mergeCell ref="E485:J485"/>
    <mergeCell ref="E117:J117"/>
    <mergeCell ref="E307:J307"/>
    <mergeCell ref="E422:J422"/>
    <mergeCell ref="E419:J419"/>
    <mergeCell ref="E6:J8"/>
    <mergeCell ref="L469:L475"/>
    <mergeCell ref="E93:J93"/>
    <mergeCell ref="E421:J421"/>
    <mergeCell ref="E447:J447"/>
    <mergeCell ref="E221:J222"/>
    <mergeCell ref="E295:J295"/>
    <mergeCell ref="E412:J412"/>
    <mergeCell ref="E76:J76"/>
    <mergeCell ref="E39:J39"/>
    <mergeCell ref="L148:L152"/>
    <mergeCell ref="E433:J433"/>
    <mergeCell ref="E139:J139"/>
    <mergeCell ref="E187:J187"/>
    <mergeCell ref="E323:J323"/>
    <mergeCell ref="E85:J85"/>
    <mergeCell ref="E143:J143"/>
    <mergeCell ref="E297:J297"/>
    <mergeCell ref="E115:J115"/>
    <mergeCell ref="E9:J10"/>
    <mergeCell ref="E148:J148"/>
    <mergeCell ref="E417:J417"/>
    <mergeCell ref="E414:J414"/>
    <mergeCell ref="E413:J413"/>
  </mergeCells>
  <hyperlinks>
    <hyperlink ref="B2" location="'Start here'!E6" tooltip="back to Start here" display="⌂  CompBot Tutorial" xr:uid="{00000000-0004-0000-0700-000000000000}"/>
    <hyperlink ref="B6" location="'Start here'!E6" display="▸  START" xr:uid="{234E7E42-C757-4D0B-8165-A2779D3A0E60}"/>
    <hyperlink ref="B7" location="'C1 Your machine'!E6" display="▾  COMMANDS" xr:uid="{5F747788-DFD5-4C6E-83CF-D981A0AEB09E}"/>
    <hyperlink ref="B8" location="'C1 Your machine'!E6" display="C1 Your machine" xr:uid="{B681EAC1-9D5A-4F70-BA1A-E6C03702AEBC}"/>
    <hyperlink ref="B9" location="'C2 Open the case'!E6" display="C2 Open the case" xr:uid="{E8854746-1DB7-4D02-8D41-8AF50F770DC5}"/>
    <hyperlink ref="B10" location="'C3 Read the questions'!E6" display="C3 Read the questions" xr:uid="{4C3FFF2F-5F94-41AE-852E-086F46E5D23A}"/>
    <hyperlink ref="B11" location="'C4 Solve a level'!E6" display="C4 Solve a level" xr:uid="{7470C5F6-57A6-44C4-8AFE-FFDD5B3569E9}"/>
    <hyperlink ref="B13" location="'C6 Text, codes and lookups'!E6" display="C6 Text, codes and lookups" xr:uid="{40F38E88-3E2B-4C45-B884-6BADA37F70F8}"/>
    <hyperlink ref="B14" location="'C7 Maps, grids and sheets'!E6" display="C7 Maps, grids and sheets" xr:uid="{D58EDD06-543A-4E1F-866D-8C50B02D9058}"/>
    <hyperlink ref="B15" location="'C8 Housekeeping'!E6" display="C8 Housekeeping" xr:uid="{5561252D-2620-4E84-BA74-848E0498F2CD}"/>
    <hyperlink ref="B16" location="'Demo maps'!E6" display="▸  DEMO SHEETS" xr:uid="{3572E543-7BED-481E-8567-3F75E857D037}"/>
    <hyperlink ref="B17" location="'Level 1 Basics'!E6" display="▸  LAMBDAS" xr:uid="{DFE20286-F713-4ED3-8DB4-024FF806983A}"/>
    <hyperlink ref="B19" location="'Command cheat sheet'!E6" display="▸  REFERENCE" xr:uid="{07A626CC-2412-4008-9EA0-5671321B2116}"/>
    <hyperlink ref="B18" location="'I1 The Alves Method'!E6" display="▸  INSIDER" xr:uid="{234132FB-DE0E-4509-B727-FCFAAC79A329}"/>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1A5FB4"/>
  </sheetPr>
  <dimension ref="A1:L323"/>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9" customWidth="1"/>
    <col min="2" max="2" width="27" style="19" customWidth="1"/>
    <col min="3" max="3" width="1.5" style="19" customWidth="1"/>
    <col min="4" max="4" width="2.5" customWidth="1"/>
    <col min="5" max="10" width="14.5" customWidth="1"/>
    <col min="11" max="11" width="44" customWidth="1"/>
    <col min="12" max="12" width="46" customWidth="1"/>
  </cols>
  <sheetData>
    <row r="1" spans="2:12" ht="12.75" x14ac:dyDescent="0.2"/>
    <row r="2" spans="2:12" ht="30" customHeight="1" x14ac:dyDescent="0.3">
      <c r="B2" s="20" t="s">
        <v>0</v>
      </c>
      <c r="E2" s="3" t="s">
        <v>579</v>
      </c>
    </row>
    <row r="3" spans="2:12" ht="15" customHeight="1" x14ac:dyDescent="0.2">
      <c r="B3" s="21" t="s">
        <v>2</v>
      </c>
      <c r="E3" s="147" t="s">
        <v>3183</v>
      </c>
      <c r="F3" s="148"/>
      <c r="G3" s="148"/>
      <c r="H3" s="148"/>
      <c r="I3" s="148"/>
      <c r="J3" s="148"/>
      <c r="K3" s="148"/>
      <c r="L3" s="148"/>
    </row>
    <row r="4" spans="2:12" ht="15" customHeight="1" x14ac:dyDescent="0.2">
      <c r="E4" s="148"/>
      <c r="F4" s="148"/>
      <c r="G4" s="148"/>
      <c r="H4" s="148"/>
      <c r="I4" s="148"/>
      <c r="J4" s="148"/>
      <c r="K4" s="148"/>
      <c r="L4" s="148"/>
    </row>
    <row r="5" spans="2:12" ht="12.75" x14ac:dyDescent="0.2"/>
    <row r="6" spans="2:12" ht="15" customHeight="1" x14ac:dyDescent="0.2">
      <c r="B6" s="103" t="s">
        <v>315</v>
      </c>
      <c r="E6" s="152" t="s">
        <v>1403</v>
      </c>
      <c r="F6" s="148"/>
      <c r="G6" s="148"/>
      <c r="H6" s="148"/>
      <c r="I6" s="148"/>
      <c r="J6" s="148"/>
    </row>
    <row r="7" spans="2:12" ht="15" customHeight="1" x14ac:dyDescent="0.2">
      <c r="B7" s="103" t="s">
        <v>317</v>
      </c>
      <c r="E7" s="148"/>
      <c r="F7" s="148"/>
      <c r="G7" s="148"/>
      <c r="H7" s="148"/>
      <c r="I7" s="148"/>
      <c r="J7" s="148"/>
    </row>
    <row r="8" spans="2:12" ht="15" customHeight="1" x14ac:dyDescent="0.2">
      <c r="B8" s="105" t="s">
        <v>32</v>
      </c>
      <c r="E8" s="148"/>
      <c r="F8" s="148"/>
      <c r="G8" s="148"/>
      <c r="H8" s="148"/>
      <c r="I8" s="148"/>
      <c r="J8" s="148"/>
    </row>
    <row r="9" spans="2:12" ht="12.75" x14ac:dyDescent="0.2">
      <c r="B9" s="105" t="s">
        <v>35</v>
      </c>
    </row>
    <row r="10" spans="2:12" ht="12.75" x14ac:dyDescent="0.2">
      <c r="B10" s="105" t="s">
        <v>37</v>
      </c>
      <c r="E10" s="22" t="s">
        <v>580</v>
      </c>
    </row>
    <row r="11" spans="2:12" ht="12.75" x14ac:dyDescent="0.2">
      <c r="B11" s="105" t="s">
        <v>39</v>
      </c>
      <c r="E11" s="23" t="s">
        <v>581</v>
      </c>
      <c r="F11" s="23" t="s">
        <v>582</v>
      </c>
      <c r="G11" s="23" t="s">
        <v>583</v>
      </c>
      <c r="H11" s="23" t="s">
        <v>449</v>
      </c>
    </row>
    <row r="12" spans="2:12" ht="12.75" x14ac:dyDescent="0.2">
      <c r="B12" s="105" t="s">
        <v>40</v>
      </c>
      <c r="E12" s="23" t="s">
        <v>584</v>
      </c>
      <c r="F12" s="23">
        <v>67</v>
      </c>
      <c r="G12" s="23" t="s">
        <v>585</v>
      </c>
      <c r="H12" s="23" t="s">
        <v>456</v>
      </c>
    </row>
    <row r="13" spans="2:12" ht="12.75" x14ac:dyDescent="0.2">
      <c r="B13" s="104" t="s">
        <v>42</v>
      </c>
      <c r="E13" s="23" t="s">
        <v>586</v>
      </c>
      <c r="F13" s="23">
        <v>111</v>
      </c>
      <c r="G13" s="23" t="s">
        <v>587</v>
      </c>
      <c r="H13" s="23" t="s">
        <v>452</v>
      </c>
    </row>
    <row r="14" spans="2:12" ht="12.75" x14ac:dyDescent="0.2">
      <c r="B14" s="105" t="s">
        <v>44</v>
      </c>
      <c r="E14" s="23" t="s">
        <v>588</v>
      </c>
      <c r="F14" s="23">
        <v>100</v>
      </c>
      <c r="G14" s="23" t="s">
        <v>589</v>
      </c>
      <c r="H14" s="23" t="s">
        <v>454</v>
      </c>
    </row>
    <row r="15" spans="2:12" ht="12.75" x14ac:dyDescent="0.2">
      <c r="B15" s="105" t="s">
        <v>46</v>
      </c>
      <c r="E15" s="23" t="s">
        <v>590</v>
      </c>
      <c r="F15" s="23">
        <v>101</v>
      </c>
      <c r="G15" s="23"/>
      <c r="H15" s="23" t="s">
        <v>456</v>
      </c>
    </row>
    <row r="16" spans="2:12" ht="12.75" x14ac:dyDescent="0.2">
      <c r="B16" s="103" t="s">
        <v>11</v>
      </c>
    </row>
    <row r="17" spans="2:12" ht="12.75" x14ac:dyDescent="0.2">
      <c r="B17" s="103" t="s">
        <v>13</v>
      </c>
    </row>
    <row r="18" spans="2:12" ht="15" customHeight="1" x14ac:dyDescent="0.2">
      <c r="B18" s="103" t="s">
        <v>3407</v>
      </c>
      <c r="E18" s="151" t="s">
        <v>591</v>
      </c>
      <c r="F18" s="148"/>
      <c r="G18" s="148"/>
      <c r="H18" s="148"/>
      <c r="I18" s="148"/>
      <c r="J18" s="148"/>
      <c r="K18" s="211" t="s">
        <v>72</v>
      </c>
    </row>
    <row r="19" spans="2:12" ht="15" customHeight="1" x14ac:dyDescent="0.2">
      <c r="B19" s="103" t="s">
        <v>14</v>
      </c>
      <c r="E19" s="148"/>
      <c r="F19" s="148"/>
      <c r="G19" s="148"/>
      <c r="H19" s="148"/>
      <c r="I19" s="148"/>
      <c r="J19" s="148"/>
      <c r="K19" s="148"/>
    </row>
    <row r="20" spans="2:12" ht="15" customHeight="1" x14ac:dyDescent="0.2">
      <c r="B20" s="102"/>
      <c r="E20" s="152" t="s">
        <v>592</v>
      </c>
      <c r="F20" s="148"/>
      <c r="G20" s="148"/>
      <c r="H20" s="148"/>
      <c r="I20" s="148"/>
      <c r="J20" s="148"/>
    </row>
    <row r="21" spans="2:12" ht="21.75" customHeight="1" x14ac:dyDescent="0.2">
      <c r="B21" s="102"/>
      <c r="E21" s="147" t="s">
        <v>1517</v>
      </c>
      <c r="F21" s="147"/>
      <c r="G21" s="147"/>
      <c r="H21" s="147"/>
      <c r="I21" s="147"/>
      <c r="J21" s="147"/>
    </row>
    <row r="22" spans="2:12" ht="12.75" x14ac:dyDescent="0.2">
      <c r="B22" s="102"/>
    </row>
    <row r="23" spans="2:12" ht="15" customHeight="1" x14ac:dyDescent="0.2">
      <c r="B23" s="102"/>
      <c r="E23" s="202" t="s">
        <v>1729</v>
      </c>
      <c r="F23" s="203"/>
      <c r="G23" s="203"/>
      <c r="H23" s="203"/>
      <c r="I23" s="203"/>
      <c r="J23" s="204"/>
    </row>
    <row r="24" spans="2:12" ht="15" customHeight="1" x14ac:dyDescent="0.2">
      <c r="B24" s="102"/>
      <c r="E24" s="147" t="s">
        <v>462</v>
      </c>
      <c r="F24" s="149"/>
      <c r="G24" s="149"/>
      <c r="H24" s="149"/>
      <c r="I24" s="149"/>
      <c r="J24" s="149"/>
    </row>
    <row r="25" spans="2:12" ht="15" customHeight="1" x14ac:dyDescent="0.2">
      <c r="B25" s="102"/>
      <c r="E25" s="147" t="s">
        <v>593</v>
      </c>
      <c r="F25" s="149"/>
      <c r="G25" s="149"/>
      <c r="H25" s="149"/>
      <c r="I25" s="149"/>
      <c r="J25" s="149"/>
    </row>
    <row r="26" spans="2:12" ht="12.75" x14ac:dyDescent="0.2">
      <c r="B26" s="102"/>
    </row>
    <row r="27" spans="2:12" ht="15" customHeight="1" x14ac:dyDescent="0.2">
      <c r="B27" s="102"/>
      <c r="E27" s="147" t="s">
        <v>1394</v>
      </c>
      <c r="F27" s="147"/>
      <c r="G27" s="147"/>
      <c r="H27" s="147"/>
      <c r="I27" s="147"/>
      <c r="J27" s="147"/>
      <c r="K27" s="24" t="s">
        <v>1938</v>
      </c>
      <c r="L27" s="24" t="s">
        <v>1939</v>
      </c>
    </row>
    <row r="28" spans="2:12" ht="15" customHeight="1" x14ac:dyDescent="0.2">
      <c r="B28" s="102"/>
      <c r="E28" s="209" t="s">
        <v>594</v>
      </c>
      <c r="F28" s="148"/>
      <c r="G28" s="148"/>
      <c r="H28" s="148"/>
      <c r="I28" s="148"/>
      <c r="J28" s="148"/>
      <c r="K28" s="5" t="s">
        <v>595</v>
      </c>
      <c r="L28" s="207" t="s">
        <v>1972</v>
      </c>
    </row>
    <row r="29" spans="2:12" ht="15" customHeight="1" x14ac:dyDescent="0.2">
      <c r="B29" s="102"/>
      <c r="E29" s="25" t="str" cm="1">
        <f t="array" ref="E29:E32">$E$12:$E$15</f>
        <v>C</v>
      </c>
      <c r="K29" s="79" t="s">
        <v>1973</v>
      </c>
      <c r="L29" s="207"/>
    </row>
    <row r="30" spans="2:12" ht="12.75" x14ac:dyDescent="0.2">
      <c r="B30" s="102"/>
      <c r="E30" t="str">
        <v>o</v>
      </c>
      <c r="L30" s="207"/>
    </row>
    <row r="31" spans="2:12" ht="12.75" x14ac:dyDescent="0.2">
      <c r="B31" s="102"/>
      <c r="E31" t="str">
        <v>d</v>
      </c>
      <c r="L31" s="207"/>
    </row>
    <row r="32" spans="2:12" ht="12.75" x14ac:dyDescent="0.2">
      <c r="B32" s="102"/>
      <c r="E32" t="str">
        <v>e</v>
      </c>
      <c r="L32" s="207"/>
    </row>
    <row r="33" spans="2:12" ht="12.75" x14ac:dyDescent="0.2">
      <c r="B33" s="102"/>
      <c r="K33" s="24" t="s">
        <v>1940</v>
      </c>
      <c r="L33" s="24" t="s">
        <v>1941</v>
      </c>
    </row>
    <row r="34" spans="2:12" ht="15" customHeight="1" x14ac:dyDescent="0.2">
      <c r="B34" s="102"/>
      <c r="E34" s="209" t="s">
        <v>596</v>
      </c>
      <c r="F34" s="148"/>
      <c r="G34" s="148"/>
      <c r="H34" s="148"/>
      <c r="I34" s="148"/>
      <c r="J34" s="148"/>
      <c r="K34" s="77" t="s">
        <v>1973</v>
      </c>
      <c r="L34" s="207" t="s">
        <v>1974</v>
      </c>
    </row>
    <row r="35" spans="2:12" ht="15" customHeight="1" x14ac:dyDescent="0.2">
      <c r="B35" s="102"/>
      <c r="E35" s="26" cm="1">
        <f t="array" ref="E35:E38">_xlfn.UNICODE($E$12:$E$15)</f>
        <v>67</v>
      </c>
      <c r="L35" s="208"/>
    </row>
    <row r="36" spans="2:12" ht="12.75" x14ac:dyDescent="0.2">
      <c r="B36" s="102"/>
      <c r="E36">
        <v>111</v>
      </c>
      <c r="L36" s="208"/>
    </row>
    <row r="37" spans="2:12" ht="12.75" x14ac:dyDescent="0.2">
      <c r="B37" s="102"/>
      <c r="E37">
        <v>100</v>
      </c>
      <c r="L37" s="208"/>
    </row>
    <row r="38" spans="2:12" ht="12.75" x14ac:dyDescent="0.2">
      <c r="B38" s="102"/>
      <c r="E38">
        <v>101</v>
      </c>
      <c r="L38" s="208"/>
    </row>
    <row r="39" spans="2:12" ht="12.75" x14ac:dyDescent="0.2">
      <c r="B39" s="102"/>
      <c r="L39" s="208"/>
    </row>
    <row r="40" spans="2:12" ht="25.5" customHeight="1" x14ac:dyDescent="0.2">
      <c r="B40" s="102"/>
      <c r="E40" s="152" t="s">
        <v>597</v>
      </c>
      <c r="F40" s="152"/>
      <c r="G40" s="152"/>
      <c r="H40" s="152"/>
      <c r="I40" s="152"/>
      <c r="J40" s="152"/>
    </row>
    <row r="41" spans="2:12" ht="15" customHeight="1" x14ac:dyDescent="0.2">
      <c r="B41" s="102"/>
      <c r="E41" s="147" t="s">
        <v>1661</v>
      </c>
      <c r="F41" s="147"/>
      <c r="G41" s="147"/>
      <c r="H41" s="147"/>
      <c r="I41" s="147"/>
      <c r="J41" s="147"/>
    </row>
    <row r="42" spans="2:12" ht="12.75" x14ac:dyDescent="0.2">
      <c r="B42" s="102"/>
    </row>
    <row r="43" spans="2:12" ht="12.75" x14ac:dyDescent="0.2">
      <c r="B43" s="102"/>
    </row>
    <row r="44" spans="2:12" ht="15.75" customHeight="1" x14ac:dyDescent="0.2">
      <c r="B44" s="102"/>
      <c r="E44" s="159" t="s">
        <v>598</v>
      </c>
      <c r="F44" s="159"/>
      <c r="G44" s="159"/>
      <c r="H44" s="159"/>
      <c r="I44" s="159"/>
      <c r="J44" s="159"/>
      <c r="K44" s="52" t="s">
        <v>599</v>
      </c>
    </row>
    <row r="45" spans="2:12" ht="15" customHeight="1" x14ac:dyDescent="0.2">
      <c r="B45" s="102"/>
      <c r="E45" s="152" t="s">
        <v>600</v>
      </c>
      <c r="F45" s="149"/>
      <c r="G45" s="149"/>
      <c r="H45" s="149"/>
      <c r="I45" s="149"/>
      <c r="J45" s="149"/>
    </row>
    <row r="46" spans="2:12" ht="21.75" customHeight="1" x14ac:dyDescent="0.2">
      <c r="B46" s="102"/>
      <c r="E46" s="147" t="s">
        <v>1518</v>
      </c>
      <c r="F46" s="147"/>
      <c r="G46" s="147"/>
      <c r="H46" s="147"/>
      <c r="I46" s="147"/>
      <c r="J46" s="147"/>
    </row>
    <row r="47" spans="2:12" ht="12.75" x14ac:dyDescent="0.2"/>
    <row r="48" spans="2:12" ht="15" customHeight="1" x14ac:dyDescent="0.2">
      <c r="E48" s="202" t="s">
        <v>1729</v>
      </c>
      <c r="F48" s="203"/>
      <c r="G48" s="203"/>
      <c r="H48" s="203"/>
      <c r="I48" s="203"/>
      <c r="J48" s="204"/>
    </row>
    <row r="49" spans="5:12" ht="15" customHeight="1" x14ac:dyDescent="0.2">
      <c r="E49" s="147" t="s">
        <v>462</v>
      </c>
      <c r="F49" s="149"/>
      <c r="G49" s="149"/>
      <c r="H49" s="149"/>
      <c r="I49" s="149"/>
      <c r="J49" s="149"/>
    </row>
    <row r="50" spans="5:12" ht="15" customHeight="1" x14ac:dyDescent="0.2">
      <c r="E50" s="147" t="s">
        <v>601</v>
      </c>
      <c r="F50" s="149"/>
      <c r="G50" s="149"/>
      <c r="H50" s="149"/>
      <c r="I50" s="149"/>
      <c r="J50" s="149"/>
    </row>
    <row r="51" spans="5:12" ht="12.75" x14ac:dyDescent="0.2"/>
    <row r="52" spans="5:12" ht="15" customHeight="1" x14ac:dyDescent="0.2">
      <c r="E52" s="147" t="s">
        <v>1394</v>
      </c>
      <c r="F52" s="147"/>
      <c r="G52" s="147"/>
      <c r="H52" s="147"/>
      <c r="I52" s="147"/>
      <c r="J52" s="147"/>
      <c r="K52" s="24" t="s">
        <v>1938</v>
      </c>
      <c r="L52" s="24" t="s">
        <v>1939</v>
      </c>
    </row>
    <row r="53" spans="5:12" ht="15" customHeight="1" x14ac:dyDescent="0.2">
      <c r="E53" s="209" t="s">
        <v>602</v>
      </c>
      <c r="F53" s="148"/>
      <c r="G53" s="148"/>
      <c r="H53" s="148"/>
      <c r="I53" s="148"/>
      <c r="J53" s="148"/>
      <c r="K53" s="5" t="s">
        <v>603</v>
      </c>
      <c r="L53" s="207" t="s">
        <v>1974</v>
      </c>
    </row>
    <row r="54" spans="5:12" ht="15" customHeight="1" x14ac:dyDescent="0.2">
      <c r="E54" s="25" cm="1">
        <f t="array" ref="E54:E57">$F$12:$F$15</f>
        <v>67</v>
      </c>
      <c r="K54" s="79" t="s">
        <v>1973</v>
      </c>
      <c r="L54" s="207"/>
    </row>
    <row r="55" spans="5:12" ht="12.75" x14ac:dyDescent="0.2">
      <c r="E55">
        <v>111</v>
      </c>
      <c r="L55" s="207"/>
    </row>
    <row r="56" spans="5:12" ht="12.75" x14ac:dyDescent="0.2">
      <c r="E56">
        <v>100</v>
      </c>
      <c r="L56" s="207"/>
    </row>
    <row r="57" spans="5:12" ht="12.75" x14ac:dyDescent="0.2">
      <c r="E57">
        <v>101</v>
      </c>
      <c r="L57" s="207"/>
    </row>
    <row r="58" spans="5:12" ht="12.75" x14ac:dyDescent="0.2">
      <c r="K58" s="24" t="s">
        <v>1940</v>
      </c>
      <c r="L58" s="24" t="s">
        <v>1941</v>
      </c>
    </row>
    <row r="59" spans="5:12" ht="15" customHeight="1" x14ac:dyDescent="0.2">
      <c r="E59" s="209" t="s">
        <v>604</v>
      </c>
      <c r="F59" s="148"/>
      <c r="G59" s="148"/>
      <c r="H59" s="148"/>
      <c r="I59" s="148"/>
      <c r="J59" s="148"/>
      <c r="K59" s="77" t="s">
        <v>1973</v>
      </c>
      <c r="L59" s="207" t="s">
        <v>1972</v>
      </c>
    </row>
    <row r="60" spans="5:12" ht="15" customHeight="1" x14ac:dyDescent="0.2">
      <c r="E60" s="26" t="str" cm="1">
        <f t="array" ref="E60:E63">_xlfn.UNICHAR($F$12:$F$15)</f>
        <v>C</v>
      </c>
      <c r="L60" s="208"/>
    </row>
    <row r="61" spans="5:12" ht="12.75" x14ac:dyDescent="0.2">
      <c r="E61" t="str">
        <v>o</v>
      </c>
      <c r="L61" s="208"/>
    </row>
    <row r="62" spans="5:12" ht="12.75" x14ac:dyDescent="0.2">
      <c r="E62" t="str">
        <v>d</v>
      </c>
      <c r="L62" s="208"/>
    </row>
    <row r="63" spans="5:12" ht="12.75" x14ac:dyDescent="0.2">
      <c r="E63" t="str">
        <v>e</v>
      </c>
      <c r="L63" s="208"/>
    </row>
    <row r="64" spans="5:12" ht="12.75" x14ac:dyDescent="0.2">
      <c r="L64" s="208"/>
    </row>
    <row r="65" spans="5:12" ht="25.5" customHeight="1" x14ac:dyDescent="0.2">
      <c r="E65" s="152" t="s">
        <v>605</v>
      </c>
      <c r="F65" s="152"/>
      <c r="G65" s="152"/>
      <c r="H65" s="152"/>
      <c r="I65" s="152"/>
      <c r="J65" s="152"/>
    </row>
    <row r="66" spans="5:12" ht="15" customHeight="1" x14ac:dyDescent="0.2">
      <c r="E66" s="147" t="s">
        <v>1660</v>
      </c>
      <c r="F66" s="147"/>
      <c r="G66" s="147"/>
      <c r="H66" s="147"/>
      <c r="I66" s="147"/>
      <c r="J66" s="147"/>
    </row>
    <row r="67" spans="5:12" ht="12.75" x14ac:dyDescent="0.2"/>
    <row r="68" spans="5:12" ht="12.75" x14ac:dyDescent="0.2"/>
    <row r="69" spans="5:12" ht="15.75" customHeight="1" x14ac:dyDescent="0.2">
      <c r="E69" s="159" t="s">
        <v>606</v>
      </c>
      <c r="F69" s="159"/>
      <c r="G69" s="159"/>
      <c r="H69" s="159"/>
      <c r="I69" s="159"/>
      <c r="J69" s="159"/>
      <c r="K69" s="52" t="s">
        <v>607</v>
      </c>
    </row>
    <row r="70" spans="5:12" ht="15" customHeight="1" x14ac:dyDescent="0.2">
      <c r="E70" s="152" t="s">
        <v>608</v>
      </c>
      <c r="F70" s="149"/>
      <c r="G70" s="149"/>
      <c r="H70" s="149"/>
      <c r="I70" s="149"/>
      <c r="J70" s="149"/>
    </row>
    <row r="71" spans="5:12" ht="21.75" customHeight="1" x14ac:dyDescent="0.2">
      <c r="E71" s="147" t="s">
        <v>1519</v>
      </c>
      <c r="F71" s="147"/>
      <c r="G71" s="147"/>
      <c r="H71" s="147"/>
      <c r="I71" s="147"/>
      <c r="J71" s="147"/>
    </row>
    <row r="72" spans="5:12" ht="12.75" x14ac:dyDescent="0.2"/>
    <row r="73" spans="5:12" ht="15" customHeight="1" x14ac:dyDescent="0.2">
      <c r="E73" s="202" t="s">
        <v>1729</v>
      </c>
      <c r="F73" s="203"/>
      <c r="G73" s="203"/>
      <c r="H73" s="203"/>
      <c r="I73" s="203"/>
      <c r="J73" s="204"/>
    </row>
    <row r="74" spans="5:12" ht="15" customHeight="1" x14ac:dyDescent="0.2">
      <c r="E74" s="147" t="s">
        <v>462</v>
      </c>
      <c r="F74" s="149"/>
      <c r="G74" s="149"/>
      <c r="H74" s="149"/>
      <c r="I74" s="149"/>
      <c r="J74" s="149"/>
    </row>
    <row r="75" spans="5:12" ht="15" customHeight="1" x14ac:dyDescent="0.2">
      <c r="E75" s="147" t="s">
        <v>609</v>
      </c>
      <c r="F75" s="149"/>
      <c r="G75" s="149"/>
      <c r="H75" s="149"/>
      <c r="I75" s="149"/>
      <c r="J75" s="149"/>
    </row>
    <row r="76" spans="5:12" ht="12.75" x14ac:dyDescent="0.2"/>
    <row r="77" spans="5:12" ht="15" customHeight="1" x14ac:dyDescent="0.2">
      <c r="E77" s="147" t="s">
        <v>1394</v>
      </c>
      <c r="F77" s="147"/>
      <c r="G77" s="147"/>
      <c r="H77" s="147"/>
      <c r="I77" s="147"/>
      <c r="J77" s="147"/>
      <c r="K77" s="24" t="s">
        <v>1938</v>
      </c>
      <c r="L77" s="24" t="s">
        <v>1939</v>
      </c>
    </row>
    <row r="78" spans="5:12" ht="15" customHeight="1" x14ac:dyDescent="0.2">
      <c r="E78" s="209" t="s">
        <v>594</v>
      </c>
      <c r="F78" s="148"/>
      <c r="G78" s="148"/>
      <c r="H78" s="148"/>
      <c r="I78" s="148"/>
      <c r="J78" s="148"/>
      <c r="K78" s="5" t="s">
        <v>610</v>
      </c>
      <c r="L78" s="207" t="s">
        <v>1972</v>
      </c>
    </row>
    <row r="79" spans="5:12" ht="15" customHeight="1" x14ac:dyDescent="0.2">
      <c r="E79" s="25" t="str" cm="1">
        <f t="array" ref="E79:E82">$E$12:$E$15</f>
        <v>C</v>
      </c>
      <c r="K79" s="79" t="s">
        <v>1973</v>
      </c>
      <c r="L79" s="207"/>
    </row>
    <row r="80" spans="5:12" ht="12.75" x14ac:dyDescent="0.2">
      <c r="E80" t="str">
        <v>o</v>
      </c>
      <c r="L80" s="207"/>
    </row>
    <row r="81" spans="5:12" ht="12.75" x14ac:dyDescent="0.2">
      <c r="E81" t="str">
        <v>d</v>
      </c>
      <c r="L81" s="207"/>
    </row>
    <row r="82" spans="5:12" ht="12.75" x14ac:dyDescent="0.2">
      <c r="E82" t="str">
        <v>e</v>
      </c>
      <c r="L82" s="207"/>
    </row>
    <row r="83" spans="5:12" ht="12.75" x14ac:dyDescent="0.2">
      <c r="K83" s="24" t="s">
        <v>1940</v>
      </c>
      <c r="L83" s="24" t="s">
        <v>1941</v>
      </c>
    </row>
    <row r="84" spans="5:12" ht="15" customHeight="1" x14ac:dyDescent="0.2">
      <c r="E84" s="209" t="s">
        <v>611</v>
      </c>
      <c r="F84" s="148"/>
      <c r="G84" s="148"/>
      <c r="H84" s="148"/>
      <c r="I84" s="148"/>
      <c r="J84" s="148"/>
      <c r="K84" s="5"/>
      <c r="L84" s="207" t="s">
        <v>582</v>
      </c>
    </row>
    <row r="85" spans="5:12" ht="15" customHeight="1" x14ac:dyDescent="0.2">
      <c r="E85" s="26" t="str">
        <f>_xlfn.CONCAT($E$12:$E$15)</f>
        <v>Code</v>
      </c>
      <c r="L85" s="208"/>
    </row>
    <row r="86" spans="5:12" ht="12.75" x14ac:dyDescent="0.2">
      <c r="L86" s="208"/>
    </row>
    <row r="87" spans="5:12" ht="25.5" customHeight="1" x14ac:dyDescent="0.2">
      <c r="E87" s="152" t="s">
        <v>612</v>
      </c>
      <c r="F87" s="152"/>
      <c r="G87" s="152"/>
      <c r="H87" s="152"/>
      <c r="I87" s="152"/>
      <c r="J87" s="152"/>
    </row>
    <row r="88" spans="5:12" ht="12.75" x14ac:dyDescent="0.2"/>
    <row r="89" spans="5:12" ht="12.75" x14ac:dyDescent="0.2"/>
    <row r="90" spans="5:12" ht="15.75" customHeight="1" x14ac:dyDescent="0.2">
      <c r="E90" s="159" t="s">
        <v>613</v>
      </c>
      <c r="F90" s="159"/>
      <c r="G90" s="159"/>
      <c r="H90" s="159"/>
      <c r="I90" s="159"/>
      <c r="J90" s="159"/>
      <c r="K90" s="52" t="s">
        <v>1388</v>
      </c>
    </row>
    <row r="91" spans="5:12" ht="15" customHeight="1" x14ac:dyDescent="0.2">
      <c r="E91" s="152" t="s">
        <v>614</v>
      </c>
      <c r="F91" s="149"/>
      <c r="G91" s="149"/>
      <c r="H91" s="149"/>
      <c r="I91" s="149"/>
      <c r="J91" s="149"/>
    </row>
    <row r="92" spans="5:12" ht="21.75" customHeight="1" x14ac:dyDescent="0.2">
      <c r="E92" s="147" t="s">
        <v>615</v>
      </c>
      <c r="F92" s="147"/>
      <c r="G92" s="147"/>
      <c r="H92" s="147"/>
      <c r="I92" s="147"/>
      <c r="J92" s="147"/>
    </row>
    <row r="93" spans="5:12" ht="12.75" x14ac:dyDescent="0.2"/>
    <row r="94" spans="5:12" ht="15" customHeight="1" x14ac:dyDescent="0.2">
      <c r="E94" s="202" t="s">
        <v>1729</v>
      </c>
      <c r="F94" s="203"/>
      <c r="G94" s="203"/>
      <c r="H94" s="203"/>
      <c r="I94" s="203"/>
      <c r="J94" s="204"/>
    </row>
    <row r="95" spans="5:12" ht="15" customHeight="1" x14ac:dyDescent="0.2">
      <c r="E95" s="147" t="s">
        <v>462</v>
      </c>
      <c r="F95" s="149"/>
      <c r="G95" s="149"/>
      <c r="H95" s="149"/>
      <c r="I95" s="149"/>
      <c r="J95" s="149"/>
    </row>
    <row r="96" spans="5:12" ht="15" customHeight="1" x14ac:dyDescent="0.2">
      <c r="E96" s="147" t="s">
        <v>616</v>
      </c>
      <c r="F96" s="149"/>
      <c r="G96" s="149"/>
      <c r="H96" s="149"/>
      <c r="I96" s="149"/>
      <c r="J96" s="149"/>
    </row>
    <row r="97" spans="5:12" ht="12.75" x14ac:dyDescent="0.2"/>
    <row r="98" spans="5:12" ht="15" customHeight="1" x14ac:dyDescent="0.2">
      <c r="E98" s="147" t="s">
        <v>1394</v>
      </c>
      <c r="F98" s="147"/>
      <c r="G98" s="147"/>
      <c r="H98" s="147"/>
      <c r="I98" s="147"/>
      <c r="J98" s="147"/>
      <c r="K98" s="24" t="s">
        <v>1938</v>
      </c>
      <c r="L98" s="24" t="s">
        <v>1939</v>
      </c>
    </row>
    <row r="99" spans="5:12" ht="15" customHeight="1" x14ac:dyDescent="0.2">
      <c r="E99" s="209" t="s">
        <v>617</v>
      </c>
      <c r="F99" s="148"/>
      <c r="G99" s="148"/>
      <c r="H99" s="148"/>
      <c r="I99" s="148"/>
      <c r="J99" s="148"/>
      <c r="K99" s="5" t="s">
        <v>618</v>
      </c>
      <c r="L99" s="207" t="s">
        <v>1348</v>
      </c>
    </row>
    <row r="100" spans="5:12" ht="15" customHeight="1" x14ac:dyDescent="0.2">
      <c r="E100" s="25" t="str">
        <f>"Café"</f>
        <v>Café</v>
      </c>
      <c r="L100" s="207"/>
    </row>
    <row r="101" spans="5:12" ht="12.75" x14ac:dyDescent="0.2">
      <c r="L101" s="207"/>
    </row>
    <row r="102" spans="5:12" ht="12.75" x14ac:dyDescent="0.2">
      <c r="L102" s="207"/>
    </row>
    <row r="103" spans="5:12" ht="12.75" x14ac:dyDescent="0.2">
      <c r="L103" s="207"/>
    </row>
    <row r="104" spans="5:12" ht="12.75" x14ac:dyDescent="0.2">
      <c r="K104" s="24" t="s">
        <v>1940</v>
      </c>
      <c r="L104" s="24" t="s">
        <v>1941</v>
      </c>
    </row>
    <row r="105" spans="5:12" ht="15" customHeight="1" x14ac:dyDescent="0.2">
      <c r="E105" s="209" t="s">
        <v>619</v>
      </c>
      <c r="F105" s="148"/>
      <c r="G105" s="148"/>
      <c r="H105" s="148"/>
      <c r="I105" s="148"/>
      <c r="J105" s="148"/>
      <c r="K105" s="77" t="s">
        <v>1973</v>
      </c>
      <c r="L105" s="207" t="s">
        <v>1975</v>
      </c>
    </row>
    <row r="106" spans="5:12" ht="15" customHeight="1" x14ac:dyDescent="0.2">
      <c r="E106" s="26" t="str" cm="1">
        <f t="array" ref="E106:E109">SplitText_byHadynWiseman("Café")</f>
        <v>C</v>
      </c>
      <c r="L106" s="208"/>
    </row>
    <row r="107" spans="5:12" ht="12.75" x14ac:dyDescent="0.2">
      <c r="E107" t="str">
        <v>a</v>
      </c>
      <c r="L107" s="208"/>
    </row>
    <row r="108" spans="5:12" ht="12.75" x14ac:dyDescent="0.2">
      <c r="E108" t="str">
        <v>f</v>
      </c>
      <c r="L108" s="208"/>
    </row>
    <row r="109" spans="5:12" ht="12.75" x14ac:dyDescent="0.2">
      <c r="E109" t="str">
        <v>é</v>
      </c>
      <c r="L109" s="208"/>
    </row>
    <row r="110" spans="5:12" ht="12.75" x14ac:dyDescent="0.2">
      <c r="L110" s="208"/>
    </row>
    <row r="111" spans="5:12" ht="15" customHeight="1" x14ac:dyDescent="0.2">
      <c r="E111" s="152" t="s">
        <v>620</v>
      </c>
      <c r="F111" s="152"/>
      <c r="G111" s="152"/>
      <c r="H111" s="152"/>
      <c r="I111" s="152"/>
      <c r="J111" s="152"/>
    </row>
    <row r="112" spans="5:12" ht="25.5" customHeight="1" x14ac:dyDescent="0.2">
      <c r="E112" s="156" t="s">
        <v>2089</v>
      </c>
      <c r="F112" s="157"/>
      <c r="G112" s="157"/>
      <c r="H112" s="157"/>
      <c r="I112" s="157"/>
      <c r="J112" s="158"/>
    </row>
    <row r="114" spans="5:12" ht="15" customHeight="1" x14ac:dyDescent="0.2">
      <c r="E114" s="147" t="s">
        <v>1650</v>
      </c>
      <c r="F114" s="147"/>
      <c r="G114" s="147"/>
      <c r="H114" s="147"/>
      <c r="I114" s="147"/>
      <c r="J114" s="147"/>
    </row>
    <row r="115" spans="5:12" ht="12.75" x14ac:dyDescent="0.2"/>
    <row r="116" spans="5:12" ht="12.75" x14ac:dyDescent="0.2"/>
    <row r="117" spans="5:12" ht="45" customHeight="1" x14ac:dyDescent="0.2">
      <c r="E117" s="159" t="s">
        <v>621</v>
      </c>
      <c r="F117" s="159"/>
      <c r="G117" s="159"/>
      <c r="H117" s="159"/>
      <c r="I117" s="159"/>
      <c r="J117" s="159"/>
      <c r="K117" s="52" t="s">
        <v>1213</v>
      </c>
    </row>
    <row r="118" spans="5:12" ht="25.5" customHeight="1" x14ac:dyDescent="0.2">
      <c r="E118" s="152" t="s">
        <v>2084</v>
      </c>
      <c r="F118" s="152"/>
      <c r="G118" s="152"/>
      <c r="H118" s="152"/>
      <c r="I118" s="152"/>
      <c r="J118" s="152"/>
    </row>
    <row r="119" spans="5:12" ht="21.75" customHeight="1" x14ac:dyDescent="0.2">
      <c r="E119" s="147" t="s">
        <v>2088</v>
      </c>
      <c r="F119" s="149"/>
      <c r="G119" s="149"/>
      <c r="H119" s="149"/>
      <c r="I119" s="149"/>
      <c r="J119" s="149"/>
    </row>
    <row r="120" spans="5:12" ht="12.75" x14ac:dyDescent="0.2"/>
    <row r="121" spans="5:12" ht="15" customHeight="1" x14ac:dyDescent="0.2">
      <c r="E121" s="202" t="s">
        <v>1729</v>
      </c>
      <c r="F121" s="203"/>
      <c r="G121" s="203"/>
      <c r="H121" s="203"/>
      <c r="I121" s="203"/>
      <c r="J121" s="204"/>
    </row>
    <row r="122" spans="5:12" ht="15" customHeight="1" x14ac:dyDescent="0.2">
      <c r="E122" s="147" t="s">
        <v>622</v>
      </c>
      <c r="F122" s="149"/>
      <c r="G122" s="149"/>
      <c r="H122" s="149"/>
      <c r="I122" s="149"/>
      <c r="J122" s="149"/>
    </row>
    <row r="123" spans="5:12" ht="15" customHeight="1" x14ac:dyDescent="0.2">
      <c r="E123" s="147" t="s">
        <v>551</v>
      </c>
      <c r="F123" s="149"/>
      <c r="G123" s="149"/>
      <c r="H123" s="149"/>
      <c r="I123" s="149"/>
      <c r="J123" s="149"/>
    </row>
    <row r="124" spans="5:12" ht="12.75" x14ac:dyDescent="0.2"/>
    <row r="125" spans="5:12" ht="21.75" customHeight="1" x14ac:dyDescent="0.2">
      <c r="E125" s="147" t="s">
        <v>2087</v>
      </c>
      <c r="F125" s="147"/>
      <c r="G125" s="147"/>
      <c r="H125" s="147"/>
      <c r="I125" s="147"/>
      <c r="J125" s="147"/>
      <c r="K125" s="24" t="s">
        <v>1938</v>
      </c>
      <c r="L125" s="24" t="s">
        <v>1939</v>
      </c>
    </row>
    <row r="126" spans="5:12" ht="15" customHeight="1" x14ac:dyDescent="0.2">
      <c r="E126" s="209" t="s">
        <v>623</v>
      </c>
      <c r="F126" s="148"/>
      <c r="G126" s="148"/>
      <c r="H126" s="148"/>
      <c r="I126" s="148"/>
      <c r="J126" s="148"/>
      <c r="K126" s="5" t="s">
        <v>2086</v>
      </c>
      <c r="L126" s="207" t="s">
        <v>585</v>
      </c>
    </row>
    <row r="127" spans="5:12" ht="15" customHeight="1" x14ac:dyDescent="0.2">
      <c r="E127" s="23" t="s">
        <v>2085</v>
      </c>
      <c r="K127" s="5"/>
      <c r="L127" s="207"/>
    </row>
    <row r="128" spans="5:12" ht="15" customHeight="1" x14ac:dyDescent="0.2">
      <c r="E128" s="25" t="str" cm="1">
        <f t="array" ref="E128">$G$12:$G$12</f>
        <v>one;two;three</v>
      </c>
      <c r="L128" s="207"/>
    </row>
    <row r="129" spans="5:12" ht="12.75" x14ac:dyDescent="0.2">
      <c r="L129" s="207"/>
    </row>
    <row r="130" spans="5:12" ht="12.75" x14ac:dyDescent="0.2">
      <c r="L130" s="207"/>
    </row>
    <row r="131" spans="5:12" ht="12.75" x14ac:dyDescent="0.2">
      <c r="K131" s="24" t="s">
        <v>1940</v>
      </c>
      <c r="L131" s="24" t="s">
        <v>1941</v>
      </c>
    </row>
    <row r="132" spans="5:12" ht="15" customHeight="1" x14ac:dyDescent="0.2">
      <c r="E132" s="209" t="s">
        <v>2200</v>
      </c>
      <c r="F132" s="148"/>
      <c r="G132" s="148"/>
      <c r="H132" s="148"/>
      <c r="I132" s="148"/>
      <c r="J132" s="148"/>
      <c r="K132" s="77" t="s">
        <v>1947</v>
      </c>
      <c r="L132" s="207" t="s">
        <v>1976</v>
      </c>
    </row>
    <row r="133" spans="5:12" ht="15" customHeight="1" x14ac:dyDescent="0.2">
      <c r="E133" s="26" t="str" cm="1">
        <f t="array" ref="E133:E135">TRIM(_xlfn.TEXTSPLIT($G$12:$G$12,,$E$127,TRUE))</f>
        <v>one</v>
      </c>
      <c r="L133" s="208"/>
    </row>
    <row r="134" spans="5:12" ht="12.75" x14ac:dyDescent="0.2">
      <c r="E134" t="str">
        <v>two</v>
      </c>
      <c r="L134" s="208"/>
    </row>
    <row r="135" spans="5:12" ht="12.75" x14ac:dyDescent="0.2">
      <c r="E135" t="str">
        <v>three</v>
      </c>
      <c r="L135" s="208"/>
    </row>
    <row r="136" spans="5:12" ht="12.75" x14ac:dyDescent="0.2">
      <c r="L136" s="208"/>
    </row>
    <row r="137" spans="5:12" ht="25.5" customHeight="1" x14ac:dyDescent="0.2">
      <c r="E137" s="152" t="s">
        <v>624</v>
      </c>
      <c r="F137" s="152"/>
      <c r="G137" s="152"/>
      <c r="H137" s="152"/>
      <c r="I137" s="152"/>
      <c r="J137" s="152"/>
    </row>
    <row r="138" spans="5:12" ht="25.5" customHeight="1" x14ac:dyDescent="0.2">
      <c r="E138" s="172" t="s">
        <v>2010</v>
      </c>
      <c r="F138" s="173"/>
      <c r="G138" s="173"/>
      <c r="H138" s="173"/>
      <c r="I138" s="173"/>
      <c r="J138" s="174"/>
    </row>
    <row r="139" spans="5:12" ht="15" customHeight="1" x14ac:dyDescent="0.2">
      <c r="E139" s="147" t="s">
        <v>1659</v>
      </c>
      <c r="F139" s="147"/>
      <c r="G139" s="147"/>
      <c r="H139" s="147"/>
      <c r="I139" s="147"/>
      <c r="J139" s="147"/>
    </row>
    <row r="140" spans="5:12" ht="12.75" x14ac:dyDescent="0.2"/>
    <row r="141" spans="5:12" ht="12.75" x14ac:dyDescent="0.2"/>
    <row r="142" spans="5:12" ht="15.75" customHeight="1" x14ac:dyDescent="0.2">
      <c r="E142" s="159" t="s">
        <v>625</v>
      </c>
      <c r="F142" s="159"/>
      <c r="G142" s="159"/>
      <c r="H142" s="159"/>
      <c r="I142" s="159"/>
      <c r="J142" s="159"/>
      <c r="K142" s="52" t="s">
        <v>626</v>
      </c>
    </row>
    <row r="143" spans="5:12" ht="25.5" customHeight="1" x14ac:dyDescent="0.2">
      <c r="E143" s="152" t="s">
        <v>2083</v>
      </c>
      <c r="F143" s="149"/>
      <c r="G143" s="149"/>
      <c r="H143" s="149"/>
      <c r="I143" s="149"/>
      <c r="J143" s="149"/>
    </row>
    <row r="144" spans="5:12" ht="15" customHeight="1" x14ac:dyDescent="0.2">
      <c r="E144" s="147" t="s">
        <v>627</v>
      </c>
      <c r="F144" s="149"/>
      <c r="G144" s="149"/>
      <c r="H144" s="149"/>
      <c r="I144" s="149"/>
      <c r="J144" s="149"/>
    </row>
    <row r="145" spans="5:12" ht="12.75" x14ac:dyDescent="0.2"/>
    <row r="146" spans="5:12" ht="15" customHeight="1" x14ac:dyDescent="0.2">
      <c r="E146" s="202" t="s">
        <v>1729</v>
      </c>
      <c r="F146" s="203"/>
      <c r="G146" s="203"/>
      <c r="H146" s="203"/>
      <c r="I146" s="203"/>
      <c r="J146" s="204"/>
    </row>
    <row r="147" spans="5:12" ht="15" customHeight="1" x14ac:dyDescent="0.2">
      <c r="E147" s="147" t="s">
        <v>462</v>
      </c>
      <c r="F147" s="149"/>
      <c r="G147" s="149"/>
      <c r="H147" s="149"/>
      <c r="I147" s="149"/>
      <c r="J147" s="149"/>
    </row>
    <row r="148" spans="5:12" ht="15" customHeight="1" x14ac:dyDescent="0.2">
      <c r="E148" s="147" t="s">
        <v>628</v>
      </c>
      <c r="F148" s="149"/>
      <c r="G148" s="149"/>
      <c r="H148" s="149"/>
      <c r="I148" s="149"/>
      <c r="J148" s="149"/>
    </row>
    <row r="149" spans="5:12" ht="12.75" x14ac:dyDescent="0.2"/>
    <row r="150" spans="5:12" ht="15" customHeight="1" x14ac:dyDescent="0.2">
      <c r="E150" s="147" t="s">
        <v>1394</v>
      </c>
      <c r="F150" s="147"/>
      <c r="G150" s="147"/>
      <c r="H150" s="147"/>
      <c r="I150" s="147"/>
      <c r="J150" s="147"/>
      <c r="K150" s="24" t="s">
        <v>1938</v>
      </c>
      <c r="L150" s="24" t="s">
        <v>1939</v>
      </c>
    </row>
    <row r="151" spans="5:12" ht="15" customHeight="1" x14ac:dyDescent="0.2">
      <c r="E151" s="209" t="s">
        <v>623</v>
      </c>
      <c r="F151" s="148"/>
      <c r="G151" s="148"/>
      <c r="H151" s="148"/>
      <c r="I151" s="148"/>
      <c r="J151" s="148"/>
      <c r="K151" s="5" t="s">
        <v>629</v>
      </c>
      <c r="L151" s="207" t="s">
        <v>585</v>
      </c>
    </row>
    <row r="152" spans="5:12" ht="15" customHeight="1" x14ac:dyDescent="0.2">
      <c r="E152" s="25" t="str" cm="1">
        <f t="array" ref="E152">$G$12:$G$12</f>
        <v>one;two;three</v>
      </c>
      <c r="L152" s="207"/>
    </row>
    <row r="153" spans="5:12" ht="12.75" x14ac:dyDescent="0.2">
      <c r="K153" s="24" t="s">
        <v>1940</v>
      </c>
      <c r="L153" s="24" t="s">
        <v>1941</v>
      </c>
    </row>
    <row r="154" spans="5:12" ht="15" customHeight="1" x14ac:dyDescent="0.2">
      <c r="E154" s="209" t="s">
        <v>630</v>
      </c>
      <c r="F154" s="148"/>
      <c r="G154" s="148"/>
      <c r="H154" s="148"/>
      <c r="I154" s="148"/>
      <c r="J154" s="148"/>
      <c r="K154" s="77" t="s">
        <v>1978</v>
      </c>
      <c r="L154" s="207" t="s">
        <v>1977</v>
      </c>
    </row>
    <row r="155" spans="5:12" ht="15" customHeight="1" x14ac:dyDescent="0.2">
      <c r="E155" s="26" t="str" cm="1">
        <f t="array" ref="E155:G155">TRIM(_xlfn.TEXTSPLIT($G$12:$G$12,";",,TRUE))</f>
        <v>one</v>
      </c>
      <c r="F155" t="str">
        <v>two</v>
      </c>
      <c r="G155" t="str">
        <v>three</v>
      </c>
      <c r="L155" s="208"/>
    </row>
    <row r="156" spans="5:12" ht="12.75" x14ac:dyDescent="0.2">
      <c r="L156" s="208"/>
    </row>
    <row r="157" spans="5:12" ht="25.5" customHeight="1" x14ac:dyDescent="0.2">
      <c r="E157" s="152" t="s">
        <v>1404</v>
      </c>
      <c r="F157" s="152"/>
      <c r="G157" s="152"/>
      <c r="H157" s="152"/>
      <c r="I157" s="152"/>
      <c r="J157" s="152"/>
    </row>
    <row r="158" spans="5:12" ht="25.5" customHeight="1" x14ac:dyDescent="0.2">
      <c r="E158" s="172" t="s">
        <v>1824</v>
      </c>
      <c r="F158" s="173"/>
      <c r="G158" s="173"/>
      <c r="H158" s="173"/>
      <c r="I158" s="173"/>
      <c r="J158" s="174"/>
    </row>
    <row r="159" spans="5:12" ht="15" customHeight="1" x14ac:dyDescent="0.2">
      <c r="E159" s="147" t="s">
        <v>1658</v>
      </c>
      <c r="F159" s="147"/>
      <c r="G159" s="147"/>
      <c r="H159" s="147"/>
      <c r="I159" s="147"/>
      <c r="J159" s="147"/>
    </row>
    <row r="160" spans="5:12" ht="12.75" x14ac:dyDescent="0.2"/>
    <row r="161" spans="5:12" ht="12.75" x14ac:dyDescent="0.2"/>
    <row r="162" spans="5:12" ht="15.75" customHeight="1" x14ac:dyDescent="0.2">
      <c r="E162" s="159" t="s">
        <v>631</v>
      </c>
      <c r="F162" s="159"/>
      <c r="G162" s="159"/>
      <c r="H162" s="159"/>
      <c r="I162" s="159"/>
      <c r="J162" s="159"/>
      <c r="K162" s="52" t="s">
        <v>632</v>
      </c>
    </row>
    <row r="163" spans="5:12" ht="25.5" customHeight="1" x14ac:dyDescent="0.2">
      <c r="E163" s="152" t="s">
        <v>1405</v>
      </c>
      <c r="F163" s="152"/>
      <c r="G163" s="152"/>
      <c r="H163" s="152"/>
      <c r="I163" s="152"/>
      <c r="J163" s="152"/>
    </row>
    <row r="164" spans="5:12" ht="15" customHeight="1" x14ac:dyDescent="0.2">
      <c r="E164" s="147" t="s">
        <v>633</v>
      </c>
      <c r="F164" s="149"/>
      <c r="G164" s="149"/>
      <c r="H164" s="149"/>
      <c r="I164" s="149"/>
      <c r="J164" s="149"/>
    </row>
    <row r="165" spans="5:12" ht="12.75" x14ac:dyDescent="0.2"/>
    <row r="166" spans="5:12" ht="15" customHeight="1" x14ac:dyDescent="0.2">
      <c r="E166" s="202" t="s">
        <v>1729</v>
      </c>
      <c r="F166" s="203"/>
      <c r="G166" s="203"/>
      <c r="H166" s="203"/>
      <c r="I166" s="203"/>
      <c r="J166" s="204"/>
    </row>
    <row r="167" spans="5:12" ht="15" customHeight="1" x14ac:dyDescent="0.2">
      <c r="E167" s="147" t="s">
        <v>462</v>
      </c>
      <c r="F167" s="149"/>
      <c r="G167" s="149"/>
      <c r="H167" s="149"/>
      <c r="I167" s="149"/>
      <c r="J167" s="149"/>
    </row>
    <row r="168" spans="5:12" ht="15" customHeight="1" x14ac:dyDescent="0.2">
      <c r="E168" s="147" t="s">
        <v>634</v>
      </c>
      <c r="F168" s="149"/>
      <c r="G168" s="149"/>
      <c r="H168" s="149"/>
      <c r="I168" s="149"/>
      <c r="J168" s="149"/>
    </row>
    <row r="169" spans="5:12" ht="12.75" x14ac:dyDescent="0.2"/>
    <row r="170" spans="5:12" ht="15" customHeight="1" x14ac:dyDescent="0.2">
      <c r="E170" s="22" t="s">
        <v>2081</v>
      </c>
    </row>
    <row r="171" spans="5:12" ht="15" customHeight="1" x14ac:dyDescent="0.2">
      <c r="E171" s="23" t="s">
        <v>1349</v>
      </c>
    </row>
    <row r="172" spans="5:12" ht="15" customHeight="1" x14ac:dyDescent="0.2">
      <c r="E172" s="23" t="s">
        <v>1350</v>
      </c>
    </row>
    <row r="174" spans="5:12" ht="15" customHeight="1" x14ac:dyDescent="0.2">
      <c r="E174" s="147" t="s">
        <v>1394</v>
      </c>
      <c r="F174" s="147"/>
      <c r="G174" s="147"/>
      <c r="H174" s="147"/>
      <c r="I174" s="147"/>
      <c r="J174" s="147"/>
      <c r="K174" s="24" t="s">
        <v>1938</v>
      </c>
      <c r="L174" s="24" t="s">
        <v>1939</v>
      </c>
    </row>
    <row r="175" spans="5:12" ht="15" customHeight="1" x14ac:dyDescent="0.2">
      <c r="E175" s="209" t="s">
        <v>2201</v>
      </c>
      <c r="F175" s="148"/>
      <c r="G175" s="148"/>
      <c r="H175" s="148"/>
      <c r="I175" s="148"/>
      <c r="J175" s="148"/>
      <c r="K175" s="5" t="s">
        <v>2082</v>
      </c>
      <c r="L175" s="207" t="s">
        <v>2091</v>
      </c>
    </row>
    <row r="176" spans="5:12" ht="15" customHeight="1" x14ac:dyDescent="0.2">
      <c r="E176" s="25" t="str" cm="1">
        <f t="array" ref="E176:E177">$E$171:$E$172</f>
        <v>Ada Lovelace</v>
      </c>
      <c r="K176" s="22" t="s">
        <v>1980</v>
      </c>
      <c r="L176" s="207"/>
    </row>
    <row r="177" spans="5:12" ht="12.75" x14ac:dyDescent="0.2">
      <c r="E177" t="str">
        <v>Ada</v>
      </c>
      <c r="L177" s="207"/>
    </row>
    <row r="178" spans="5:12" ht="12.75" x14ac:dyDescent="0.2">
      <c r="K178" s="24" t="s">
        <v>1940</v>
      </c>
      <c r="L178" s="24" t="s">
        <v>1941</v>
      </c>
    </row>
    <row r="179" spans="5:12" ht="15" customHeight="1" x14ac:dyDescent="0.2">
      <c r="E179" s="209" t="s">
        <v>2202</v>
      </c>
      <c r="F179" s="148"/>
      <c r="G179" s="148"/>
      <c r="H179" s="148"/>
      <c r="I179" s="148"/>
      <c r="J179" s="148"/>
      <c r="K179" s="5" t="s">
        <v>1980</v>
      </c>
      <c r="L179" s="207" t="s">
        <v>2092</v>
      </c>
    </row>
    <row r="180" spans="5:12" ht="15" customHeight="1" x14ac:dyDescent="0.2">
      <c r="E180" s="26" t="str" cm="1">
        <f t="array" ref="E180:E181">IFERROR(_xlfn.TEXTBEFORE($E$171:$E$172," "),$E$171:$E$172)</f>
        <v>Ada</v>
      </c>
      <c r="L180" s="207"/>
    </row>
    <row r="181" spans="5:12" ht="12.75" x14ac:dyDescent="0.2">
      <c r="E181" t="str">
        <v>Ada</v>
      </c>
      <c r="L181" s="207"/>
    </row>
    <row r="182" spans="5:12" ht="12.75" x14ac:dyDescent="0.2">
      <c r="L182" s="207"/>
    </row>
    <row r="183" spans="5:12" ht="25.5" customHeight="1" x14ac:dyDescent="0.2">
      <c r="E183" s="152" t="s">
        <v>635</v>
      </c>
      <c r="F183" s="152"/>
      <c r="G183" s="152"/>
      <c r="H183" s="152"/>
      <c r="I183" s="152"/>
      <c r="J183" s="152"/>
    </row>
    <row r="184" spans="5:12" ht="15" customHeight="1" x14ac:dyDescent="0.2">
      <c r="E184" s="172" t="s">
        <v>1825</v>
      </c>
      <c r="F184" s="173"/>
      <c r="G184" s="173"/>
      <c r="H184" s="173"/>
      <c r="I184" s="173"/>
      <c r="J184" s="174"/>
    </row>
    <row r="185" spans="5:12" ht="12.75" x14ac:dyDescent="0.2"/>
    <row r="186" spans="5:12" ht="12.75" x14ac:dyDescent="0.2"/>
    <row r="187" spans="5:12" ht="15.75" customHeight="1" x14ac:dyDescent="0.2">
      <c r="E187" s="159" t="s">
        <v>636</v>
      </c>
      <c r="F187" s="159"/>
      <c r="G187" s="159"/>
      <c r="H187" s="159"/>
      <c r="I187" s="159"/>
      <c r="J187" s="159"/>
      <c r="K187" s="52" t="s">
        <v>637</v>
      </c>
    </row>
    <row r="188" spans="5:12" ht="25.5" customHeight="1" x14ac:dyDescent="0.2">
      <c r="E188" s="152" t="s">
        <v>1406</v>
      </c>
      <c r="F188" s="152"/>
      <c r="G188" s="152"/>
      <c r="H188" s="152"/>
      <c r="I188" s="152"/>
      <c r="J188" s="152"/>
    </row>
    <row r="189" spans="5:12" ht="15" customHeight="1" x14ac:dyDescent="0.2">
      <c r="E189" s="147" t="s">
        <v>638</v>
      </c>
      <c r="F189" s="149"/>
      <c r="G189" s="149"/>
      <c r="H189" s="149"/>
      <c r="I189" s="149"/>
      <c r="J189" s="149"/>
    </row>
    <row r="190" spans="5:12" ht="12.75" x14ac:dyDescent="0.2"/>
    <row r="191" spans="5:12" ht="15" customHeight="1" x14ac:dyDescent="0.2">
      <c r="E191" s="202" t="s">
        <v>1729</v>
      </c>
      <c r="F191" s="203"/>
      <c r="G191" s="203"/>
      <c r="H191" s="203"/>
      <c r="I191" s="203"/>
      <c r="J191" s="204"/>
    </row>
    <row r="192" spans="5:12" ht="15" customHeight="1" x14ac:dyDescent="0.2">
      <c r="E192" s="147" t="s">
        <v>513</v>
      </c>
      <c r="F192" s="147"/>
      <c r="G192" s="147"/>
      <c r="H192" s="147"/>
      <c r="I192" s="147"/>
      <c r="J192" s="147"/>
    </row>
    <row r="193" spans="5:12" ht="15" customHeight="1" x14ac:dyDescent="0.2">
      <c r="E193" s="147" t="s">
        <v>639</v>
      </c>
      <c r="F193" s="149"/>
      <c r="G193" s="149"/>
      <c r="H193" s="149"/>
      <c r="I193" s="149"/>
      <c r="J193" s="149"/>
    </row>
    <row r="194" spans="5:12" ht="12.75" x14ac:dyDescent="0.2"/>
    <row r="195" spans="5:12" ht="12.75" x14ac:dyDescent="0.2">
      <c r="E195" s="22" t="s">
        <v>2485</v>
      </c>
      <c r="I195" t="s">
        <v>2482</v>
      </c>
    </row>
    <row r="196" spans="5:12" ht="12.75" x14ac:dyDescent="0.2">
      <c r="E196" s="23" t="s">
        <v>640</v>
      </c>
      <c r="F196" s="23" t="s">
        <v>457</v>
      </c>
      <c r="G196" s="23" t="s">
        <v>590</v>
      </c>
      <c r="I196" s="94" t="s">
        <v>642</v>
      </c>
    </row>
    <row r="197" spans="5:12" ht="12.75" x14ac:dyDescent="0.2">
      <c r="E197" s="23" t="s">
        <v>641</v>
      </c>
      <c r="F197" s="23" t="s">
        <v>642</v>
      </c>
      <c r="G197" s="23" t="s">
        <v>643</v>
      </c>
      <c r="I197" s="94" t="s">
        <v>645</v>
      </c>
    </row>
    <row r="198" spans="5:12" ht="12.75" x14ac:dyDescent="0.2">
      <c r="E198" s="23" t="s">
        <v>644</v>
      </c>
      <c r="F198" s="23" t="s">
        <v>645</v>
      </c>
      <c r="G198" s="23" t="s">
        <v>586</v>
      </c>
    </row>
    <row r="199" spans="5:12" ht="12.75" x14ac:dyDescent="0.2"/>
    <row r="200" spans="5:12" ht="15" customHeight="1" x14ac:dyDescent="0.2">
      <c r="E200" s="147" t="s">
        <v>1394</v>
      </c>
      <c r="F200" s="147"/>
      <c r="G200" s="147"/>
      <c r="H200" s="147"/>
      <c r="I200" s="147"/>
      <c r="J200" s="147"/>
      <c r="K200" s="24" t="s">
        <v>1938</v>
      </c>
      <c r="L200" s="24" t="s">
        <v>1939</v>
      </c>
    </row>
    <row r="201" spans="5:12" ht="15" customHeight="1" x14ac:dyDescent="0.2">
      <c r="E201" s="209" t="s">
        <v>2483</v>
      </c>
      <c r="F201" s="148"/>
      <c r="G201" s="148"/>
      <c r="H201" s="148"/>
      <c r="I201" s="148"/>
      <c r="J201" s="148"/>
      <c r="K201" s="5" t="s">
        <v>646</v>
      </c>
      <c r="L201" s="207" t="s">
        <v>1979</v>
      </c>
    </row>
    <row r="202" spans="5:12" ht="15" customHeight="1" x14ac:dyDescent="0.2">
      <c r="E202" s="25" t="str" cm="1">
        <f t="array" ref="E202:E203">$I$196:$I$197</f>
        <v>t</v>
      </c>
      <c r="K202" s="79" t="s">
        <v>1980</v>
      </c>
      <c r="L202" s="207"/>
    </row>
    <row r="203" spans="5:12" ht="12.75" x14ac:dyDescent="0.2">
      <c r="E203" t="str">
        <v>i</v>
      </c>
      <c r="L203" s="207"/>
    </row>
    <row r="204" spans="5:12" ht="12.75" x14ac:dyDescent="0.2">
      <c r="K204" s="24" t="s">
        <v>1940</v>
      </c>
      <c r="L204" s="24" t="s">
        <v>1941</v>
      </c>
    </row>
    <row r="205" spans="5:12" ht="15" customHeight="1" x14ac:dyDescent="0.2">
      <c r="E205" s="209" t="s">
        <v>2484</v>
      </c>
      <c r="F205" s="148"/>
      <c r="G205" s="148"/>
      <c r="H205" s="148"/>
      <c r="I205" s="148"/>
      <c r="J205" s="148"/>
      <c r="K205" s="77" t="s">
        <v>1981</v>
      </c>
      <c r="L205" s="207" t="s">
        <v>2211</v>
      </c>
    </row>
    <row r="206" spans="5:12" ht="15" customHeight="1" x14ac:dyDescent="0.2">
      <c r="E206" s="26" cm="1">
        <f t="array" ref="E206:F207">LkpRCByRow($I$196:$I$197, $E$196:$G$198)</f>
        <v>197</v>
      </c>
      <c r="F206">
        <v>6</v>
      </c>
      <c r="L206" s="208"/>
    </row>
    <row r="207" spans="5:12" ht="12.75" x14ac:dyDescent="0.2">
      <c r="E207">
        <v>198</v>
      </c>
      <c r="F207">
        <v>6</v>
      </c>
      <c r="L207" s="208"/>
    </row>
    <row r="208" spans="5:12" ht="12.75" x14ac:dyDescent="0.2">
      <c r="L208" s="208"/>
    </row>
    <row r="209" spans="5:11" ht="15" customHeight="1" x14ac:dyDescent="0.2">
      <c r="E209" s="152" t="s">
        <v>647</v>
      </c>
      <c r="F209" s="152"/>
      <c r="G209" s="152"/>
      <c r="H209" s="152"/>
      <c r="I209" s="152"/>
      <c r="J209" s="152"/>
    </row>
    <row r="210" spans="5:11" ht="15" customHeight="1" x14ac:dyDescent="0.2">
      <c r="E210" s="172" t="s">
        <v>1826</v>
      </c>
      <c r="F210" s="173"/>
      <c r="G210" s="173"/>
      <c r="H210" s="173"/>
      <c r="I210" s="173"/>
      <c r="J210" s="174"/>
    </row>
    <row r="211" spans="5:11" ht="12.75" x14ac:dyDescent="0.2"/>
    <row r="212" spans="5:11" ht="12.75" x14ac:dyDescent="0.2"/>
    <row r="213" spans="5:11" ht="15.75" customHeight="1" x14ac:dyDescent="0.2">
      <c r="E213" s="159" t="s">
        <v>648</v>
      </c>
      <c r="F213" s="159"/>
      <c r="G213" s="159"/>
      <c r="H213" s="159"/>
      <c r="I213" s="159"/>
      <c r="J213" s="159"/>
      <c r="K213" s="52" t="s">
        <v>649</v>
      </c>
    </row>
    <row r="214" spans="5:11" ht="25.5" customHeight="1" x14ac:dyDescent="0.2">
      <c r="E214" s="152" t="s">
        <v>650</v>
      </c>
      <c r="F214" s="152"/>
      <c r="G214" s="152"/>
      <c r="H214" s="152"/>
      <c r="I214" s="152"/>
      <c r="J214" s="152"/>
    </row>
    <row r="215" spans="5:11" ht="21.75" customHeight="1" x14ac:dyDescent="0.2">
      <c r="E215" s="147" t="s">
        <v>651</v>
      </c>
      <c r="F215" s="147"/>
      <c r="G215" s="147"/>
      <c r="H215" s="147"/>
      <c r="I215" s="147"/>
      <c r="J215" s="147"/>
    </row>
    <row r="216" spans="5:11" ht="12.75" x14ac:dyDescent="0.2"/>
    <row r="217" spans="5:11" ht="15" customHeight="1" x14ac:dyDescent="0.2">
      <c r="E217" s="202" t="s">
        <v>1729</v>
      </c>
      <c r="F217" s="203"/>
      <c r="G217" s="203"/>
      <c r="H217" s="203"/>
      <c r="I217" s="203"/>
      <c r="J217" s="204"/>
    </row>
    <row r="218" spans="5:11" ht="21.75" customHeight="1" x14ac:dyDescent="0.2">
      <c r="E218" s="147" t="s">
        <v>652</v>
      </c>
      <c r="F218" s="147"/>
      <c r="G218" s="147"/>
      <c r="H218" s="147"/>
      <c r="I218" s="147"/>
      <c r="J218" s="147"/>
    </row>
    <row r="219" spans="5:11" ht="15" customHeight="1" x14ac:dyDescent="0.2">
      <c r="E219" s="147" t="s">
        <v>653</v>
      </c>
      <c r="F219" s="149"/>
      <c r="G219" s="149"/>
      <c r="H219" s="149"/>
      <c r="I219" s="149"/>
      <c r="J219" s="149"/>
    </row>
    <row r="220" spans="5:11" ht="12.75" x14ac:dyDescent="0.2"/>
    <row r="221" spans="5:11" ht="12.75" x14ac:dyDescent="0.2">
      <c r="E221" s="22" t="s">
        <v>654</v>
      </c>
    </row>
    <row r="222" spans="5:11" ht="12.75" x14ac:dyDescent="0.2">
      <c r="E222" s="23" t="s">
        <v>452</v>
      </c>
      <c r="F222" s="23">
        <v>10</v>
      </c>
      <c r="G222" s="23" t="s">
        <v>655</v>
      </c>
    </row>
    <row r="223" spans="5:11" ht="12.75" x14ac:dyDescent="0.2">
      <c r="E223" s="23" t="s">
        <v>454</v>
      </c>
      <c r="F223" s="23">
        <v>20</v>
      </c>
      <c r="G223" s="23" t="s">
        <v>656</v>
      </c>
    </row>
    <row r="224" spans="5:11" ht="12.75" x14ac:dyDescent="0.2">
      <c r="E224" s="23" t="s">
        <v>456</v>
      </c>
      <c r="F224" s="23">
        <v>30</v>
      </c>
      <c r="G224" s="23" t="s">
        <v>657</v>
      </c>
    </row>
    <row r="225" spans="5:12" ht="12.75" x14ac:dyDescent="0.2"/>
    <row r="226" spans="5:12" ht="15" customHeight="1" x14ac:dyDescent="0.2">
      <c r="E226" s="147" t="s">
        <v>1394</v>
      </c>
      <c r="F226" s="147"/>
      <c r="G226" s="147"/>
      <c r="H226" s="147"/>
      <c r="I226" s="147"/>
      <c r="J226" s="147"/>
      <c r="K226" s="24" t="s">
        <v>1938</v>
      </c>
      <c r="L226" s="24" t="s">
        <v>1939</v>
      </c>
    </row>
    <row r="227" spans="5:12" ht="15" customHeight="1" x14ac:dyDescent="0.2">
      <c r="E227" s="209" t="s">
        <v>658</v>
      </c>
      <c r="F227" s="148"/>
      <c r="G227" s="148"/>
      <c r="H227" s="148"/>
      <c r="I227" s="148"/>
      <c r="J227" s="148"/>
      <c r="K227" s="5" t="s">
        <v>659</v>
      </c>
      <c r="L227" s="207" t="s">
        <v>1982</v>
      </c>
    </row>
    <row r="228" spans="5:12" ht="15" customHeight="1" x14ac:dyDescent="0.2">
      <c r="E228" s="25" t="str" cm="1">
        <f t="array" ref="E228:E231">$H$12:$H$15</f>
        <v>gamma</v>
      </c>
      <c r="K228" s="79" t="s">
        <v>1973</v>
      </c>
      <c r="L228" s="207"/>
    </row>
    <row r="229" spans="5:12" ht="12.75" x14ac:dyDescent="0.2">
      <c r="E229" t="str">
        <v>alpha</v>
      </c>
      <c r="L229" s="207"/>
    </row>
    <row r="230" spans="5:12" ht="12.75" x14ac:dyDescent="0.2">
      <c r="E230" t="str">
        <v>beta</v>
      </c>
      <c r="L230" s="207"/>
    </row>
    <row r="231" spans="5:12" ht="12.75" x14ac:dyDescent="0.2">
      <c r="E231" t="str">
        <v>gamma</v>
      </c>
      <c r="L231" s="207"/>
    </row>
    <row r="232" spans="5:12" ht="12.75" x14ac:dyDescent="0.2">
      <c r="K232" s="24" t="s">
        <v>1940</v>
      </c>
      <c r="L232" s="24" t="s">
        <v>1941</v>
      </c>
    </row>
    <row r="233" spans="5:12" ht="15" customHeight="1" x14ac:dyDescent="0.2">
      <c r="E233" s="209" t="s">
        <v>660</v>
      </c>
      <c r="F233" s="148"/>
      <c r="G233" s="148"/>
      <c r="H233" s="148"/>
      <c r="I233" s="148"/>
      <c r="J233" s="148"/>
      <c r="K233" s="77" t="s">
        <v>1973</v>
      </c>
      <c r="L233" s="207" t="s">
        <v>1983</v>
      </c>
    </row>
    <row r="234" spans="5:12" ht="15" customHeight="1" x14ac:dyDescent="0.2">
      <c r="E234" s="26" cm="1">
        <f t="array" ref="E234:E237">VLOOKUP($H$12:$H$15,DemoStats,2,FALSE)</f>
        <v>30</v>
      </c>
      <c r="L234" s="208"/>
    </row>
    <row r="235" spans="5:12" ht="12.75" x14ac:dyDescent="0.2">
      <c r="E235">
        <v>10</v>
      </c>
      <c r="L235" s="208"/>
    </row>
    <row r="236" spans="5:12" ht="12.75" x14ac:dyDescent="0.2">
      <c r="E236">
        <v>20</v>
      </c>
      <c r="L236" s="208"/>
    </row>
    <row r="237" spans="5:12" ht="12.75" x14ac:dyDescent="0.2">
      <c r="E237">
        <v>30</v>
      </c>
      <c r="L237" s="208"/>
    </row>
    <row r="238" spans="5:12" ht="12.75" x14ac:dyDescent="0.2">
      <c r="L238" s="208"/>
    </row>
    <row r="239" spans="5:12" ht="25.5" customHeight="1" x14ac:dyDescent="0.2">
      <c r="E239" s="152" t="s">
        <v>1407</v>
      </c>
      <c r="F239" s="152"/>
      <c r="G239" s="152"/>
      <c r="H239" s="152"/>
      <c r="I239" s="152"/>
      <c r="J239" s="152"/>
    </row>
    <row r="240" spans="5:12" ht="15" customHeight="1" x14ac:dyDescent="0.2">
      <c r="E240" s="172" t="s">
        <v>1827</v>
      </c>
      <c r="F240" s="173"/>
      <c r="G240" s="173"/>
      <c r="H240" s="173"/>
      <c r="I240" s="173"/>
      <c r="J240" s="174"/>
    </row>
    <row r="241" spans="5:11" ht="15" customHeight="1" x14ac:dyDescent="0.2">
      <c r="E241" s="147" t="s">
        <v>1657</v>
      </c>
      <c r="F241" s="147"/>
      <c r="G241" s="147"/>
      <c r="H241" s="147"/>
      <c r="I241" s="147"/>
      <c r="J241" s="147"/>
    </row>
    <row r="242" spans="5:11" ht="12.75" x14ac:dyDescent="0.2"/>
    <row r="243" spans="5:11" ht="12.75" x14ac:dyDescent="0.2"/>
    <row r="244" spans="5:11" ht="15.75" customHeight="1" x14ac:dyDescent="0.2">
      <c r="E244" s="159" t="s">
        <v>661</v>
      </c>
      <c r="F244" s="159"/>
      <c r="G244" s="159"/>
      <c r="H244" s="159"/>
      <c r="I244" s="159"/>
      <c r="J244" s="159"/>
      <c r="K244" s="52" t="s">
        <v>662</v>
      </c>
    </row>
    <row r="245" spans="5:11" ht="25.5" customHeight="1" x14ac:dyDescent="0.2">
      <c r="E245" s="152" t="s">
        <v>1408</v>
      </c>
      <c r="F245" s="152"/>
      <c r="G245" s="152"/>
      <c r="H245" s="152"/>
      <c r="I245" s="152"/>
      <c r="J245" s="152"/>
    </row>
    <row r="246" spans="5:11" ht="21.75" customHeight="1" x14ac:dyDescent="0.2">
      <c r="E246" s="147" t="s">
        <v>2078</v>
      </c>
      <c r="F246" s="147"/>
      <c r="G246" s="147"/>
      <c r="H246" s="147"/>
      <c r="I246" s="147"/>
      <c r="J246" s="147"/>
    </row>
    <row r="247" spans="5:11" ht="12.75" x14ac:dyDescent="0.2"/>
    <row r="248" spans="5:11" ht="15" customHeight="1" x14ac:dyDescent="0.2">
      <c r="E248" s="202" t="s">
        <v>1729</v>
      </c>
      <c r="F248" s="203"/>
      <c r="G248" s="203"/>
      <c r="H248" s="203"/>
      <c r="I248" s="203"/>
      <c r="J248" s="204"/>
    </row>
    <row r="249" spans="5:11" ht="21.75" customHeight="1" x14ac:dyDescent="0.2">
      <c r="E249" s="147" t="s">
        <v>2079</v>
      </c>
      <c r="F249" s="147"/>
      <c r="G249" s="147"/>
      <c r="H249" s="147"/>
      <c r="I249" s="147"/>
      <c r="J249" s="147"/>
    </row>
    <row r="250" spans="5:11" ht="15" customHeight="1" x14ac:dyDescent="0.2">
      <c r="E250" s="147" t="s">
        <v>663</v>
      </c>
      <c r="F250" s="149"/>
      <c r="G250" s="149"/>
      <c r="H250" s="149"/>
      <c r="I250" s="149"/>
      <c r="J250" s="149"/>
    </row>
    <row r="251" spans="5:11" ht="12.75" x14ac:dyDescent="0.2"/>
    <row r="252" spans="5:11" ht="12.75" x14ac:dyDescent="0.2">
      <c r="E252" s="22" t="s">
        <v>664</v>
      </c>
    </row>
    <row r="253" spans="5:11" ht="12.75" x14ac:dyDescent="0.2">
      <c r="E253" s="23" t="s">
        <v>665</v>
      </c>
      <c r="F253" s="23" t="s">
        <v>666</v>
      </c>
      <c r="G253" s="23" t="s">
        <v>453</v>
      </c>
      <c r="H253" s="23" t="s">
        <v>667</v>
      </c>
    </row>
    <row r="254" spans="5:11" ht="12.75" x14ac:dyDescent="0.2">
      <c r="E254" s="23" t="s">
        <v>453</v>
      </c>
      <c r="F254" s="23" t="s">
        <v>665</v>
      </c>
      <c r="G254" s="23" t="s">
        <v>666</v>
      </c>
      <c r="H254" s="23" t="s">
        <v>667</v>
      </c>
    </row>
    <row r="255" spans="5:11" ht="12.75" x14ac:dyDescent="0.2">
      <c r="E255" s="23" t="s">
        <v>665</v>
      </c>
      <c r="F255" s="23" t="s">
        <v>666</v>
      </c>
      <c r="G255" s="23" t="s">
        <v>667</v>
      </c>
      <c r="H255" s="23" t="s">
        <v>588</v>
      </c>
    </row>
    <row r="256" spans="5:11" ht="12.75" x14ac:dyDescent="0.2"/>
    <row r="257" spans="5:12" ht="21.75" customHeight="1" x14ac:dyDescent="0.2">
      <c r="E257" s="147" t="s">
        <v>2077</v>
      </c>
      <c r="F257" s="147"/>
      <c r="G257" s="147"/>
      <c r="H257" s="147"/>
      <c r="I257" s="147"/>
      <c r="J257" s="147"/>
      <c r="K257" s="24" t="s">
        <v>1938</v>
      </c>
      <c r="L257" s="24" t="s">
        <v>1939</v>
      </c>
    </row>
    <row r="258" spans="5:12" ht="17.100000000000001" customHeight="1" x14ac:dyDescent="0.2">
      <c r="E258" s="76" t="s">
        <v>1933</v>
      </c>
      <c r="F258" s="23" t="s">
        <v>453</v>
      </c>
      <c r="K258" s="24"/>
      <c r="L258" s="24"/>
    </row>
    <row r="259" spans="5:12" ht="15" customHeight="1" x14ac:dyDescent="0.2">
      <c r="E259" s="209" t="s">
        <v>2203</v>
      </c>
      <c r="F259" s="148"/>
      <c r="G259" s="148"/>
      <c r="H259" s="148"/>
      <c r="I259" s="148"/>
      <c r="J259" s="148"/>
      <c r="K259" s="5" t="s">
        <v>668</v>
      </c>
      <c r="L259" s="207" t="s">
        <v>1984</v>
      </c>
    </row>
    <row r="260" spans="5:12" ht="15" customHeight="1" x14ac:dyDescent="0.2">
      <c r="E260" s="25" t="str" cm="1">
        <f t="array" ref="E260:H262">$E$253:$H$255</f>
        <v>a</v>
      </c>
      <c r="F260" t="str">
        <v>b</v>
      </c>
      <c r="G260" t="str">
        <v>x</v>
      </c>
      <c r="H260" t="str">
        <v>c</v>
      </c>
      <c r="K260" s="79" t="s">
        <v>1985</v>
      </c>
      <c r="L260" s="207"/>
    </row>
    <row r="261" spans="5:12" ht="12.75" x14ac:dyDescent="0.2">
      <c r="E261" t="str">
        <v>x</v>
      </c>
      <c r="F261" t="str">
        <v>a</v>
      </c>
      <c r="G261" t="str">
        <v>b</v>
      </c>
      <c r="H261" t="str">
        <v>c</v>
      </c>
      <c r="L261" s="207"/>
    </row>
    <row r="262" spans="5:12" ht="12.75" x14ac:dyDescent="0.2">
      <c r="E262" t="str">
        <v>a</v>
      </c>
      <c r="F262" t="str">
        <v>b</v>
      </c>
      <c r="G262" t="str">
        <v>c</v>
      </c>
      <c r="H262" t="str">
        <v>d</v>
      </c>
      <c r="L262" s="207"/>
    </row>
    <row r="263" spans="5:12" ht="12.75" x14ac:dyDescent="0.2">
      <c r="K263" s="24" t="s">
        <v>1940</v>
      </c>
      <c r="L263" s="24" t="s">
        <v>1941</v>
      </c>
    </row>
    <row r="264" spans="5:12" ht="38.25" customHeight="1" x14ac:dyDescent="0.2">
      <c r="E264" s="209" t="s">
        <v>2204</v>
      </c>
      <c r="F264" s="148"/>
      <c r="G264" s="148"/>
      <c r="H264" s="148"/>
      <c r="I264" s="148"/>
      <c r="J264" s="148"/>
      <c r="K264" s="77" t="s">
        <v>1947</v>
      </c>
      <c r="L264" s="207" t="s">
        <v>1986</v>
      </c>
    </row>
    <row r="265" spans="5:12" ht="15" customHeight="1" x14ac:dyDescent="0.2">
      <c r="E265" s="26" cm="1">
        <f t="array" ref="E265:E267">_xlfn.LET(_xlpm._a,($E$253:$H$255),_xlpm._v,$F$258,_xlpm._nf,"",_xlfn.BYROW(_xlpm._a,_xlfn.LAMBDA(_xlpm._r,IFERROR(_xlfn.XMATCH(_xlpm._v,_xlpm._r),IF(_xlpm._nf="","never",IFERROR(--_xlpm._nf,_xlpm._nf))))))</f>
        <v>3</v>
      </c>
      <c r="L265" s="208"/>
    </row>
    <row r="266" spans="5:12" ht="12.75" x14ac:dyDescent="0.2">
      <c r="E266">
        <v>1</v>
      </c>
      <c r="L266" s="208"/>
    </row>
    <row r="267" spans="5:12" ht="12.75" x14ac:dyDescent="0.2">
      <c r="E267" t="str">
        <v>never</v>
      </c>
      <c r="L267" s="208"/>
    </row>
    <row r="268" spans="5:12" ht="12.75" x14ac:dyDescent="0.2">
      <c r="L268" s="208"/>
    </row>
    <row r="269" spans="5:12" ht="25.5" customHeight="1" x14ac:dyDescent="0.2">
      <c r="E269" s="152" t="s">
        <v>1409</v>
      </c>
      <c r="F269" s="152"/>
      <c r="G269" s="152"/>
      <c r="H269" s="152"/>
      <c r="I269" s="152"/>
      <c r="J269" s="152"/>
    </row>
    <row r="270" spans="5:12" ht="25.5" customHeight="1" x14ac:dyDescent="0.2">
      <c r="E270" s="172" t="s">
        <v>2080</v>
      </c>
      <c r="F270" s="173"/>
      <c r="G270" s="173"/>
      <c r="H270" s="173"/>
      <c r="I270" s="173"/>
      <c r="J270" s="174"/>
    </row>
    <row r="271" spans="5:12" ht="15" customHeight="1" x14ac:dyDescent="0.2">
      <c r="E271" s="147" t="s">
        <v>1656</v>
      </c>
      <c r="F271" s="147"/>
      <c r="G271" s="147"/>
      <c r="H271" s="147"/>
      <c r="I271" s="147"/>
      <c r="J271" s="147"/>
    </row>
    <row r="272" spans="5:12" ht="12.75" x14ac:dyDescent="0.2"/>
    <row r="273" spans="5:11" ht="12.75" x14ac:dyDescent="0.2"/>
    <row r="274" spans="5:11" ht="15.75" customHeight="1" x14ac:dyDescent="0.2">
      <c r="E274" s="159" t="s">
        <v>669</v>
      </c>
      <c r="F274" s="159"/>
      <c r="G274" s="159"/>
      <c r="H274" s="159"/>
      <c r="I274" s="159"/>
      <c r="J274" s="159"/>
      <c r="K274" s="52" t="s">
        <v>670</v>
      </c>
    </row>
    <row r="275" spans="5:11" ht="25.5" customHeight="1" x14ac:dyDescent="0.2">
      <c r="E275" s="152" t="s">
        <v>2073</v>
      </c>
      <c r="F275" s="152"/>
      <c r="G275" s="152"/>
      <c r="H275" s="152"/>
      <c r="I275" s="152"/>
      <c r="J275" s="152"/>
    </row>
    <row r="276" spans="5:11" ht="21.75" customHeight="1" x14ac:dyDescent="0.2">
      <c r="E276" s="147" t="s">
        <v>2074</v>
      </c>
      <c r="F276" s="147"/>
      <c r="G276" s="147"/>
      <c r="H276" s="147"/>
      <c r="I276" s="147"/>
      <c r="J276" s="147"/>
    </row>
    <row r="277" spans="5:11" ht="12.75" x14ac:dyDescent="0.2"/>
    <row r="278" spans="5:11" ht="15" customHeight="1" x14ac:dyDescent="0.2">
      <c r="E278" s="202" t="s">
        <v>1729</v>
      </c>
      <c r="F278" s="203"/>
      <c r="G278" s="203"/>
      <c r="H278" s="203"/>
      <c r="I278" s="203"/>
      <c r="J278" s="204"/>
    </row>
    <row r="279" spans="5:11" ht="15" customHeight="1" x14ac:dyDescent="0.2">
      <c r="E279" s="147" t="s">
        <v>2075</v>
      </c>
      <c r="F279" s="149"/>
      <c r="G279" s="149"/>
      <c r="H279" s="149"/>
      <c r="I279" s="149"/>
      <c r="J279" s="149"/>
    </row>
    <row r="280" spans="5:11" ht="15" customHeight="1" x14ac:dyDescent="0.2">
      <c r="E280" s="147" t="s">
        <v>671</v>
      </c>
      <c r="F280" s="149"/>
      <c r="G280" s="149"/>
      <c r="H280" s="149"/>
      <c r="I280" s="149"/>
      <c r="J280" s="149"/>
    </row>
    <row r="281" spans="5:11" ht="12.75" x14ac:dyDescent="0.2"/>
    <row r="282" spans="5:11" ht="12.75" x14ac:dyDescent="0.2">
      <c r="E282" s="22" t="s">
        <v>2209</v>
      </c>
    </row>
    <row r="283" spans="5:11" ht="12.75" x14ac:dyDescent="0.2">
      <c r="E283" s="23"/>
      <c r="F283" s="23" t="s">
        <v>586</v>
      </c>
      <c r="G283" s="23" t="s">
        <v>665</v>
      </c>
      <c r="H283" s="23" t="s">
        <v>457</v>
      </c>
    </row>
    <row r="284" spans="5:11" ht="12.75" x14ac:dyDescent="0.2">
      <c r="E284" s="23" t="s">
        <v>672</v>
      </c>
      <c r="F284" s="81"/>
      <c r="G284" s="81"/>
      <c r="H284" s="81"/>
    </row>
    <row r="285" spans="5:11" ht="12.75" x14ac:dyDescent="0.2">
      <c r="E285" s="23" t="s">
        <v>673</v>
      </c>
      <c r="F285" s="81"/>
      <c r="G285" s="81"/>
      <c r="H285" s="81"/>
    </row>
    <row r="286" spans="5:11" ht="12.75" x14ac:dyDescent="0.2">
      <c r="E286" s="23" t="s">
        <v>674</v>
      </c>
      <c r="F286" s="81"/>
      <c r="G286" s="81"/>
      <c r="H286" s="81"/>
    </row>
    <row r="287" spans="5:11" ht="12.75" x14ac:dyDescent="0.2"/>
    <row r="288" spans="5:11" ht="15" customHeight="1" x14ac:dyDescent="0.2">
      <c r="E288" s="147" t="s">
        <v>2210</v>
      </c>
      <c r="F288" s="147"/>
      <c r="G288" s="147"/>
      <c r="H288" s="147"/>
      <c r="I288" s="147"/>
      <c r="J288" s="147"/>
    </row>
    <row r="289" spans="5:12" ht="12.75" x14ac:dyDescent="0.2">
      <c r="K289" s="24" t="s">
        <v>1940</v>
      </c>
      <c r="L289" s="24" t="s">
        <v>1941</v>
      </c>
    </row>
    <row r="290" spans="5:12" ht="15" customHeight="1" x14ac:dyDescent="0.2">
      <c r="E290" s="209" t="s">
        <v>2205</v>
      </c>
      <c r="F290" s="148"/>
      <c r="G290" s="148"/>
      <c r="H290" s="148"/>
      <c r="I290" s="148"/>
      <c r="J290" s="148"/>
      <c r="K290" s="77" t="s">
        <v>1952</v>
      </c>
      <c r="L290" s="207" t="s">
        <v>2090</v>
      </c>
    </row>
    <row r="291" spans="5:12" ht="15" customHeight="1" x14ac:dyDescent="0.2">
      <c r="E291" s="26" cm="1">
        <f t="array" ref="E291:G293">1-ISERROR(FIND($F$283:$H$283,$E$284:$E$286))</f>
        <v>0</v>
      </c>
      <c r="F291">
        <v>1</v>
      </c>
      <c r="G291">
        <v>0</v>
      </c>
      <c r="L291" s="208"/>
    </row>
    <row r="292" spans="5:12" ht="12.75" x14ac:dyDescent="0.2">
      <c r="E292">
        <v>1</v>
      </c>
      <c r="F292">
        <v>0</v>
      </c>
      <c r="G292">
        <v>0</v>
      </c>
      <c r="L292" s="208"/>
    </row>
    <row r="293" spans="5:12" ht="12.75" x14ac:dyDescent="0.2">
      <c r="E293">
        <v>1</v>
      </c>
      <c r="F293">
        <v>0</v>
      </c>
      <c r="G293">
        <v>1</v>
      </c>
      <c r="L293" s="208"/>
    </row>
    <row r="294" spans="5:12" ht="12.75" x14ac:dyDescent="0.2">
      <c r="L294" s="208"/>
    </row>
    <row r="295" spans="5:12" ht="12.75" x14ac:dyDescent="0.2">
      <c r="L295" s="208"/>
    </row>
    <row r="296" spans="5:12" ht="12.75" x14ac:dyDescent="0.2">
      <c r="L296" s="208"/>
    </row>
    <row r="297" spans="5:12" ht="12.75" x14ac:dyDescent="0.2">
      <c r="L297" s="208"/>
    </row>
    <row r="298" spans="5:12" ht="12.75" x14ac:dyDescent="0.2">
      <c r="L298" s="208"/>
    </row>
    <row r="299" spans="5:12" ht="12.75" x14ac:dyDescent="0.2">
      <c r="L299" s="208"/>
    </row>
    <row r="300" spans="5:12" ht="25.5" customHeight="1" x14ac:dyDescent="0.2">
      <c r="E300" s="152" t="s">
        <v>675</v>
      </c>
      <c r="F300" s="152"/>
      <c r="G300" s="152"/>
      <c r="H300" s="152"/>
      <c r="I300" s="152"/>
      <c r="J300" s="152"/>
    </row>
    <row r="301" spans="5:12" ht="25.5" customHeight="1" x14ac:dyDescent="0.2">
      <c r="E301" s="172" t="s">
        <v>2076</v>
      </c>
      <c r="F301" s="173"/>
      <c r="G301" s="173"/>
      <c r="H301" s="173"/>
      <c r="I301" s="173"/>
      <c r="J301" s="174"/>
    </row>
    <row r="302" spans="5:12" ht="12.75" x14ac:dyDescent="0.2"/>
    <row r="303" spans="5:12" ht="12.75" x14ac:dyDescent="0.2"/>
    <row r="304" spans="5:12" ht="15.75" customHeight="1" x14ac:dyDescent="0.2">
      <c r="E304" s="159" t="s">
        <v>676</v>
      </c>
      <c r="F304" s="159"/>
      <c r="G304" s="159"/>
      <c r="H304" s="159"/>
      <c r="I304" s="159"/>
      <c r="J304" s="159"/>
      <c r="K304" s="52" t="s">
        <v>677</v>
      </c>
    </row>
    <row r="305" spans="5:12" ht="15" customHeight="1" x14ac:dyDescent="0.2">
      <c r="E305" s="152" t="s">
        <v>1410</v>
      </c>
      <c r="F305" s="152"/>
      <c r="G305" s="152"/>
      <c r="H305" s="152"/>
      <c r="I305" s="152"/>
      <c r="J305" s="152"/>
    </row>
    <row r="306" spans="5:12" ht="15" customHeight="1" x14ac:dyDescent="0.2">
      <c r="E306" s="147" t="s">
        <v>678</v>
      </c>
      <c r="F306" s="147"/>
      <c r="G306" s="147"/>
      <c r="H306" s="147"/>
      <c r="I306" s="147"/>
      <c r="J306" s="147"/>
    </row>
    <row r="307" spans="5:12" ht="12.75" x14ac:dyDescent="0.2"/>
    <row r="308" spans="5:12" ht="15" customHeight="1" x14ac:dyDescent="0.2">
      <c r="E308" s="202" t="s">
        <v>1729</v>
      </c>
      <c r="F308" s="203"/>
      <c r="G308" s="203"/>
      <c r="H308" s="203"/>
      <c r="I308" s="203"/>
      <c r="J308" s="204"/>
    </row>
    <row r="309" spans="5:12" ht="15" customHeight="1" x14ac:dyDescent="0.2">
      <c r="E309" s="147" t="s">
        <v>513</v>
      </c>
      <c r="F309" s="147"/>
      <c r="G309" s="147"/>
      <c r="H309" s="147"/>
      <c r="I309" s="147"/>
      <c r="J309" s="147"/>
    </row>
    <row r="310" spans="5:12" ht="15" customHeight="1" x14ac:dyDescent="0.2">
      <c r="E310" s="147" t="s">
        <v>679</v>
      </c>
      <c r="F310" s="149"/>
      <c r="G310" s="149"/>
      <c r="H310" s="149"/>
      <c r="I310" s="149"/>
      <c r="J310" s="149"/>
    </row>
    <row r="311" spans="5:12" ht="12.75" x14ac:dyDescent="0.2"/>
    <row r="312" spans="5:12" ht="15" customHeight="1" x14ac:dyDescent="0.2">
      <c r="E312" s="147" t="s">
        <v>2072</v>
      </c>
      <c r="F312" s="147"/>
      <c r="G312" s="147"/>
      <c r="H312" s="147"/>
      <c r="I312" s="147"/>
      <c r="J312" s="147"/>
      <c r="K312" s="24" t="s">
        <v>1938</v>
      </c>
      <c r="L312" s="24" t="s">
        <v>1939</v>
      </c>
    </row>
    <row r="313" spans="5:12" ht="17.100000000000001" customHeight="1" x14ac:dyDescent="0.2">
      <c r="E313" s="76" t="s">
        <v>1933</v>
      </c>
      <c r="F313" s="23" t="s">
        <v>1364</v>
      </c>
      <c r="K313" s="24"/>
      <c r="L313" s="24"/>
    </row>
    <row r="314" spans="5:12" ht="15" customHeight="1" x14ac:dyDescent="0.2">
      <c r="E314" s="209" t="s">
        <v>680</v>
      </c>
      <c r="F314" s="148"/>
      <c r="G314" s="148"/>
      <c r="H314" s="148"/>
      <c r="I314" s="148"/>
      <c r="J314" s="148"/>
      <c r="K314" s="5" t="s">
        <v>681</v>
      </c>
      <c r="L314" s="207" t="s">
        <v>1351</v>
      </c>
    </row>
    <row r="315" spans="5:12" ht="15" customHeight="1" x14ac:dyDescent="0.2">
      <c r="E315" s="25" t="str">
        <f>"C4"</f>
        <v>C4</v>
      </c>
      <c r="L315" s="207"/>
    </row>
    <row r="316" spans="5:12" ht="12.75" x14ac:dyDescent="0.2">
      <c r="K316" s="24" t="s">
        <v>1940</v>
      </c>
      <c r="L316" s="24" t="s">
        <v>1941</v>
      </c>
    </row>
    <row r="317" spans="5:12" ht="15" customHeight="1" x14ac:dyDescent="0.2">
      <c r="E317" s="209" t="s">
        <v>682</v>
      </c>
      <c r="F317" s="148"/>
      <c r="G317" s="148"/>
      <c r="H317" s="148"/>
      <c r="I317" s="148"/>
      <c r="J317" s="148"/>
      <c r="K317" s="5"/>
      <c r="L317" s="207" t="s">
        <v>1352</v>
      </c>
    </row>
    <row r="318" spans="5:12" ht="15" customHeight="1" x14ac:dyDescent="0.2">
      <c r="E318" s="26" t="str" cm="1">
        <f t="array" aca="1" ref="E318" ca="1">ARROWSHIFT_byEmilieWilliams("C4", "→")</f>
        <v>D4</v>
      </c>
      <c r="L318" s="208"/>
    </row>
    <row r="319" spans="5:12" ht="12.75" x14ac:dyDescent="0.2">
      <c r="L319" s="208"/>
    </row>
    <row r="320" spans="5:12" ht="25.5" customHeight="1" x14ac:dyDescent="0.2">
      <c r="E320" s="152" t="s">
        <v>683</v>
      </c>
      <c r="F320" s="152"/>
      <c r="G320" s="152"/>
      <c r="H320" s="152"/>
      <c r="I320" s="152"/>
      <c r="J320" s="152"/>
    </row>
    <row r="321" spans="5:10" ht="15" customHeight="1" x14ac:dyDescent="0.2">
      <c r="E321" s="172" t="s">
        <v>1828</v>
      </c>
      <c r="F321" s="173"/>
      <c r="G321" s="173"/>
      <c r="H321" s="173"/>
      <c r="I321" s="173"/>
      <c r="J321" s="174"/>
    </row>
    <row r="322" spans="5:10" ht="15" customHeight="1" x14ac:dyDescent="0.2">
      <c r="E322" s="147" t="s">
        <v>1655</v>
      </c>
      <c r="F322" s="147"/>
      <c r="G322" s="147"/>
      <c r="H322" s="147"/>
      <c r="I322" s="147"/>
      <c r="J322" s="147"/>
    </row>
    <row r="323" spans="5:10" ht="12.75" x14ac:dyDescent="0.2"/>
  </sheetData>
  <mergeCells count="162">
    <mergeCell ref="L259:L262"/>
    <mergeCell ref="L314:L315"/>
    <mergeCell ref="L179:L182"/>
    <mergeCell ref="E27:J27"/>
    <mergeCell ref="E52:J52"/>
    <mergeCell ref="E77:J77"/>
    <mergeCell ref="E98:J98"/>
    <mergeCell ref="E125:J125"/>
    <mergeCell ref="E150:J150"/>
    <mergeCell ref="E174:J174"/>
    <mergeCell ref="E200:J200"/>
    <mergeCell ref="E226:J226"/>
    <mergeCell ref="E257:J257"/>
    <mergeCell ref="E288:J288"/>
    <mergeCell ref="E312:J312"/>
    <mergeCell ref="L28:L32"/>
    <mergeCell ref="L53:L57"/>
    <mergeCell ref="L78:L82"/>
    <mergeCell ref="L99:L103"/>
    <mergeCell ref="L126:L130"/>
    <mergeCell ref="L151:L152"/>
    <mergeCell ref="L175:L177"/>
    <mergeCell ref="L201:L203"/>
    <mergeCell ref="L227:L231"/>
    <mergeCell ref="E69:J69"/>
    <mergeCell ref="E66:J66"/>
    <mergeCell ref="E65:J65"/>
    <mergeCell ref="E46:J46"/>
    <mergeCell ref="E44:J44"/>
    <mergeCell ref="E41:J41"/>
    <mergeCell ref="E40:J40"/>
    <mergeCell ref="E21:J21"/>
    <mergeCell ref="E118:J118"/>
    <mergeCell ref="E117:J117"/>
    <mergeCell ref="E114:J114"/>
    <mergeCell ref="E112:J112"/>
    <mergeCell ref="E111:J111"/>
    <mergeCell ref="E92:J92"/>
    <mergeCell ref="E90:J90"/>
    <mergeCell ref="E87:J87"/>
    <mergeCell ref="E71:J71"/>
    <mergeCell ref="E59:J59"/>
    <mergeCell ref="E99:J99"/>
    <mergeCell ref="E49:J49"/>
    <mergeCell ref="E24:J24"/>
    <mergeCell ref="E53:J53"/>
    <mergeCell ref="E34:J34"/>
    <mergeCell ref="E75:J75"/>
    <mergeCell ref="E138:J138"/>
    <mergeCell ref="E137:J137"/>
    <mergeCell ref="E144:J144"/>
    <mergeCell ref="E143:J143"/>
    <mergeCell ref="E322:J322"/>
    <mergeCell ref="E321:J321"/>
    <mergeCell ref="E320:J320"/>
    <mergeCell ref="E309:J309"/>
    <mergeCell ref="E306:J306"/>
    <mergeCell ref="E305:J305"/>
    <mergeCell ref="E304:J304"/>
    <mergeCell ref="E301:J301"/>
    <mergeCell ref="E300:J300"/>
    <mergeCell ref="E314:J314"/>
    <mergeCell ref="E310:J310"/>
    <mergeCell ref="E317:J317"/>
    <mergeCell ref="E308:J308"/>
    <mergeCell ref="E290:J290"/>
    <mergeCell ref="L34:L39"/>
    <mergeCell ref="E167:J167"/>
    <mergeCell ref="E95:J95"/>
    <mergeCell ref="E276:J276"/>
    <mergeCell ref="E275:J275"/>
    <mergeCell ref="E274:J274"/>
    <mergeCell ref="E271:J271"/>
    <mergeCell ref="E270:J270"/>
    <mergeCell ref="E269:J269"/>
    <mergeCell ref="E249:J249"/>
    <mergeCell ref="E246:J246"/>
    <mergeCell ref="E250:J250"/>
    <mergeCell ref="E264:J264"/>
    <mergeCell ref="E248:J248"/>
    <mergeCell ref="E132:J132"/>
    <mergeCell ref="E123:J123"/>
    <mergeCell ref="E122:J122"/>
    <mergeCell ref="E214:J214"/>
    <mergeCell ref="E146:J146"/>
    <mergeCell ref="L84:L86"/>
    <mergeCell ref="E166:J166"/>
    <mergeCell ref="E163:J163"/>
    <mergeCell ref="E162:J162"/>
    <mergeCell ref="E159:J159"/>
    <mergeCell ref="E96:J96"/>
    <mergeCell ref="L317:L319"/>
    <mergeCell ref="E148:J148"/>
    <mergeCell ref="E280:J280"/>
    <mergeCell ref="E245:J245"/>
    <mergeCell ref="E244:J244"/>
    <mergeCell ref="E241:J241"/>
    <mergeCell ref="E240:J240"/>
    <mergeCell ref="E239:J239"/>
    <mergeCell ref="E218:J218"/>
    <mergeCell ref="E215:J215"/>
    <mergeCell ref="L105:L110"/>
    <mergeCell ref="L132:L136"/>
    <mergeCell ref="E119:J119"/>
    <mergeCell ref="E105:J105"/>
    <mergeCell ref="E213:J213"/>
    <mergeCell ref="E210:J210"/>
    <mergeCell ref="L290:L299"/>
    <mergeCell ref="E175:J175"/>
    <mergeCell ref="E259:J259"/>
    <mergeCell ref="E158:J158"/>
    <mergeCell ref="E157:J157"/>
    <mergeCell ref="E142:J142"/>
    <mergeCell ref="E139:J139"/>
    <mergeCell ref="E48:J48"/>
    <mergeCell ref="E147:J147"/>
    <mergeCell ref="E50:J50"/>
    <mergeCell ref="E219:J219"/>
    <mergeCell ref="E278:J278"/>
    <mergeCell ref="E78:J78"/>
    <mergeCell ref="L205:L208"/>
    <mergeCell ref="L154:L156"/>
    <mergeCell ref="E233:J233"/>
    <mergeCell ref="E84:J84"/>
    <mergeCell ref="E227:J227"/>
    <mergeCell ref="E70:J70"/>
    <mergeCell ref="E168:J168"/>
    <mergeCell ref="L264:L268"/>
    <mergeCell ref="L233:L238"/>
    <mergeCell ref="E217:J217"/>
    <mergeCell ref="E189:J189"/>
    <mergeCell ref="L59:L64"/>
    <mergeCell ref="E73:J73"/>
    <mergeCell ref="E209:J209"/>
    <mergeCell ref="E121:J121"/>
    <mergeCell ref="E164:J164"/>
    <mergeCell ref="E74:J74"/>
    <mergeCell ref="E205:J205"/>
    <mergeCell ref="K18:K19"/>
    <mergeCell ref="E28:J28"/>
    <mergeCell ref="E193:J193"/>
    <mergeCell ref="E18:J19"/>
    <mergeCell ref="E279:J279"/>
    <mergeCell ref="E3:L4"/>
    <mergeCell ref="E154:J154"/>
    <mergeCell ref="E201:J201"/>
    <mergeCell ref="E179:J179"/>
    <mergeCell ref="E6:J8"/>
    <mergeCell ref="E23:J23"/>
    <mergeCell ref="E20:J20"/>
    <mergeCell ref="E45:J45"/>
    <mergeCell ref="E192:J192"/>
    <mergeCell ref="E188:J188"/>
    <mergeCell ref="E187:J187"/>
    <mergeCell ref="E184:J184"/>
    <mergeCell ref="E183:J183"/>
    <mergeCell ref="E151:J151"/>
    <mergeCell ref="E91:J91"/>
    <mergeCell ref="E191:J191"/>
    <mergeCell ref="E25:J25"/>
    <mergeCell ref="E94:J94"/>
    <mergeCell ref="E126:J126"/>
  </mergeCells>
  <hyperlinks>
    <hyperlink ref="B2" location="'Start here'!E6" tooltip="back to Start here" display="⌂  CompBot Tutorial" xr:uid="{00000000-0004-0000-0800-000000000000}"/>
    <hyperlink ref="B6" location="'Start here'!E6" display="▸  START" xr:uid="{D0C586FE-A6E3-4B87-A598-6B94A691572D}"/>
    <hyperlink ref="B7" location="'C1 Your machine'!E6" display="▾  COMMANDS" xr:uid="{04CF3A66-DCFE-4398-AF1D-B41219FB65D7}"/>
    <hyperlink ref="B8" location="'C1 Your machine'!E6" display="C1 Your machine" xr:uid="{7202BB90-43F3-49B0-942C-CEED01F297BE}"/>
    <hyperlink ref="B9" location="'C2 Open the case'!E6" display="C2 Open the case" xr:uid="{FEE37A29-52E6-43DE-9CA2-457C22B42FE5}"/>
    <hyperlink ref="B10" location="'C3 Read the questions'!E6" display="C3 Read the questions" xr:uid="{7364281F-77FB-4A33-A709-4B5401FB1A97}"/>
    <hyperlink ref="B11" location="'C4 Solve a level'!E6" display="C4 Solve a level" xr:uid="{4ECDA7C0-01E7-4EBB-9B96-BC7A7BF719FB}"/>
    <hyperlink ref="B12" location="'C5 Wrap a formula'!E6" display="C5 Wrap a formula" xr:uid="{25163C80-B1C4-4EB3-BCCD-6017965F6C29}"/>
    <hyperlink ref="B14" location="'C7 Maps, grids and sheets'!E6" display="C7 Maps, grids and sheets" xr:uid="{1FE6F38B-1AF1-40C4-BC83-D029AA8ABB1F}"/>
    <hyperlink ref="B15" location="'C8 Housekeeping'!E6" display="C8 Housekeeping" xr:uid="{618AB9F7-E076-42DB-8AC9-166B488BF480}"/>
    <hyperlink ref="B16" location="'Demo maps'!E6" display="▸  DEMO SHEETS" xr:uid="{7160B5E5-53CF-479A-B5AE-6FE047D55472}"/>
    <hyperlink ref="B17" location="'Level 1 Basics'!E6" display="▸  LAMBDAS" xr:uid="{D0198786-F973-4FD0-BF21-30D402F1165B}"/>
    <hyperlink ref="B19" location="'Command cheat sheet'!E6" display="▸  REFERENCE" xr:uid="{15C675C9-0A59-456B-988B-3CCE18E4612D}"/>
    <hyperlink ref="B18" location="'I1 The Alves Method'!E6" display="▸  INSIDER" xr:uid="{95EBB0C8-EF17-4265-B333-E305F8569FF4}"/>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1A5FB4"/>
  </sheetPr>
  <dimension ref="A1:L471"/>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9" customWidth="1"/>
    <col min="2" max="2" width="27" style="19" customWidth="1"/>
    <col min="3" max="3" width="1.5" style="19" customWidth="1"/>
    <col min="4" max="4" width="2.5" customWidth="1"/>
    <col min="5" max="10" width="14.5" customWidth="1"/>
    <col min="11" max="11" width="44" customWidth="1"/>
    <col min="12" max="12" width="46" customWidth="1"/>
  </cols>
  <sheetData>
    <row r="1" spans="2:12" ht="12.75" x14ac:dyDescent="0.2"/>
    <row r="2" spans="2:12" ht="30" customHeight="1" x14ac:dyDescent="0.3">
      <c r="B2" s="20" t="s">
        <v>0</v>
      </c>
      <c r="E2" s="3" t="s">
        <v>684</v>
      </c>
    </row>
    <row r="3" spans="2:12" ht="15" customHeight="1" x14ac:dyDescent="0.2">
      <c r="B3" s="21" t="s">
        <v>2</v>
      </c>
      <c r="E3" s="147" t="s">
        <v>685</v>
      </c>
      <c r="F3" s="148"/>
      <c r="G3" s="148"/>
      <c r="H3" s="148"/>
      <c r="I3" s="148"/>
      <c r="J3" s="148"/>
      <c r="K3" s="148"/>
      <c r="L3" s="148"/>
    </row>
    <row r="4" spans="2:12" ht="15" customHeight="1" x14ac:dyDescent="0.2">
      <c r="E4" s="148"/>
      <c r="F4" s="148"/>
      <c r="G4" s="148"/>
      <c r="H4" s="148"/>
      <c r="I4" s="148"/>
      <c r="J4" s="148"/>
      <c r="K4" s="148"/>
      <c r="L4" s="148"/>
    </row>
    <row r="5" spans="2:12" ht="12.75" x14ac:dyDescent="0.2">
      <c r="E5" s="196" t="s">
        <v>1858</v>
      </c>
      <c r="F5" s="197"/>
      <c r="G5" s="197"/>
      <c r="H5" s="197"/>
      <c r="I5" s="197"/>
      <c r="J5" s="197"/>
      <c r="K5" s="197"/>
      <c r="L5" s="197"/>
    </row>
    <row r="6" spans="2:12" ht="15" customHeight="1" x14ac:dyDescent="0.2">
      <c r="B6" s="103" t="s">
        <v>315</v>
      </c>
      <c r="E6" s="151" t="s">
        <v>686</v>
      </c>
      <c r="F6" s="148"/>
      <c r="G6" s="148"/>
      <c r="H6" s="148"/>
      <c r="I6" s="148"/>
      <c r="J6" s="148"/>
      <c r="K6" s="148"/>
      <c r="L6" s="148"/>
    </row>
    <row r="7" spans="2:12" ht="15" customHeight="1" x14ac:dyDescent="0.2">
      <c r="B7" s="103" t="s">
        <v>317</v>
      </c>
      <c r="E7" s="148"/>
      <c r="F7" s="148"/>
      <c r="G7" s="148"/>
      <c r="H7" s="148"/>
      <c r="I7" s="148"/>
      <c r="J7" s="148"/>
      <c r="K7" s="148"/>
      <c r="L7" s="148"/>
    </row>
    <row r="8" spans="2:12" ht="12.75" x14ac:dyDescent="0.2">
      <c r="B8" s="105" t="s">
        <v>32</v>
      </c>
    </row>
    <row r="9" spans="2:12" ht="15" customHeight="1" x14ac:dyDescent="0.2">
      <c r="B9" s="105" t="s">
        <v>35</v>
      </c>
      <c r="E9" s="152" t="s">
        <v>2187</v>
      </c>
      <c r="F9" s="148"/>
      <c r="G9" s="148"/>
      <c r="H9" s="148"/>
      <c r="I9" s="148"/>
      <c r="J9" s="148"/>
    </row>
    <row r="10" spans="2:12" ht="15" customHeight="1" x14ac:dyDescent="0.2">
      <c r="B10" s="105" t="s">
        <v>37</v>
      </c>
      <c r="E10" s="148"/>
      <c r="F10" s="148"/>
      <c r="G10" s="148"/>
      <c r="H10" s="148"/>
      <c r="I10" s="148"/>
      <c r="J10" s="148"/>
    </row>
    <row r="11" spans="2:12" ht="15" customHeight="1" x14ac:dyDescent="0.2">
      <c r="B11" s="105" t="s">
        <v>39</v>
      </c>
      <c r="E11" s="148"/>
      <c r="F11" s="148"/>
      <c r="G11" s="148"/>
      <c r="H11" s="148"/>
      <c r="I11" s="148"/>
      <c r="J11" s="148"/>
    </row>
    <row r="12" spans="2:12" ht="15" customHeight="1" x14ac:dyDescent="0.2">
      <c r="B12" s="105" t="s">
        <v>40</v>
      </c>
      <c r="E12" s="152" t="s">
        <v>2188</v>
      </c>
      <c r="F12" s="148"/>
      <c r="G12" s="148"/>
      <c r="H12" s="148"/>
      <c r="I12" s="148"/>
      <c r="J12" s="148"/>
    </row>
    <row r="13" spans="2:12" ht="15" customHeight="1" x14ac:dyDescent="0.2">
      <c r="B13" s="105" t="s">
        <v>42</v>
      </c>
      <c r="E13" s="148"/>
      <c r="F13" s="148"/>
      <c r="G13" s="148"/>
      <c r="H13" s="148"/>
      <c r="I13" s="148"/>
      <c r="J13" s="148"/>
    </row>
    <row r="14" spans="2:12" ht="15" customHeight="1" x14ac:dyDescent="0.2">
      <c r="B14" s="104" t="s">
        <v>44</v>
      </c>
      <c r="E14" s="148"/>
      <c r="F14" s="148"/>
      <c r="G14" s="148"/>
      <c r="H14" s="148"/>
      <c r="I14" s="148"/>
      <c r="J14" s="148"/>
    </row>
    <row r="15" spans="2:12" ht="15" customHeight="1" x14ac:dyDescent="0.2">
      <c r="B15" s="105" t="s">
        <v>46</v>
      </c>
      <c r="E15" s="152" t="s">
        <v>2189</v>
      </c>
      <c r="F15" s="148"/>
      <c r="G15" s="148"/>
      <c r="H15" s="148"/>
      <c r="I15" s="148"/>
      <c r="J15" s="148"/>
    </row>
    <row r="16" spans="2:12" ht="15" customHeight="1" x14ac:dyDescent="0.2">
      <c r="B16" s="103" t="s">
        <v>11</v>
      </c>
      <c r="E16" s="148"/>
      <c r="F16" s="148"/>
      <c r="G16" s="148"/>
      <c r="H16" s="148"/>
      <c r="I16" s="148"/>
      <c r="J16" s="148"/>
    </row>
    <row r="17" spans="2:9" ht="12.75" x14ac:dyDescent="0.2">
      <c r="B17" s="103" t="s">
        <v>13</v>
      </c>
    </row>
    <row r="18" spans="2:9" ht="12.75" x14ac:dyDescent="0.2">
      <c r="B18" s="103" t="s">
        <v>3407</v>
      </c>
      <c r="E18" s="22" t="s">
        <v>1411</v>
      </c>
    </row>
    <row r="19" spans="2:9" ht="12.75" x14ac:dyDescent="0.2">
      <c r="B19" s="103" t="s">
        <v>14</v>
      </c>
      <c r="E19" s="23" t="s">
        <v>687</v>
      </c>
      <c r="F19" s="23" t="s">
        <v>688</v>
      </c>
      <c r="G19" s="23" t="s">
        <v>688</v>
      </c>
      <c r="H19" s="23" t="s">
        <v>586</v>
      </c>
      <c r="I19" s="23" t="s">
        <v>688</v>
      </c>
    </row>
    <row r="20" spans="2:9" ht="12.75" x14ac:dyDescent="0.2">
      <c r="B20" s="102"/>
      <c r="E20" s="23" t="s">
        <v>688</v>
      </c>
      <c r="F20" s="23" t="s">
        <v>688</v>
      </c>
      <c r="G20" s="23" t="s">
        <v>688</v>
      </c>
      <c r="H20" s="23" t="s">
        <v>688</v>
      </c>
      <c r="I20" s="23" t="s">
        <v>688</v>
      </c>
    </row>
    <row r="21" spans="2:9" ht="12.75" x14ac:dyDescent="0.2">
      <c r="B21" s="102"/>
      <c r="E21" s="23" t="s">
        <v>688</v>
      </c>
      <c r="F21" s="23" t="s">
        <v>586</v>
      </c>
      <c r="G21" s="23" t="s">
        <v>688</v>
      </c>
      <c r="H21" s="23" t="s">
        <v>688</v>
      </c>
      <c r="I21" s="23" t="s">
        <v>688</v>
      </c>
    </row>
    <row r="22" spans="2:9" ht="12.75" x14ac:dyDescent="0.2">
      <c r="B22" s="102"/>
      <c r="E22" s="23" t="s">
        <v>688</v>
      </c>
      <c r="F22" s="23" t="s">
        <v>688</v>
      </c>
      <c r="G22" s="23" t="s">
        <v>688</v>
      </c>
      <c r="H22" s="23" t="s">
        <v>688</v>
      </c>
      <c r="I22" s="23" t="s">
        <v>688</v>
      </c>
    </row>
    <row r="23" spans="2:9" ht="12.75" x14ac:dyDescent="0.2">
      <c r="B23" s="102"/>
      <c r="E23" s="23" t="s">
        <v>586</v>
      </c>
      <c r="F23" s="23" t="s">
        <v>688</v>
      </c>
      <c r="G23" s="23" t="s">
        <v>688</v>
      </c>
      <c r="H23" s="23" t="s">
        <v>688</v>
      </c>
      <c r="I23" s="23" t="s">
        <v>586</v>
      </c>
    </row>
    <row r="24" spans="2:9" ht="12.75" x14ac:dyDescent="0.2">
      <c r="B24" s="102"/>
    </row>
    <row r="25" spans="2:9" ht="12.75" x14ac:dyDescent="0.2">
      <c r="B25" s="102"/>
      <c r="E25" s="22" t="s">
        <v>1412</v>
      </c>
    </row>
    <row r="26" spans="2:9" ht="12.75" x14ac:dyDescent="0.2">
      <c r="B26" s="102"/>
      <c r="E26" s="23">
        <v>1</v>
      </c>
      <c r="F26" s="23">
        <v>1</v>
      </c>
      <c r="G26" s="23">
        <v>1</v>
      </c>
      <c r="H26" s="23" t="s">
        <v>689</v>
      </c>
      <c r="I26" s="23">
        <v>1</v>
      </c>
    </row>
    <row r="27" spans="2:9" ht="12.75" x14ac:dyDescent="0.2">
      <c r="B27" s="102"/>
      <c r="E27" s="23">
        <v>1</v>
      </c>
      <c r="F27" s="23" t="s">
        <v>689</v>
      </c>
      <c r="G27" s="23">
        <v>1</v>
      </c>
      <c r="H27" s="23" t="s">
        <v>689</v>
      </c>
      <c r="I27" s="23">
        <v>1</v>
      </c>
    </row>
    <row r="28" spans="2:9" ht="12.75" x14ac:dyDescent="0.2">
      <c r="B28" s="102"/>
      <c r="E28" s="23">
        <v>1</v>
      </c>
      <c r="F28" s="23" t="s">
        <v>689</v>
      </c>
      <c r="G28" s="23">
        <v>1</v>
      </c>
      <c r="H28" s="23">
        <v>1</v>
      </c>
      <c r="I28" s="23">
        <v>1</v>
      </c>
    </row>
    <row r="29" spans="2:9" ht="12.75" x14ac:dyDescent="0.2">
      <c r="B29" s="102"/>
      <c r="E29" s="23">
        <v>1</v>
      </c>
      <c r="F29" s="23" t="s">
        <v>689</v>
      </c>
      <c r="G29" s="23" t="s">
        <v>689</v>
      </c>
      <c r="H29" s="23" t="s">
        <v>689</v>
      </c>
      <c r="I29" s="23">
        <v>1</v>
      </c>
    </row>
    <row r="30" spans="2:9" ht="12.75" x14ac:dyDescent="0.2">
      <c r="B30" s="102"/>
      <c r="E30" s="23">
        <v>1</v>
      </c>
      <c r="F30" s="23">
        <v>1</v>
      </c>
      <c r="G30" s="23">
        <v>1</v>
      </c>
      <c r="H30" s="23">
        <v>1</v>
      </c>
      <c r="I30" s="23">
        <v>1</v>
      </c>
    </row>
    <row r="31" spans="2:9" ht="12.75" x14ac:dyDescent="0.2">
      <c r="B31" s="102"/>
    </row>
    <row r="32" spans="2:9" ht="12.75" x14ac:dyDescent="0.2">
      <c r="B32" s="102"/>
      <c r="E32" s="22" t="s">
        <v>1413</v>
      </c>
    </row>
    <row r="33" spans="2:10" ht="12.75" x14ac:dyDescent="0.2">
      <c r="B33" s="102"/>
      <c r="E33" s="23"/>
      <c r="F33" s="23"/>
      <c r="G33" s="23" t="s">
        <v>689</v>
      </c>
      <c r="H33" s="23"/>
      <c r="I33" s="23"/>
    </row>
    <row r="34" spans="2:10" ht="12.75" x14ac:dyDescent="0.2">
      <c r="B34" s="102"/>
      <c r="E34" s="23"/>
      <c r="F34" s="23"/>
      <c r="G34" s="23" t="s">
        <v>689</v>
      </c>
      <c r="H34" s="23"/>
      <c r="I34" s="23"/>
    </row>
    <row r="35" spans="2:10" ht="12.75" x14ac:dyDescent="0.2">
      <c r="B35" s="102"/>
      <c r="E35" s="23" t="s">
        <v>689</v>
      </c>
      <c r="F35" s="23" t="s">
        <v>689</v>
      </c>
      <c r="G35" s="23"/>
      <c r="H35" s="23" t="s">
        <v>689</v>
      </c>
      <c r="I35" s="23" t="s">
        <v>689</v>
      </c>
    </row>
    <row r="36" spans="2:10" ht="12.75" x14ac:dyDescent="0.2">
      <c r="B36" s="102"/>
      <c r="E36" s="23"/>
      <c r="F36" s="23"/>
      <c r="G36" s="23"/>
      <c r="H36" s="23"/>
      <c r="I36" s="23"/>
    </row>
    <row r="37" spans="2:10" ht="12.75" x14ac:dyDescent="0.2">
      <c r="B37" s="102"/>
      <c r="E37" s="23"/>
      <c r="F37" s="23" t="s">
        <v>689</v>
      </c>
      <c r="G37" s="23" t="s">
        <v>689</v>
      </c>
      <c r="H37" s="23" t="s">
        <v>689</v>
      </c>
      <c r="I37" s="23"/>
    </row>
    <row r="38" spans="2:10" ht="12.75" x14ac:dyDescent="0.2">
      <c r="B38" s="102"/>
    </row>
    <row r="39" spans="2:10" ht="12.75" x14ac:dyDescent="0.2">
      <c r="B39" s="102"/>
      <c r="E39" s="22" t="s">
        <v>690</v>
      </c>
    </row>
    <row r="40" spans="2:10" ht="12.75" x14ac:dyDescent="0.2">
      <c r="B40" s="102"/>
      <c r="E40" s="23" t="s">
        <v>665</v>
      </c>
      <c r="F40" s="23" t="s">
        <v>666</v>
      </c>
      <c r="G40" s="23" t="s">
        <v>667</v>
      </c>
      <c r="H40" s="23" t="s">
        <v>588</v>
      </c>
    </row>
    <row r="41" spans="2:10" ht="12.75" x14ac:dyDescent="0.2">
      <c r="B41" s="102"/>
      <c r="E41" s="23" t="s">
        <v>590</v>
      </c>
      <c r="F41" s="23" t="s">
        <v>691</v>
      </c>
      <c r="G41" s="23" t="s">
        <v>692</v>
      </c>
      <c r="H41" s="23" t="s">
        <v>693</v>
      </c>
    </row>
    <row r="42" spans="2:10" ht="12.75" x14ac:dyDescent="0.2">
      <c r="B42" s="102"/>
      <c r="E42" s="23" t="s">
        <v>645</v>
      </c>
      <c r="F42" s="23" t="s">
        <v>694</v>
      </c>
      <c r="G42" s="23" t="s">
        <v>695</v>
      </c>
      <c r="H42" s="23" t="s">
        <v>696</v>
      </c>
    </row>
    <row r="43" spans="2:10" ht="12.75" x14ac:dyDescent="0.2">
      <c r="B43" s="102"/>
    </row>
    <row r="44" spans="2:10" ht="12.75" x14ac:dyDescent="0.2">
      <c r="B44" s="102"/>
      <c r="E44" s="22" t="s">
        <v>697</v>
      </c>
    </row>
    <row r="45" spans="2:10" ht="12.75" x14ac:dyDescent="0.2">
      <c r="B45" s="102"/>
      <c r="E45" s="23">
        <v>1</v>
      </c>
      <c r="F45" s="23">
        <v>2</v>
      </c>
      <c r="G45" s="23">
        <v>3</v>
      </c>
      <c r="H45" s="23">
        <v>4</v>
      </c>
      <c r="I45" s="23">
        <v>5</v>
      </c>
      <c r="J45" s="23">
        <v>6</v>
      </c>
    </row>
    <row r="46" spans="2:10" ht="12.75" x14ac:dyDescent="0.2">
      <c r="B46" s="102"/>
      <c r="E46" s="23">
        <v>10</v>
      </c>
      <c r="F46" s="23">
        <v>20</v>
      </c>
      <c r="G46" s="23">
        <v>30</v>
      </c>
      <c r="H46" s="23"/>
      <c r="I46" s="23"/>
      <c r="J46" s="23"/>
    </row>
    <row r="47" spans="2:10" ht="12.75" x14ac:dyDescent="0.2"/>
    <row r="48" spans="2:10" ht="12.75" x14ac:dyDescent="0.2"/>
    <row r="49" spans="5:12" ht="15.75" customHeight="1" x14ac:dyDescent="0.2">
      <c r="E49" s="159" t="s">
        <v>698</v>
      </c>
      <c r="F49" s="159"/>
      <c r="G49" s="159"/>
      <c r="H49" s="159"/>
      <c r="I49" s="159"/>
      <c r="J49" s="159"/>
      <c r="K49" s="52" t="s">
        <v>699</v>
      </c>
    </row>
    <row r="50" spans="5:12" ht="15" customHeight="1" x14ac:dyDescent="0.2">
      <c r="E50" s="152" t="s">
        <v>700</v>
      </c>
      <c r="F50" s="152"/>
      <c r="G50" s="152"/>
      <c r="H50" s="152"/>
      <c r="I50" s="152"/>
      <c r="J50" s="152"/>
    </row>
    <row r="51" spans="5:12" ht="21.75" customHeight="1" x14ac:dyDescent="0.2">
      <c r="E51" s="147" t="s">
        <v>1520</v>
      </c>
      <c r="F51" s="147"/>
      <c r="G51" s="147"/>
      <c r="H51" s="147"/>
      <c r="I51" s="147"/>
      <c r="J51" s="147"/>
    </row>
    <row r="52" spans="5:12" ht="12.75" x14ac:dyDescent="0.2"/>
    <row r="53" spans="5:12" ht="15" customHeight="1" x14ac:dyDescent="0.2">
      <c r="E53" s="202" t="s">
        <v>1729</v>
      </c>
      <c r="F53" s="203"/>
      <c r="G53" s="203"/>
      <c r="H53" s="203"/>
      <c r="I53" s="203"/>
      <c r="J53" s="204"/>
    </row>
    <row r="54" spans="5:12" ht="21.75" customHeight="1" x14ac:dyDescent="0.2">
      <c r="E54" s="147" t="s">
        <v>2183</v>
      </c>
      <c r="F54" s="149"/>
      <c r="G54" s="149"/>
      <c r="H54" s="149"/>
      <c r="I54" s="149"/>
      <c r="J54" s="149"/>
    </row>
    <row r="55" spans="5:12" ht="15" customHeight="1" x14ac:dyDescent="0.2">
      <c r="E55" s="147" t="s">
        <v>702</v>
      </c>
      <c r="F55" s="149"/>
      <c r="G55" s="149"/>
      <c r="H55" s="149"/>
      <c r="I55" s="149"/>
      <c r="J55" s="149"/>
    </row>
    <row r="56" spans="5:12" ht="12.75" x14ac:dyDescent="0.2"/>
    <row r="57" spans="5:12" ht="21.75" customHeight="1" x14ac:dyDescent="0.2">
      <c r="E57" s="147" t="s">
        <v>2184</v>
      </c>
      <c r="F57" s="147"/>
      <c r="G57" s="147"/>
      <c r="H57" s="147"/>
      <c r="I57" s="147"/>
      <c r="J57" s="147"/>
      <c r="K57" s="24" t="s">
        <v>1938</v>
      </c>
      <c r="L57" s="24" t="s">
        <v>1939</v>
      </c>
    </row>
    <row r="58" spans="5:12" ht="15" customHeight="1" x14ac:dyDescent="0.2">
      <c r="E58" s="209" t="s">
        <v>703</v>
      </c>
      <c r="F58" s="148"/>
      <c r="G58" s="148"/>
      <c r="H58" s="148"/>
      <c r="I58" s="148"/>
      <c r="J58" s="148"/>
      <c r="K58" s="5" t="s">
        <v>704</v>
      </c>
      <c r="L58" s="207" t="s">
        <v>1987</v>
      </c>
    </row>
    <row r="59" spans="5:12" ht="15" customHeight="1" x14ac:dyDescent="0.2">
      <c r="E59" s="25" t="str" cm="1">
        <f t="array" ref="E59:I63">$E$19:$I$23</f>
        <v>S</v>
      </c>
      <c r="F59" t="str">
        <v>.</v>
      </c>
      <c r="G59" t="str">
        <v>.</v>
      </c>
      <c r="H59" t="str">
        <v>o</v>
      </c>
      <c r="I59" t="str">
        <v>.</v>
      </c>
      <c r="K59" s="79" t="s">
        <v>1988</v>
      </c>
      <c r="L59" s="207"/>
    </row>
    <row r="60" spans="5:12" ht="12.75" x14ac:dyDescent="0.2">
      <c r="E60" t="str">
        <v>.</v>
      </c>
      <c r="F60" t="str">
        <v>.</v>
      </c>
      <c r="G60" t="str">
        <v>.</v>
      </c>
      <c r="H60" t="str">
        <v>.</v>
      </c>
      <c r="I60" t="str">
        <v>.</v>
      </c>
      <c r="L60" s="207"/>
    </row>
    <row r="61" spans="5:12" ht="12.75" x14ac:dyDescent="0.2">
      <c r="E61" t="str">
        <v>.</v>
      </c>
      <c r="F61" t="str">
        <v>o</v>
      </c>
      <c r="G61" t="str">
        <v>.</v>
      </c>
      <c r="H61" t="str">
        <v>.</v>
      </c>
      <c r="I61" t="str">
        <v>.</v>
      </c>
      <c r="L61" s="207"/>
    </row>
    <row r="62" spans="5:12" ht="12.75" x14ac:dyDescent="0.2">
      <c r="E62" t="str">
        <v>.</v>
      </c>
      <c r="F62" t="str">
        <v>.</v>
      </c>
      <c r="G62" t="str">
        <v>.</v>
      </c>
      <c r="H62" t="str">
        <v>.</v>
      </c>
      <c r="I62" t="str">
        <v>.</v>
      </c>
      <c r="L62" s="207"/>
    </row>
    <row r="63" spans="5:12" ht="12.75" x14ac:dyDescent="0.2">
      <c r="E63" t="str">
        <v>o</v>
      </c>
      <c r="F63" t="str">
        <v>.</v>
      </c>
      <c r="G63" t="str">
        <v>.</v>
      </c>
      <c r="H63" t="str">
        <v>.</v>
      </c>
      <c r="I63" t="str">
        <v>o</v>
      </c>
      <c r="L63" s="207"/>
    </row>
    <row r="64" spans="5:12" ht="12.75" x14ac:dyDescent="0.2">
      <c r="K64" s="24" t="s">
        <v>1940</v>
      </c>
      <c r="L64" s="24" t="s">
        <v>1941</v>
      </c>
    </row>
    <row r="65" spans="5:12" ht="15" customHeight="1" x14ac:dyDescent="0.2">
      <c r="E65" s="209" t="s">
        <v>2185</v>
      </c>
      <c r="F65" s="148"/>
      <c r="G65" s="148"/>
      <c r="H65" s="148"/>
      <c r="I65" s="148"/>
      <c r="J65" s="148"/>
      <c r="K65" s="5"/>
      <c r="L65" s="207" t="s">
        <v>1353</v>
      </c>
    </row>
    <row r="66" spans="5:12" ht="15" customHeight="1" x14ac:dyDescent="0.2">
      <c r="E66" s="26" t="str" cm="1">
        <f t="array" ref="E66">_xlfn.LET(_xlpm._l,"S",FindInMap_byHadynWiseman(IFERROR(--_xlpm._l,_xlpm._l),$E$19:$I$23))</f>
        <v>E19</v>
      </c>
      <c r="L66" s="207"/>
    </row>
    <row r="67" spans="5:12" ht="12.75" x14ac:dyDescent="0.2">
      <c r="L67" s="207"/>
    </row>
    <row r="68" spans="5:12" ht="12.75" x14ac:dyDescent="0.2">
      <c r="K68" s="24" t="s">
        <v>1938</v>
      </c>
      <c r="L68" s="24" t="s">
        <v>1939</v>
      </c>
    </row>
    <row r="69" spans="5:12" ht="15" customHeight="1" x14ac:dyDescent="0.2">
      <c r="E69" s="209" t="s">
        <v>703</v>
      </c>
      <c r="F69" s="148"/>
      <c r="G69" s="148"/>
      <c r="H69" s="148"/>
      <c r="I69" s="148"/>
      <c r="J69" s="148"/>
      <c r="K69" s="5" t="s">
        <v>705</v>
      </c>
      <c r="L69" s="207" t="s">
        <v>1987</v>
      </c>
    </row>
    <row r="70" spans="5:12" ht="15" customHeight="1" x14ac:dyDescent="0.2">
      <c r="E70" s="25" t="str" cm="1">
        <f t="array" ref="E70:I74">$E$19:$I$23</f>
        <v>S</v>
      </c>
      <c r="F70" t="str">
        <v>.</v>
      </c>
      <c r="G70" t="str">
        <v>.</v>
      </c>
      <c r="H70" t="str">
        <v>o</v>
      </c>
      <c r="I70" t="str">
        <v>.</v>
      </c>
      <c r="K70" s="22" t="s">
        <v>1988</v>
      </c>
      <c r="L70" s="207"/>
    </row>
    <row r="71" spans="5:12" ht="12.75" x14ac:dyDescent="0.2">
      <c r="E71" t="str">
        <v>.</v>
      </c>
      <c r="F71" t="str">
        <v>.</v>
      </c>
      <c r="G71" t="str">
        <v>.</v>
      </c>
      <c r="H71" t="str">
        <v>.</v>
      </c>
      <c r="I71" t="str">
        <v>.</v>
      </c>
      <c r="L71" s="207"/>
    </row>
    <row r="72" spans="5:12" ht="12.75" x14ac:dyDescent="0.2">
      <c r="E72" t="str">
        <v>.</v>
      </c>
      <c r="F72" t="str">
        <v>o</v>
      </c>
      <c r="G72" t="str">
        <v>.</v>
      </c>
      <c r="H72" t="str">
        <v>.</v>
      </c>
      <c r="I72" t="str">
        <v>.</v>
      </c>
      <c r="L72" s="207"/>
    </row>
    <row r="73" spans="5:12" ht="12.75" x14ac:dyDescent="0.2">
      <c r="E73" t="str">
        <v>.</v>
      </c>
      <c r="F73" t="str">
        <v>.</v>
      </c>
      <c r="G73" t="str">
        <v>.</v>
      </c>
      <c r="H73" t="str">
        <v>.</v>
      </c>
      <c r="I73" t="str">
        <v>.</v>
      </c>
      <c r="L73" s="207"/>
    </row>
    <row r="74" spans="5:12" ht="12.75" x14ac:dyDescent="0.2">
      <c r="E74" t="str">
        <v>o</v>
      </c>
      <c r="F74" t="str">
        <v>.</v>
      </c>
      <c r="G74" t="str">
        <v>.</v>
      </c>
      <c r="H74" t="str">
        <v>.</v>
      </c>
      <c r="I74" t="str">
        <v>o</v>
      </c>
      <c r="L74" s="207"/>
    </row>
    <row r="75" spans="5:12" ht="12.75" x14ac:dyDescent="0.2">
      <c r="K75" s="24" t="s">
        <v>1940</v>
      </c>
      <c r="L75" s="24" t="s">
        <v>1941</v>
      </c>
    </row>
    <row r="76" spans="5:12" ht="15" customHeight="1" x14ac:dyDescent="0.2">
      <c r="E76" s="209" t="s">
        <v>2186</v>
      </c>
      <c r="F76" s="148"/>
      <c r="G76" s="148"/>
      <c r="H76" s="148"/>
      <c r="I76" s="148"/>
      <c r="J76" s="148"/>
      <c r="K76" s="5" t="s">
        <v>1973</v>
      </c>
      <c r="L76" s="207" t="s">
        <v>2012</v>
      </c>
    </row>
    <row r="77" spans="5:12" ht="15" customHeight="1" x14ac:dyDescent="0.2">
      <c r="E77" s="26" t="str" cm="1">
        <f t="array" ref="E77:E80">_xlfn.LET(_xlpm._l,"o",FindInMap_byHadynWiseman(IFERROR(--_xlpm._l,_xlpm._l),$E$19:$I$23))</f>
        <v>H19</v>
      </c>
      <c r="L77" s="208"/>
    </row>
    <row r="78" spans="5:12" ht="12.75" x14ac:dyDescent="0.2">
      <c r="E78" t="str">
        <v>F21</v>
      </c>
      <c r="L78" s="208"/>
    </row>
    <row r="79" spans="5:12" ht="12.75" x14ac:dyDescent="0.2">
      <c r="E79" t="str">
        <v>E23</v>
      </c>
      <c r="L79" s="208"/>
    </row>
    <row r="80" spans="5:12" ht="12.75" x14ac:dyDescent="0.2">
      <c r="E80" t="str">
        <v>I23</v>
      </c>
      <c r="L80" s="208"/>
    </row>
    <row r="81" spans="5:12" ht="12.75" x14ac:dyDescent="0.2">
      <c r="L81" s="208"/>
    </row>
    <row r="82" spans="5:12" ht="25.5" customHeight="1" x14ac:dyDescent="0.2">
      <c r="E82" s="152" t="s">
        <v>1414</v>
      </c>
      <c r="F82" s="152"/>
      <c r="G82" s="152"/>
      <c r="H82" s="152"/>
      <c r="I82" s="152"/>
      <c r="J82" s="152"/>
    </row>
    <row r="83" spans="5:12" ht="25.5" customHeight="1" x14ac:dyDescent="0.2">
      <c r="E83" s="172" t="s">
        <v>1829</v>
      </c>
      <c r="F83" s="173"/>
      <c r="G83" s="173"/>
      <c r="H83" s="173"/>
      <c r="I83" s="173"/>
      <c r="J83" s="174"/>
    </row>
    <row r="84" spans="5:12" ht="12.75" x14ac:dyDescent="0.2"/>
    <row r="85" spans="5:12" ht="12.75" x14ac:dyDescent="0.2"/>
    <row r="86" spans="5:12" ht="15.75" customHeight="1" x14ac:dyDescent="0.2">
      <c r="E86" s="159" t="s">
        <v>706</v>
      </c>
      <c r="F86" s="159"/>
      <c r="G86" s="159"/>
      <c r="H86" s="159"/>
      <c r="I86" s="159"/>
      <c r="J86" s="159"/>
      <c r="K86" s="52" t="s">
        <v>2175</v>
      </c>
    </row>
    <row r="87" spans="5:12" ht="38.25" customHeight="1" x14ac:dyDescent="0.2">
      <c r="E87" s="152" t="s">
        <v>2176</v>
      </c>
      <c r="F87" s="152"/>
      <c r="G87" s="152"/>
      <c r="H87" s="152"/>
      <c r="I87" s="152"/>
      <c r="J87" s="152"/>
    </row>
    <row r="88" spans="5:12" ht="21.75" customHeight="1" x14ac:dyDescent="0.2">
      <c r="E88" s="147" t="s">
        <v>2177</v>
      </c>
      <c r="F88" s="147"/>
      <c r="G88" s="147"/>
      <c r="H88" s="147"/>
      <c r="I88" s="147"/>
      <c r="J88" s="147"/>
    </row>
    <row r="89" spans="5:12" ht="12.75" x14ac:dyDescent="0.2"/>
    <row r="90" spans="5:12" ht="15" customHeight="1" x14ac:dyDescent="0.2">
      <c r="E90" s="202" t="s">
        <v>1729</v>
      </c>
      <c r="F90" s="203"/>
      <c r="G90" s="203"/>
      <c r="H90" s="203"/>
      <c r="I90" s="203"/>
      <c r="J90" s="204"/>
    </row>
    <row r="91" spans="5:12" ht="15" customHeight="1" x14ac:dyDescent="0.2">
      <c r="E91" s="147" t="s">
        <v>2178</v>
      </c>
      <c r="F91" s="149"/>
      <c r="G91" s="149"/>
      <c r="H91" s="149"/>
      <c r="I91" s="149"/>
      <c r="J91" s="149"/>
    </row>
    <row r="92" spans="5:12" ht="15" customHeight="1" x14ac:dyDescent="0.2">
      <c r="E92" s="147" t="s">
        <v>2179</v>
      </c>
      <c r="F92" s="149"/>
      <c r="G92" s="149"/>
      <c r="H92" s="149"/>
      <c r="I92" s="149"/>
      <c r="J92" s="149"/>
    </row>
    <row r="93" spans="5:12" ht="12.75" x14ac:dyDescent="0.2"/>
    <row r="94" spans="5:12" ht="21.75" customHeight="1" x14ac:dyDescent="0.2">
      <c r="E94" s="147" t="s">
        <v>2181</v>
      </c>
      <c r="F94" s="147"/>
      <c r="G94" s="147"/>
      <c r="H94" s="147"/>
      <c r="I94" s="147"/>
      <c r="J94" s="147"/>
      <c r="K94" s="24" t="s">
        <v>1938</v>
      </c>
      <c r="L94" s="24" t="s">
        <v>1939</v>
      </c>
    </row>
    <row r="95" spans="5:12" ht="17.100000000000001" customHeight="1" x14ac:dyDescent="0.2">
      <c r="E95" s="76" t="s">
        <v>1933</v>
      </c>
      <c r="F95" s="23" t="s">
        <v>2180</v>
      </c>
      <c r="K95" s="24"/>
      <c r="L95" s="24"/>
    </row>
    <row r="96" spans="5:12" ht="15" customHeight="1" x14ac:dyDescent="0.2">
      <c r="E96" s="209" t="s">
        <v>707</v>
      </c>
      <c r="F96" s="148"/>
      <c r="G96" s="148"/>
      <c r="H96" s="148"/>
      <c r="I96" s="148"/>
      <c r="J96" s="148"/>
      <c r="K96" s="5" t="s">
        <v>2182</v>
      </c>
      <c r="L96" s="207" t="s">
        <v>1989</v>
      </c>
    </row>
    <row r="97" spans="5:12" ht="15" customHeight="1" x14ac:dyDescent="0.2">
      <c r="E97" s="25" cm="1">
        <f t="array" ref="E97:I101">$E$26:$I$30</f>
        <v>1</v>
      </c>
      <c r="F97">
        <v>1</v>
      </c>
      <c r="G97">
        <v>1</v>
      </c>
      <c r="H97" t="str">
        <v>#</v>
      </c>
      <c r="I97">
        <v>1</v>
      </c>
      <c r="K97" s="79" t="s">
        <v>1988</v>
      </c>
      <c r="L97" s="207"/>
    </row>
    <row r="98" spans="5:12" ht="12.75" x14ac:dyDescent="0.2">
      <c r="E98">
        <v>1</v>
      </c>
      <c r="F98" t="str">
        <v>#</v>
      </c>
      <c r="G98">
        <v>1</v>
      </c>
      <c r="H98" t="str">
        <v>#</v>
      </c>
      <c r="I98">
        <v>1</v>
      </c>
      <c r="L98" s="207"/>
    </row>
    <row r="99" spans="5:12" ht="12.75" x14ac:dyDescent="0.2">
      <c r="E99">
        <v>1</v>
      </c>
      <c r="F99" t="str">
        <v>#</v>
      </c>
      <c r="G99">
        <v>1</v>
      </c>
      <c r="H99">
        <v>1</v>
      </c>
      <c r="I99">
        <v>1</v>
      </c>
      <c r="L99" s="207"/>
    </row>
    <row r="100" spans="5:12" ht="12.75" x14ac:dyDescent="0.2">
      <c r="E100">
        <v>1</v>
      </c>
      <c r="F100" t="str">
        <v>#</v>
      </c>
      <c r="G100" t="str">
        <v>#</v>
      </c>
      <c r="H100" t="str">
        <v>#</v>
      </c>
      <c r="I100">
        <v>1</v>
      </c>
      <c r="L100" s="207"/>
    </row>
    <row r="101" spans="5:12" ht="12.75" x14ac:dyDescent="0.2">
      <c r="E101">
        <v>1</v>
      </c>
      <c r="F101">
        <v>1</v>
      </c>
      <c r="G101">
        <v>1</v>
      </c>
      <c r="H101">
        <v>1</v>
      </c>
      <c r="I101">
        <v>1</v>
      </c>
      <c r="L101" s="207"/>
    </row>
    <row r="102" spans="5:12" ht="12.75" x14ac:dyDescent="0.2">
      <c r="K102" s="24" t="s">
        <v>1940</v>
      </c>
      <c r="L102" s="24" t="s">
        <v>1941</v>
      </c>
    </row>
    <row r="103" spans="5:12" ht="15" customHeight="1" x14ac:dyDescent="0.2">
      <c r="E103" s="209" t="s">
        <v>2206</v>
      </c>
      <c r="F103" s="148"/>
      <c r="G103" s="148"/>
      <c r="H103" s="148"/>
      <c r="I103" s="148"/>
      <c r="J103" s="148"/>
      <c r="K103" s="77" t="s">
        <v>1988</v>
      </c>
      <c r="L103" s="207" t="s">
        <v>1990</v>
      </c>
    </row>
    <row r="104" spans="5:12" ht="15" customHeight="1" x14ac:dyDescent="0.2">
      <c r="E104" s="26" cm="1">
        <f t="array" ref="E104:I108">MazeDistance_byHadynWiseman($E$26:$I$30,$F$95,,1)</f>
        <v>0</v>
      </c>
      <c r="F104">
        <v>1</v>
      </c>
      <c r="G104">
        <v>2</v>
      </c>
      <c r="H104" t="str">
        <v/>
      </c>
      <c r="I104">
        <v>8</v>
      </c>
      <c r="L104" s="208"/>
    </row>
    <row r="105" spans="5:12" ht="12.75" x14ac:dyDescent="0.2">
      <c r="E105">
        <v>1</v>
      </c>
      <c r="F105" t="str">
        <v/>
      </c>
      <c r="G105">
        <v>3</v>
      </c>
      <c r="H105" t="str">
        <v/>
      </c>
      <c r="I105">
        <v>7</v>
      </c>
      <c r="L105" s="208"/>
    </row>
    <row r="106" spans="5:12" ht="12.75" x14ac:dyDescent="0.2">
      <c r="E106">
        <v>2</v>
      </c>
      <c r="F106" t="str">
        <v/>
      </c>
      <c r="G106">
        <v>4</v>
      </c>
      <c r="H106">
        <v>5</v>
      </c>
      <c r="I106">
        <v>6</v>
      </c>
      <c r="L106" s="208"/>
    </row>
    <row r="107" spans="5:12" ht="12.75" x14ac:dyDescent="0.2">
      <c r="E107">
        <v>3</v>
      </c>
      <c r="F107" t="str">
        <v/>
      </c>
      <c r="G107" t="str">
        <v/>
      </c>
      <c r="H107" t="str">
        <v/>
      </c>
      <c r="I107">
        <v>7</v>
      </c>
      <c r="L107" s="208"/>
    </row>
    <row r="108" spans="5:12" ht="12.75" x14ac:dyDescent="0.2">
      <c r="E108">
        <v>4</v>
      </c>
      <c r="F108">
        <v>5</v>
      </c>
      <c r="G108">
        <v>6</v>
      </c>
      <c r="H108">
        <v>7</v>
      </c>
      <c r="I108">
        <v>8</v>
      </c>
      <c r="L108" s="208"/>
    </row>
    <row r="109" spans="5:12" ht="12.75" x14ac:dyDescent="0.2">
      <c r="L109" s="208"/>
    </row>
    <row r="110" spans="5:12" ht="15" customHeight="1" x14ac:dyDescent="0.2">
      <c r="E110" s="152" t="s">
        <v>708</v>
      </c>
      <c r="F110" s="152"/>
      <c r="G110" s="152"/>
      <c r="H110" s="152"/>
      <c r="I110" s="152"/>
      <c r="J110" s="152"/>
    </row>
    <row r="111" spans="5:12" ht="25.5" customHeight="1" x14ac:dyDescent="0.2">
      <c r="E111" s="172" t="s">
        <v>1830</v>
      </c>
      <c r="F111" s="173"/>
      <c r="G111" s="173"/>
      <c r="H111" s="173"/>
      <c r="I111" s="173"/>
      <c r="J111" s="174"/>
    </row>
    <row r="112" spans="5:12" ht="12.75" x14ac:dyDescent="0.2"/>
    <row r="113" spans="5:12" ht="12.75" x14ac:dyDescent="0.2"/>
    <row r="114" spans="5:12" ht="15.75" customHeight="1" x14ac:dyDescent="0.2">
      <c r="E114" s="159" t="s">
        <v>709</v>
      </c>
      <c r="F114" s="159"/>
      <c r="G114" s="159"/>
      <c r="H114" s="159"/>
      <c r="I114" s="159"/>
      <c r="J114" s="159"/>
      <c r="K114" s="52" t="s">
        <v>710</v>
      </c>
    </row>
    <row r="115" spans="5:12" ht="25.5" customHeight="1" x14ac:dyDescent="0.2">
      <c r="E115" s="152" t="s">
        <v>2169</v>
      </c>
      <c r="F115" s="152"/>
      <c r="G115" s="152"/>
      <c r="H115" s="152"/>
      <c r="I115" s="152"/>
      <c r="J115" s="152"/>
    </row>
    <row r="116" spans="5:12" ht="21.75" customHeight="1" x14ac:dyDescent="0.2">
      <c r="E116" s="147" t="s">
        <v>2170</v>
      </c>
      <c r="F116" s="147"/>
      <c r="G116" s="147"/>
      <c r="H116" s="147"/>
      <c r="I116" s="147"/>
      <c r="J116" s="147"/>
    </row>
    <row r="117" spans="5:12" ht="12.75" x14ac:dyDescent="0.2"/>
    <row r="118" spans="5:12" ht="15" customHeight="1" x14ac:dyDescent="0.2">
      <c r="E118" s="202" t="s">
        <v>1729</v>
      </c>
      <c r="F118" s="203"/>
      <c r="G118" s="203"/>
      <c r="H118" s="203"/>
      <c r="I118" s="203"/>
      <c r="J118" s="204"/>
    </row>
    <row r="119" spans="5:12" ht="15" customHeight="1" x14ac:dyDescent="0.2">
      <c r="E119" s="147" t="s">
        <v>2171</v>
      </c>
      <c r="F119" s="149"/>
      <c r="G119" s="149"/>
      <c r="H119" s="149"/>
      <c r="I119" s="149"/>
      <c r="J119" s="149"/>
    </row>
    <row r="120" spans="5:12" ht="15" customHeight="1" x14ac:dyDescent="0.2">
      <c r="E120" s="147" t="s">
        <v>711</v>
      </c>
      <c r="F120" s="149"/>
      <c r="G120" s="149"/>
      <c r="H120" s="149"/>
      <c r="I120" s="149"/>
      <c r="J120" s="149"/>
    </row>
    <row r="121" spans="5:12" ht="12.75" x14ac:dyDescent="0.2"/>
    <row r="122" spans="5:12" ht="21.75" customHeight="1" x14ac:dyDescent="0.2">
      <c r="E122" s="147" t="s">
        <v>2172</v>
      </c>
      <c r="F122" s="147"/>
      <c r="G122" s="147"/>
      <c r="H122" s="147"/>
      <c r="I122" s="147"/>
      <c r="J122" s="147"/>
      <c r="K122" s="24" t="s">
        <v>1938</v>
      </c>
      <c r="L122" s="24" t="s">
        <v>1939</v>
      </c>
    </row>
    <row r="123" spans="5:12" ht="17.100000000000001" customHeight="1" x14ac:dyDescent="0.2">
      <c r="E123" s="76" t="s">
        <v>1933</v>
      </c>
      <c r="F123" s="23" t="s">
        <v>586</v>
      </c>
      <c r="K123" s="24"/>
      <c r="L123" s="24"/>
    </row>
    <row r="124" spans="5:12" ht="15" customHeight="1" x14ac:dyDescent="0.2">
      <c r="E124" s="209" t="s">
        <v>703</v>
      </c>
      <c r="F124" s="148"/>
      <c r="G124" s="148"/>
      <c r="H124" s="148"/>
      <c r="I124" s="148"/>
      <c r="J124" s="148"/>
      <c r="K124" s="5" t="s">
        <v>2173</v>
      </c>
      <c r="L124" s="207" t="s">
        <v>1987</v>
      </c>
    </row>
    <row r="125" spans="5:12" ht="15" customHeight="1" x14ac:dyDescent="0.2">
      <c r="E125" s="25" t="str" cm="1">
        <f t="array" ref="E125:I129">$E$19:$I$23</f>
        <v>S</v>
      </c>
      <c r="F125" t="str">
        <v>.</v>
      </c>
      <c r="G125" t="str">
        <v>.</v>
      </c>
      <c r="H125" t="str">
        <v>o</v>
      </c>
      <c r="I125" t="str">
        <v>.</v>
      </c>
      <c r="K125" s="79" t="s">
        <v>1988</v>
      </c>
      <c r="L125" s="207"/>
    </row>
    <row r="126" spans="5:12" ht="12.75" x14ac:dyDescent="0.2">
      <c r="E126" t="str">
        <v>.</v>
      </c>
      <c r="F126" t="str">
        <v>.</v>
      </c>
      <c r="G126" t="str">
        <v>.</v>
      </c>
      <c r="H126" t="str">
        <v>.</v>
      </c>
      <c r="I126" t="str">
        <v>.</v>
      </c>
      <c r="L126" s="207"/>
    </row>
    <row r="127" spans="5:12" ht="12.75" x14ac:dyDescent="0.2">
      <c r="E127" t="str">
        <v>.</v>
      </c>
      <c r="F127" t="str">
        <v>o</v>
      </c>
      <c r="G127" t="str">
        <v>.</v>
      </c>
      <c r="H127" t="str">
        <v>.</v>
      </c>
      <c r="I127" t="str">
        <v>.</v>
      </c>
      <c r="L127" s="207"/>
    </row>
    <row r="128" spans="5:12" ht="12.75" x14ac:dyDescent="0.2">
      <c r="E128" t="str">
        <v>.</v>
      </c>
      <c r="F128" t="str">
        <v>.</v>
      </c>
      <c r="G128" t="str">
        <v>.</v>
      </c>
      <c r="H128" t="str">
        <v>.</v>
      </c>
      <c r="I128" t="str">
        <v>.</v>
      </c>
      <c r="L128" s="207"/>
    </row>
    <row r="129" spans="5:12" ht="12.75" x14ac:dyDescent="0.2">
      <c r="E129" t="str">
        <v>o</v>
      </c>
      <c r="F129" t="str">
        <v>.</v>
      </c>
      <c r="G129" t="str">
        <v>.</v>
      </c>
      <c r="H129" t="str">
        <v>.</v>
      </c>
      <c r="I129" t="str">
        <v>o</v>
      </c>
      <c r="L129" s="207"/>
    </row>
    <row r="130" spans="5:12" ht="12.75" x14ac:dyDescent="0.2">
      <c r="K130" s="24" t="s">
        <v>1940</v>
      </c>
      <c r="L130" s="24" t="s">
        <v>1941</v>
      </c>
    </row>
    <row r="131" spans="5:12" ht="38.25" customHeight="1" x14ac:dyDescent="0.2">
      <c r="E131" s="209" t="s">
        <v>2207</v>
      </c>
      <c r="F131" s="148"/>
      <c r="G131" s="148"/>
      <c r="H131" s="148"/>
      <c r="I131" s="148"/>
      <c r="J131" s="148"/>
      <c r="K131" s="77" t="s">
        <v>1992</v>
      </c>
      <c r="L131" s="207" t="s">
        <v>1991</v>
      </c>
    </row>
    <row r="132" spans="5:12" ht="15" customHeight="1" x14ac:dyDescent="0.2">
      <c r="E132" s="26" t="str" cm="1">
        <f t="array" ref="E132:G135">_xlfn.LET(_xlpm._m,$E$19:$I$23,ClosestOnMap_byHadynWiseman(_xlpm._m,FindInMap_byHadynWiseman($E$125,_xlpm._m),ROWS(_xlpm._m)+COLUMNS(_xlpm._m),$F$123))</f>
        <v>o</v>
      </c>
      <c r="F132" t="str">
        <v>F21</v>
      </c>
      <c r="G132">
        <v>2</v>
      </c>
      <c r="L132" s="208"/>
    </row>
    <row r="133" spans="5:12" ht="12.75" x14ac:dyDescent="0.2">
      <c r="E133" t="str">
        <v>o</v>
      </c>
      <c r="F133" t="str">
        <v>H19</v>
      </c>
      <c r="G133">
        <v>3</v>
      </c>
      <c r="L133" s="208"/>
    </row>
    <row r="134" spans="5:12" ht="12.75" x14ac:dyDescent="0.2">
      <c r="E134" t="str">
        <v>o</v>
      </c>
      <c r="F134" t="str">
        <v>E23</v>
      </c>
      <c r="G134">
        <v>4</v>
      </c>
      <c r="L134" s="208"/>
    </row>
    <row r="135" spans="5:12" ht="12.75" x14ac:dyDescent="0.2">
      <c r="E135" t="str">
        <v>o</v>
      </c>
      <c r="F135" t="str">
        <v>I23</v>
      </c>
      <c r="G135">
        <v>4</v>
      </c>
      <c r="L135" s="208"/>
    </row>
    <row r="136" spans="5:12" ht="12.75" x14ac:dyDescent="0.2">
      <c r="L136" s="208"/>
    </row>
    <row r="137" spans="5:12" ht="25.5" customHeight="1" x14ac:dyDescent="0.2">
      <c r="E137" s="152" t="s">
        <v>712</v>
      </c>
      <c r="F137" s="152"/>
      <c r="G137" s="152"/>
      <c r="H137" s="152"/>
      <c r="I137" s="152"/>
      <c r="J137" s="152"/>
    </row>
    <row r="138" spans="5:12" ht="25.5" customHeight="1" x14ac:dyDescent="0.2">
      <c r="E138" s="156" t="s">
        <v>2174</v>
      </c>
      <c r="F138" s="157"/>
      <c r="G138" s="157"/>
      <c r="H138" s="157"/>
      <c r="I138" s="157"/>
      <c r="J138" s="158"/>
    </row>
    <row r="141" spans="5:12" ht="15.75" customHeight="1" x14ac:dyDescent="0.2">
      <c r="E141" s="159" t="s">
        <v>713</v>
      </c>
      <c r="F141" s="159"/>
      <c r="G141" s="159"/>
      <c r="H141" s="159"/>
      <c r="I141" s="159"/>
      <c r="J141" s="159"/>
      <c r="K141" s="52" t="s">
        <v>2162</v>
      </c>
    </row>
    <row r="142" spans="5:12" ht="38.25" customHeight="1" x14ac:dyDescent="0.2">
      <c r="E142" s="152" t="s">
        <v>2163</v>
      </c>
      <c r="F142" s="152"/>
      <c r="G142" s="152"/>
      <c r="H142" s="152"/>
      <c r="I142" s="152"/>
      <c r="J142" s="152"/>
    </row>
    <row r="143" spans="5:12" ht="21.75" customHeight="1" x14ac:dyDescent="0.2">
      <c r="E143" s="147" t="s">
        <v>2164</v>
      </c>
      <c r="F143" s="147"/>
      <c r="G143" s="147"/>
      <c r="H143" s="147"/>
      <c r="I143" s="147"/>
      <c r="J143" s="147"/>
    </row>
    <row r="144" spans="5:12" ht="12.75" x14ac:dyDescent="0.2"/>
    <row r="145" spans="5:12" ht="15" customHeight="1" x14ac:dyDescent="0.2">
      <c r="E145" s="202" t="s">
        <v>1729</v>
      </c>
      <c r="F145" s="203"/>
      <c r="G145" s="203"/>
      <c r="H145" s="203"/>
      <c r="I145" s="203"/>
      <c r="J145" s="204"/>
    </row>
    <row r="146" spans="5:12" ht="15" customHeight="1" x14ac:dyDescent="0.2">
      <c r="E146" s="147" t="s">
        <v>2129</v>
      </c>
      <c r="F146" s="149"/>
      <c r="G146" s="149"/>
      <c r="H146" s="149"/>
      <c r="I146" s="149"/>
      <c r="J146" s="149"/>
    </row>
    <row r="147" spans="5:12" ht="15" customHeight="1" x14ac:dyDescent="0.2">
      <c r="E147" s="147" t="s">
        <v>2165</v>
      </c>
      <c r="F147" s="149"/>
      <c r="G147" s="149"/>
      <c r="H147" s="149"/>
      <c r="I147" s="149"/>
      <c r="J147" s="149"/>
    </row>
    <row r="148" spans="5:12" ht="12.75" x14ac:dyDescent="0.2"/>
    <row r="149" spans="5:12" ht="15" customHeight="1" x14ac:dyDescent="0.2">
      <c r="E149" s="147" t="s">
        <v>2151</v>
      </c>
      <c r="F149" s="147"/>
      <c r="G149" s="147"/>
      <c r="H149" s="147"/>
      <c r="I149" s="147"/>
      <c r="J149" s="147"/>
      <c r="K149" s="24" t="s">
        <v>1938</v>
      </c>
      <c r="L149" s="24" t="s">
        <v>1939</v>
      </c>
    </row>
    <row r="150" spans="5:12" ht="15" customHeight="1" x14ac:dyDescent="0.2">
      <c r="E150" s="209" t="s">
        <v>714</v>
      </c>
      <c r="F150" s="148"/>
      <c r="G150" s="148"/>
      <c r="H150" s="148"/>
      <c r="I150" s="148"/>
      <c r="J150" s="148"/>
      <c r="K150" s="5" t="s">
        <v>2166</v>
      </c>
      <c r="L150" s="207" t="s">
        <v>1993</v>
      </c>
    </row>
    <row r="151" spans="5:12" ht="15" customHeight="1" x14ac:dyDescent="0.2">
      <c r="E151" s="148"/>
      <c r="F151" s="148"/>
      <c r="G151" s="148"/>
      <c r="H151" s="148"/>
      <c r="I151" s="148"/>
      <c r="J151" s="148"/>
      <c r="K151" s="79" t="s">
        <v>1988</v>
      </c>
      <c r="L151" s="207"/>
    </row>
    <row r="152" spans="5:12" ht="15" customHeight="1" x14ac:dyDescent="0.2">
      <c r="E152" s="25" cm="1">
        <f t="array" ref="E152:I156">$E$33:$I$37</f>
        <v>0</v>
      </c>
      <c r="F152">
        <v>0</v>
      </c>
      <c r="G152" t="str">
        <v>#</v>
      </c>
      <c r="H152">
        <v>0</v>
      </c>
      <c r="I152">
        <v>0</v>
      </c>
      <c r="K152" s="79"/>
      <c r="L152" s="207"/>
    </row>
    <row r="153" spans="5:12" ht="12.75" x14ac:dyDescent="0.2">
      <c r="E153">
        <v>0</v>
      </c>
      <c r="F153">
        <v>0</v>
      </c>
      <c r="G153" t="str">
        <v>#</v>
      </c>
      <c r="H153">
        <v>0</v>
      </c>
      <c r="I153">
        <v>0</v>
      </c>
      <c r="L153" s="207"/>
    </row>
    <row r="154" spans="5:12" ht="12.75" x14ac:dyDescent="0.2">
      <c r="E154" t="str">
        <v>#</v>
      </c>
      <c r="F154" t="str">
        <v>#</v>
      </c>
      <c r="G154">
        <v>0</v>
      </c>
      <c r="H154" t="str">
        <v>#</v>
      </c>
      <c r="I154" t="str">
        <v>#</v>
      </c>
      <c r="L154" s="207"/>
    </row>
    <row r="155" spans="5:12" ht="12.75" x14ac:dyDescent="0.2">
      <c r="E155">
        <v>0</v>
      </c>
      <c r="F155">
        <v>0</v>
      </c>
      <c r="G155">
        <v>0</v>
      </c>
      <c r="H155">
        <v>0</v>
      </c>
      <c r="I155">
        <v>0</v>
      </c>
      <c r="L155" s="207"/>
    </row>
    <row r="156" spans="5:12" ht="12.75" x14ac:dyDescent="0.2">
      <c r="E156">
        <v>0</v>
      </c>
      <c r="F156" t="str">
        <v>#</v>
      </c>
      <c r="G156" t="str">
        <v>#</v>
      </c>
      <c r="H156" t="str">
        <v>#</v>
      </c>
      <c r="I156">
        <v>0</v>
      </c>
      <c r="L156" s="207"/>
    </row>
    <row r="157" spans="5:12" ht="12.75" x14ac:dyDescent="0.2">
      <c r="K157" s="24" t="s">
        <v>1940</v>
      </c>
      <c r="L157" s="24" t="s">
        <v>1941</v>
      </c>
    </row>
    <row r="158" spans="5:12" ht="15" customHeight="1" x14ac:dyDescent="0.2">
      <c r="E158" s="209" t="s">
        <v>715</v>
      </c>
      <c r="F158" s="148"/>
      <c r="G158" s="148"/>
      <c r="H158" s="148"/>
      <c r="I158" s="148"/>
      <c r="J158" s="148"/>
      <c r="K158" s="77" t="s">
        <v>1988</v>
      </c>
      <c r="L158" s="207" t="s">
        <v>1994</v>
      </c>
    </row>
    <row r="159" spans="5:12" ht="15" customHeight="1" x14ac:dyDescent="0.2">
      <c r="E159" s="148"/>
      <c r="F159" s="148"/>
      <c r="G159" s="148"/>
      <c r="H159" s="148"/>
      <c r="I159" s="148"/>
      <c r="J159" s="148"/>
      <c r="K159" s="80"/>
      <c r="L159" s="207"/>
    </row>
    <row r="160" spans="5:12" ht="15" customHeight="1" x14ac:dyDescent="0.2">
      <c r="E160" s="26" cm="1">
        <f t="array" ref="E160:I164">Regions_byHadynWiseman($E$33:$I$37,1)</f>
        <v>1</v>
      </c>
      <c r="F160">
        <v>1</v>
      </c>
      <c r="G160" t="str">
        <v/>
      </c>
      <c r="H160">
        <v>2</v>
      </c>
      <c r="I160">
        <v>2</v>
      </c>
      <c r="L160" s="207"/>
    </row>
    <row r="161" spans="5:12" ht="12.75" x14ac:dyDescent="0.2">
      <c r="E161">
        <v>1</v>
      </c>
      <c r="F161">
        <v>1</v>
      </c>
      <c r="G161" t="str">
        <v/>
      </c>
      <c r="H161">
        <v>2</v>
      </c>
      <c r="I161">
        <v>2</v>
      </c>
      <c r="L161" s="207"/>
    </row>
    <row r="162" spans="5:12" ht="12.75" x14ac:dyDescent="0.2">
      <c r="E162" t="str">
        <v/>
      </c>
      <c r="F162" t="str">
        <v/>
      </c>
      <c r="G162">
        <v>3</v>
      </c>
      <c r="H162" t="str">
        <v/>
      </c>
      <c r="I162" t="str">
        <v/>
      </c>
      <c r="L162" s="207"/>
    </row>
    <row r="163" spans="5:12" ht="12.75" x14ac:dyDescent="0.2">
      <c r="E163">
        <v>3</v>
      </c>
      <c r="F163">
        <v>3</v>
      </c>
      <c r="G163">
        <v>3</v>
      </c>
      <c r="H163">
        <v>3</v>
      </c>
      <c r="I163">
        <v>3</v>
      </c>
      <c r="L163" s="207"/>
    </row>
    <row r="164" spans="5:12" ht="12.75" x14ac:dyDescent="0.2">
      <c r="E164">
        <v>3</v>
      </c>
      <c r="F164" t="str">
        <v/>
      </c>
      <c r="G164" t="str">
        <v/>
      </c>
      <c r="H164" t="str">
        <v/>
      </c>
      <c r="I164">
        <v>3</v>
      </c>
      <c r="L164" s="207"/>
    </row>
    <row r="165" spans="5:12" ht="12.75" x14ac:dyDescent="0.2">
      <c r="L165" s="207"/>
    </row>
    <row r="166" spans="5:12" ht="12.75" x14ac:dyDescent="0.2">
      <c r="L166" s="207"/>
    </row>
    <row r="167" spans="5:12" ht="12.75" x14ac:dyDescent="0.2">
      <c r="L167" s="207"/>
    </row>
    <row r="168" spans="5:12" ht="12.75" x14ac:dyDescent="0.2">
      <c r="K168" s="24" t="s">
        <v>1938</v>
      </c>
      <c r="L168" s="24" t="s">
        <v>1939</v>
      </c>
    </row>
    <row r="169" spans="5:12" ht="15" customHeight="1" x14ac:dyDescent="0.2">
      <c r="E169" s="209" t="s">
        <v>714</v>
      </c>
      <c r="F169" s="148"/>
      <c r="G169" s="148"/>
      <c r="H169" s="148"/>
      <c r="I169" s="148"/>
      <c r="J169" s="148"/>
      <c r="K169" s="5" t="s">
        <v>2167</v>
      </c>
      <c r="L169" s="207" t="s">
        <v>1993</v>
      </c>
    </row>
    <row r="170" spans="5:12" ht="15" customHeight="1" x14ac:dyDescent="0.2">
      <c r="E170" s="148"/>
      <c r="F170" s="148"/>
      <c r="G170" s="148"/>
      <c r="H170" s="148"/>
      <c r="I170" s="148"/>
      <c r="J170" s="148"/>
      <c r="K170" s="22" t="s">
        <v>1988</v>
      </c>
      <c r="L170" s="207"/>
    </row>
    <row r="171" spans="5:12" ht="15" customHeight="1" x14ac:dyDescent="0.2">
      <c r="E171" s="25" cm="1">
        <f t="array" ref="E171:I175">$E$33:$I$37</f>
        <v>0</v>
      </c>
      <c r="F171">
        <v>0</v>
      </c>
      <c r="G171" t="str">
        <v>#</v>
      </c>
      <c r="H171">
        <v>0</v>
      </c>
      <c r="I171">
        <v>0</v>
      </c>
      <c r="K171" s="22"/>
      <c r="L171" s="207"/>
    </row>
    <row r="172" spans="5:12" ht="12.75" x14ac:dyDescent="0.2">
      <c r="E172">
        <v>0</v>
      </c>
      <c r="F172">
        <v>0</v>
      </c>
      <c r="G172" t="str">
        <v>#</v>
      </c>
      <c r="H172">
        <v>0</v>
      </c>
      <c r="I172">
        <v>0</v>
      </c>
      <c r="L172" s="207"/>
    </row>
    <row r="173" spans="5:12" ht="12.75" x14ac:dyDescent="0.2">
      <c r="E173" t="str">
        <v>#</v>
      </c>
      <c r="F173" t="str">
        <v>#</v>
      </c>
      <c r="G173">
        <v>0</v>
      </c>
      <c r="H173" t="str">
        <v>#</v>
      </c>
      <c r="I173" t="str">
        <v>#</v>
      </c>
      <c r="L173" s="207"/>
    </row>
    <row r="174" spans="5:12" ht="12.75" x14ac:dyDescent="0.2">
      <c r="E174">
        <v>0</v>
      </c>
      <c r="F174">
        <v>0</v>
      </c>
      <c r="G174">
        <v>0</v>
      </c>
      <c r="H174">
        <v>0</v>
      </c>
      <c r="I174">
        <v>0</v>
      </c>
      <c r="L174" s="207"/>
    </row>
    <row r="175" spans="5:12" ht="12.75" x14ac:dyDescent="0.2">
      <c r="E175">
        <v>0</v>
      </c>
      <c r="F175" t="str">
        <v>#</v>
      </c>
      <c r="G175" t="str">
        <v>#</v>
      </c>
      <c r="H175" t="str">
        <v>#</v>
      </c>
      <c r="I175">
        <v>0</v>
      </c>
      <c r="L175" s="207"/>
    </row>
    <row r="176" spans="5:12" ht="12.75" x14ac:dyDescent="0.2">
      <c r="K176" s="24" t="s">
        <v>1940</v>
      </c>
      <c r="L176" s="24" t="s">
        <v>1941</v>
      </c>
    </row>
    <row r="177" spans="5:12" ht="15" customHeight="1" x14ac:dyDescent="0.2">
      <c r="E177" s="209" t="s">
        <v>716</v>
      </c>
      <c r="F177" s="148"/>
      <c r="G177" s="148"/>
      <c r="H177" s="148"/>
      <c r="I177" s="148"/>
      <c r="J177" s="148"/>
      <c r="K177" s="5" t="s">
        <v>1988</v>
      </c>
      <c r="L177" s="207" t="s">
        <v>2013</v>
      </c>
    </row>
    <row r="178" spans="5:12" ht="15" customHeight="1" x14ac:dyDescent="0.2">
      <c r="E178" s="148"/>
      <c r="F178" s="148"/>
      <c r="G178" s="148"/>
      <c r="H178" s="148"/>
      <c r="I178" s="148"/>
      <c r="J178" s="148"/>
      <c r="L178" s="208"/>
    </row>
    <row r="179" spans="5:12" ht="15" customHeight="1" x14ac:dyDescent="0.2">
      <c r="E179" s="26" cm="1">
        <f t="array" ref="E179:I183">Regions_byHadynWiseman($E$33:$I$37,0)</f>
        <v>1</v>
      </c>
      <c r="F179">
        <v>1</v>
      </c>
      <c r="G179" t="str">
        <v/>
      </c>
      <c r="H179">
        <v>1</v>
      </c>
      <c r="I179">
        <v>1</v>
      </c>
      <c r="L179" s="208"/>
    </row>
    <row r="180" spans="5:12" ht="12.75" x14ac:dyDescent="0.2">
      <c r="E180">
        <v>1</v>
      </c>
      <c r="F180">
        <v>1</v>
      </c>
      <c r="G180" t="str">
        <v/>
      </c>
      <c r="H180">
        <v>1</v>
      </c>
      <c r="I180">
        <v>1</v>
      </c>
      <c r="L180" s="208"/>
    </row>
    <row r="181" spans="5:12" ht="12.75" x14ac:dyDescent="0.2">
      <c r="E181" t="str">
        <v/>
      </c>
      <c r="F181" t="str">
        <v/>
      </c>
      <c r="G181">
        <v>1</v>
      </c>
      <c r="H181" t="str">
        <v/>
      </c>
      <c r="I181" t="str">
        <v/>
      </c>
      <c r="L181" s="208"/>
    </row>
    <row r="182" spans="5:12" ht="12.75" x14ac:dyDescent="0.2">
      <c r="E182">
        <v>1</v>
      </c>
      <c r="F182">
        <v>1</v>
      </c>
      <c r="G182">
        <v>1</v>
      </c>
      <c r="H182">
        <v>1</v>
      </c>
      <c r="I182">
        <v>1</v>
      </c>
      <c r="L182" s="208"/>
    </row>
    <row r="183" spans="5:12" ht="12.75" x14ac:dyDescent="0.2">
      <c r="E183">
        <v>1</v>
      </c>
      <c r="F183" t="str">
        <v/>
      </c>
      <c r="G183" t="str">
        <v/>
      </c>
      <c r="H183" t="str">
        <v/>
      </c>
      <c r="I183">
        <v>1</v>
      </c>
      <c r="L183" s="208"/>
    </row>
    <row r="184" spans="5:12" ht="12.75" x14ac:dyDescent="0.2">
      <c r="L184" s="208"/>
    </row>
    <row r="185" spans="5:12" ht="12.75" x14ac:dyDescent="0.2">
      <c r="L185" s="208"/>
    </row>
    <row r="186" spans="5:12" ht="12.75" x14ac:dyDescent="0.2">
      <c r="L186" s="208"/>
    </row>
    <row r="187" spans="5:12" ht="12.75" x14ac:dyDescent="0.2">
      <c r="L187" s="208"/>
    </row>
    <row r="188" spans="5:12" ht="25.5" customHeight="1" x14ac:dyDescent="0.2">
      <c r="E188" s="152" t="s">
        <v>717</v>
      </c>
      <c r="F188" s="152"/>
      <c r="G188" s="152"/>
      <c r="H188" s="152"/>
      <c r="I188" s="152"/>
      <c r="J188" s="152"/>
    </row>
    <row r="189" spans="5:12" ht="25.5" customHeight="1" x14ac:dyDescent="0.2">
      <c r="E189" s="172" t="s">
        <v>2168</v>
      </c>
      <c r="F189" s="173"/>
      <c r="G189" s="173"/>
      <c r="H189" s="173"/>
      <c r="I189" s="173"/>
      <c r="J189" s="174"/>
    </row>
    <row r="190" spans="5:12" ht="12.75" x14ac:dyDescent="0.2"/>
    <row r="191" spans="5:12" ht="12.75" x14ac:dyDescent="0.2"/>
    <row r="192" spans="5:12" ht="15.75" customHeight="1" x14ac:dyDescent="0.2">
      <c r="E192" s="159" t="s">
        <v>718</v>
      </c>
      <c r="F192" s="159"/>
      <c r="G192" s="159"/>
      <c r="H192" s="159"/>
      <c r="I192" s="159"/>
      <c r="J192" s="159"/>
      <c r="K192" s="52" t="s">
        <v>719</v>
      </c>
    </row>
    <row r="193" spans="5:12" ht="15" customHeight="1" x14ac:dyDescent="0.2">
      <c r="E193" s="152" t="s">
        <v>2157</v>
      </c>
      <c r="F193" s="149"/>
      <c r="G193" s="149"/>
      <c r="H193" s="149"/>
      <c r="I193" s="149"/>
      <c r="J193" s="149"/>
    </row>
    <row r="194" spans="5:12" ht="15" customHeight="1" x14ac:dyDescent="0.2">
      <c r="E194" s="147" t="s">
        <v>2158</v>
      </c>
      <c r="F194" s="149"/>
      <c r="G194" s="149"/>
      <c r="H194" s="149"/>
      <c r="I194" s="149"/>
      <c r="J194" s="149"/>
    </row>
    <row r="195" spans="5:12" ht="12.75" x14ac:dyDescent="0.2"/>
    <row r="196" spans="5:12" ht="15" customHeight="1" x14ac:dyDescent="0.2">
      <c r="E196" s="202" t="s">
        <v>1729</v>
      </c>
      <c r="F196" s="203"/>
      <c r="G196" s="203"/>
      <c r="H196" s="203"/>
      <c r="I196" s="203"/>
      <c r="J196" s="204"/>
    </row>
    <row r="197" spans="5:12" ht="15" customHeight="1" x14ac:dyDescent="0.2">
      <c r="E197" s="147" t="s">
        <v>2129</v>
      </c>
      <c r="F197" s="149"/>
      <c r="G197" s="149"/>
      <c r="H197" s="149"/>
      <c r="I197" s="149"/>
      <c r="J197" s="149"/>
    </row>
    <row r="198" spans="5:12" ht="15" customHeight="1" x14ac:dyDescent="0.2">
      <c r="E198" s="147" t="s">
        <v>720</v>
      </c>
      <c r="F198" s="149"/>
      <c r="G198" s="149"/>
      <c r="H198" s="149"/>
      <c r="I198" s="149"/>
      <c r="J198" s="149"/>
    </row>
    <row r="199" spans="5:12" ht="12.75" x14ac:dyDescent="0.2"/>
    <row r="200" spans="5:12" ht="21.75" customHeight="1" x14ac:dyDescent="0.2">
      <c r="E200" s="147" t="s">
        <v>2159</v>
      </c>
      <c r="F200" s="147"/>
      <c r="G200" s="147"/>
      <c r="H200" s="147"/>
      <c r="I200" s="147"/>
      <c r="J200" s="147"/>
      <c r="K200" s="24" t="s">
        <v>1938</v>
      </c>
      <c r="L200" s="24" t="s">
        <v>1939</v>
      </c>
    </row>
    <row r="201" spans="5:12" ht="15" customHeight="1" x14ac:dyDescent="0.2">
      <c r="E201" s="209" t="s">
        <v>721</v>
      </c>
      <c r="F201" s="148"/>
      <c r="G201" s="148"/>
      <c r="H201" s="148"/>
      <c r="I201" s="148"/>
      <c r="J201" s="148"/>
      <c r="K201" s="5" t="s">
        <v>722</v>
      </c>
      <c r="L201" s="207" t="s">
        <v>1995</v>
      </c>
    </row>
    <row r="202" spans="5:12" ht="15" customHeight="1" x14ac:dyDescent="0.2">
      <c r="E202" s="25" t="str" cm="1">
        <f t="array" ref="E202:H204">$E$40:$H$42</f>
        <v>a</v>
      </c>
      <c r="F202" t="str">
        <v>b</v>
      </c>
      <c r="G202" t="str">
        <v>c</v>
      </c>
      <c r="H202" t="str">
        <v>d</v>
      </c>
      <c r="K202" s="79" t="s">
        <v>1985</v>
      </c>
      <c r="L202" s="207"/>
    </row>
    <row r="203" spans="5:12" ht="12.75" x14ac:dyDescent="0.2">
      <c r="E203" t="str">
        <v>e</v>
      </c>
      <c r="F203" t="str">
        <v>f</v>
      </c>
      <c r="G203" t="str">
        <v>g</v>
      </c>
      <c r="H203" t="str">
        <v>h</v>
      </c>
      <c r="L203" s="207"/>
    </row>
    <row r="204" spans="5:12" ht="12.75" x14ac:dyDescent="0.2">
      <c r="E204" t="str">
        <v>i</v>
      </c>
      <c r="F204" t="str">
        <v>j</v>
      </c>
      <c r="G204" t="str">
        <v>k</v>
      </c>
      <c r="H204" t="str">
        <v>l</v>
      </c>
      <c r="L204" s="207"/>
    </row>
    <row r="205" spans="5:12" ht="12.75" x14ac:dyDescent="0.2">
      <c r="L205" s="207"/>
    </row>
    <row r="206" spans="5:12" ht="12.75" x14ac:dyDescent="0.2">
      <c r="K206" s="24" t="s">
        <v>1940</v>
      </c>
      <c r="L206" s="24" t="s">
        <v>1941</v>
      </c>
    </row>
    <row r="207" spans="5:12" ht="15" customHeight="1" x14ac:dyDescent="0.2">
      <c r="E207" s="209" t="s">
        <v>723</v>
      </c>
      <c r="F207" s="148"/>
      <c r="G207" s="148"/>
      <c r="H207" s="148"/>
      <c r="I207" s="148"/>
      <c r="J207" s="148"/>
      <c r="K207" s="77" t="s">
        <v>1992</v>
      </c>
      <c r="L207" s="207" t="s">
        <v>1996</v>
      </c>
    </row>
    <row r="208" spans="5:12" ht="15" customHeight="1" x14ac:dyDescent="0.2">
      <c r="E208" s="26" t="str" cm="1">
        <f t="array" ref="E208:G211">Rotate_byHadynWiseman($E$40:$H$42,1)</f>
        <v>i</v>
      </c>
      <c r="F208" t="str">
        <v>e</v>
      </c>
      <c r="G208" t="str">
        <v>a</v>
      </c>
      <c r="L208" s="207"/>
    </row>
    <row r="209" spans="5:12" ht="12.75" x14ac:dyDescent="0.2">
      <c r="E209" t="str">
        <v>j</v>
      </c>
      <c r="F209" t="str">
        <v>f</v>
      </c>
      <c r="G209" t="str">
        <v>b</v>
      </c>
      <c r="L209" s="207"/>
    </row>
    <row r="210" spans="5:12" ht="12.75" x14ac:dyDescent="0.2">
      <c r="E210" t="str">
        <v>k</v>
      </c>
      <c r="F210" t="str">
        <v>g</v>
      </c>
      <c r="G210" t="str">
        <v>c</v>
      </c>
      <c r="L210" s="207"/>
    </row>
    <row r="211" spans="5:12" ht="12.75" x14ac:dyDescent="0.2">
      <c r="E211" t="str">
        <v>l</v>
      </c>
      <c r="F211" t="str">
        <v>h</v>
      </c>
      <c r="G211" t="str">
        <v>d</v>
      </c>
      <c r="L211" s="207"/>
    </row>
    <row r="212" spans="5:12" ht="12.75" x14ac:dyDescent="0.2">
      <c r="L212" s="207"/>
    </row>
    <row r="213" spans="5:12" ht="12.75" x14ac:dyDescent="0.2">
      <c r="K213" s="24" t="s">
        <v>1938</v>
      </c>
      <c r="L213" s="24" t="s">
        <v>1939</v>
      </c>
    </row>
    <row r="214" spans="5:12" ht="15" customHeight="1" x14ac:dyDescent="0.2">
      <c r="E214" s="209" t="s">
        <v>721</v>
      </c>
      <c r="F214" s="148"/>
      <c r="G214" s="148"/>
      <c r="H214" s="148"/>
      <c r="I214" s="148"/>
      <c r="J214" s="148"/>
      <c r="K214" s="5" t="s">
        <v>2161</v>
      </c>
      <c r="L214" s="207" t="s">
        <v>1995</v>
      </c>
    </row>
    <row r="215" spans="5:12" ht="15" customHeight="1" x14ac:dyDescent="0.2">
      <c r="E215" s="25" t="str" cm="1">
        <f t="array" ref="E215:H217">$E$40:$H$42</f>
        <v>a</v>
      </c>
      <c r="F215" t="str">
        <v>b</v>
      </c>
      <c r="G215" t="str">
        <v>c</v>
      </c>
      <c r="H215" t="str">
        <v>d</v>
      </c>
      <c r="K215" s="22" t="s">
        <v>1985</v>
      </c>
      <c r="L215" s="207"/>
    </row>
    <row r="216" spans="5:12" ht="12.75" x14ac:dyDescent="0.2">
      <c r="E216" t="str">
        <v>e</v>
      </c>
      <c r="F216" t="str">
        <v>f</v>
      </c>
      <c r="G216" t="str">
        <v>g</v>
      </c>
      <c r="H216" t="str">
        <v>h</v>
      </c>
      <c r="L216" s="207"/>
    </row>
    <row r="217" spans="5:12" ht="12.75" x14ac:dyDescent="0.2">
      <c r="E217" t="str">
        <v>i</v>
      </c>
      <c r="F217" t="str">
        <v>j</v>
      </c>
      <c r="G217" t="str">
        <v>k</v>
      </c>
      <c r="H217" t="str">
        <v>l</v>
      </c>
      <c r="L217" s="207"/>
    </row>
    <row r="218" spans="5:12" ht="12.75" x14ac:dyDescent="0.2">
      <c r="K218" s="24" t="s">
        <v>1940</v>
      </c>
      <c r="L218" s="24" t="s">
        <v>1941</v>
      </c>
    </row>
    <row r="219" spans="5:12" ht="15" customHeight="1" x14ac:dyDescent="0.2">
      <c r="E219" s="209" t="s">
        <v>2160</v>
      </c>
      <c r="F219" s="148"/>
      <c r="G219" s="148"/>
      <c r="H219" s="148"/>
      <c r="I219" s="148"/>
      <c r="J219" s="148"/>
      <c r="K219" s="5" t="s">
        <v>1985</v>
      </c>
      <c r="L219" s="207" t="s">
        <v>2014</v>
      </c>
    </row>
    <row r="220" spans="5:12" ht="15" customHeight="1" x14ac:dyDescent="0.2">
      <c r="E220" s="26" t="str" cm="1">
        <f t="array" ref="E220:H222">Rotate_byHadynWiseman(Rotate_byHadynWiseman($E$40:$H$42,1),1)</f>
        <v>l</v>
      </c>
      <c r="F220" t="str">
        <v>k</v>
      </c>
      <c r="G220" t="str">
        <v>j</v>
      </c>
      <c r="H220" t="str">
        <v>i</v>
      </c>
      <c r="L220" s="208"/>
    </row>
    <row r="221" spans="5:12" ht="12.75" x14ac:dyDescent="0.2">
      <c r="E221" t="str">
        <v>h</v>
      </c>
      <c r="F221" t="str">
        <v>g</v>
      </c>
      <c r="G221" t="str">
        <v>f</v>
      </c>
      <c r="H221" t="str">
        <v>e</v>
      </c>
      <c r="L221" s="208"/>
    </row>
    <row r="222" spans="5:12" ht="12.75" x14ac:dyDescent="0.2">
      <c r="E222" t="str">
        <v>d</v>
      </c>
      <c r="F222" t="str">
        <v>c</v>
      </c>
      <c r="G222" t="str">
        <v>b</v>
      </c>
      <c r="H222" t="str">
        <v>a</v>
      </c>
      <c r="L222" s="208"/>
    </row>
    <row r="223" spans="5:12" ht="12.75" x14ac:dyDescent="0.2">
      <c r="L223" s="208"/>
    </row>
    <row r="224" spans="5:12" ht="25.5" customHeight="1" x14ac:dyDescent="0.2">
      <c r="E224" s="152" t="s">
        <v>724</v>
      </c>
      <c r="F224" s="152"/>
      <c r="G224" s="152"/>
      <c r="H224" s="152"/>
      <c r="I224" s="152"/>
      <c r="J224" s="152"/>
    </row>
    <row r="225" spans="5:12" ht="15" customHeight="1" x14ac:dyDescent="0.2">
      <c r="E225" s="172" t="s">
        <v>1831</v>
      </c>
      <c r="F225" s="173"/>
      <c r="G225" s="173"/>
      <c r="H225" s="173"/>
      <c r="I225" s="173"/>
      <c r="J225" s="174"/>
    </row>
    <row r="226" spans="5:12" ht="12.75" x14ac:dyDescent="0.2"/>
    <row r="227" spans="5:12" ht="12.75" x14ac:dyDescent="0.2"/>
    <row r="228" spans="5:12" ht="15.75" customHeight="1" x14ac:dyDescent="0.2">
      <c r="E228" s="159" t="s">
        <v>725</v>
      </c>
      <c r="F228" s="159"/>
      <c r="G228" s="159"/>
      <c r="H228" s="159"/>
      <c r="I228" s="159"/>
      <c r="J228" s="159"/>
      <c r="K228" s="52" t="s">
        <v>2147</v>
      </c>
    </row>
    <row r="229" spans="5:12" ht="38.25" customHeight="1" x14ac:dyDescent="0.2">
      <c r="E229" s="152" t="s">
        <v>2148</v>
      </c>
      <c r="F229" s="149"/>
      <c r="G229" s="149"/>
      <c r="H229" s="149"/>
      <c r="I229" s="149"/>
      <c r="J229" s="149"/>
    </row>
    <row r="230" spans="5:12" ht="21.75" customHeight="1" x14ac:dyDescent="0.2">
      <c r="E230" s="147" t="s">
        <v>2149</v>
      </c>
      <c r="F230" s="149"/>
      <c r="G230" s="149"/>
      <c r="H230" s="149"/>
      <c r="I230" s="149"/>
      <c r="J230" s="149"/>
    </row>
    <row r="231" spans="5:12" ht="12.75" x14ac:dyDescent="0.2"/>
    <row r="232" spans="5:12" ht="15" customHeight="1" x14ac:dyDescent="0.2">
      <c r="E232" s="202" t="s">
        <v>1729</v>
      </c>
      <c r="F232" s="203"/>
      <c r="G232" s="203"/>
      <c r="H232" s="203"/>
      <c r="I232" s="203"/>
      <c r="J232" s="204"/>
    </row>
    <row r="233" spans="5:12" ht="15" customHeight="1" x14ac:dyDescent="0.2">
      <c r="E233" s="147" t="s">
        <v>2129</v>
      </c>
      <c r="F233" s="149"/>
      <c r="G233" s="149"/>
      <c r="H233" s="149"/>
      <c r="I233" s="149"/>
      <c r="J233" s="149"/>
    </row>
    <row r="234" spans="5:12" ht="15" customHeight="1" x14ac:dyDescent="0.2">
      <c r="E234" s="147" t="s">
        <v>2150</v>
      </c>
      <c r="F234" s="149"/>
      <c r="G234" s="149"/>
      <c r="H234" s="149"/>
      <c r="I234" s="149"/>
      <c r="J234" s="149"/>
    </row>
    <row r="235" spans="5:12" ht="12.75" x14ac:dyDescent="0.2"/>
    <row r="236" spans="5:12" ht="15" customHeight="1" x14ac:dyDescent="0.2">
      <c r="E236" s="147" t="s">
        <v>2151</v>
      </c>
      <c r="F236" s="147"/>
      <c r="G236" s="147"/>
      <c r="H236" s="147"/>
      <c r="I236" s="147"/>
      <c r="J236" s="147"/>
      <c r="K236" s="24" t="s">
        <v>1938</v>
      </c>
      <c r="L236" s="24" t="s">
        <v>1939</v>
      </c>
    </row>
    <row r="237" spans="5:12" ht="15" customHeight="1" x14ac:dyDescent="0.2">
      <c r="E237" s="209" t="s">
        <v>721</v>
      </c>
      <c r="F237" s="148"/>
      <c r="G237" s="148"/>
      <c r="H237" s="148"/>
      <c r="I237" s="148"/>
      <c r="J237" s="148"/>
      <c r="K237" s="5" t="s">
        <v>2153</v>
      </c>
      <c r="L237" s="207" t="s">
        <v>1995</v>
      </c>
    </row>
    <row r="238" spans="5:12" ht="15" customHeight="1" x14ac:dyDescent="0.2">
      <c r="E238" s="25" t="str" cm="1">
        <f t="array" ref="E238:H240">$E$40:$H$42</f>
        <v>a</v>
      </c>
      <c r="F238" t="str">
        <v>b</v>
      </c>
      <c r="G238" t="str">
        <v>c</v>
      </c>
      <c r="H238" t="str">
        <v>d</v>
      </c>
      <c r="K238" s="79" t="s">
        <v>1985</v>
      </c>
      <c r="L238" s="207"/>
    </row>
    <row r="239" spans="5:12" ht="12.75" x14ac:dyDescent="0.2">
      <c r="E239" t="str">
        <v>e</v>
      </c>
      <c r="F239" t="str">
        <v>f</v>
      </c>
      <c r="G239" t="str">
        <v>g</v>
      </c>
      <c r="H239" t="str">
        <v>h</v>
      </c>
      <c r="L239" s="207"/>
    </row>
    <row r="240" spans="5:12" ht="12.75" x14ac:dyDescent="0.2">
      <c r="E240" t="str">
        <v>i</v>
      </c>
      <c r="F240" t="str">
        <v>j</v>
      </c>
      <c r="G240" t="str">
        <v>k</v>
      </c>
      <c r="H240" t="str">
        <v>l</v>
      </c>
      <c r="L240" s="207"/>
    </row>
    <row r="241" spans="5:12" ht="12.75" x14ac:dyDescent="0.2">
      <c r="K241" s="24" t="s">
        <v>1940</v>
      </c>
      <c r="L241" s="24" t="s">
        <v>1941</v>
      </c>
    </row>
    <row r="242" spans="5:12" ht="15" customHeight="1" x14ac:dyDescent="0.2">
      <c r="E242" s="209" t="s">
        <v>2152</v>
      </c>
      <c r="F242" s="148"/>
      <c r="G242" s="148"/>
      <c r="H242" s="148"/>
      <c r="I242" s="148"/>
      <c r="J242" s="148"/>
      <c r="K242" s="77" t="s">
        <v>1985</v>
      </c>
      <c r="L242" s="207" t="s">
        <v>1997</v>
      </c>
    </row>
    <row r="243" spans="5:12" ht="15" customHeight="1" x14ac:dyDescent="0.2">
      <c r="E243" s="26" t="str" cm="1">
        <f t="array" ref="E243:H245">Flip_byHadynWiseman($E$40:$H$42,1)</f>
        <v>d</v>
      </c>
      <c r="F243" t="str">
        <v>c</v>
      </c>
      <c r="G243" t="str">
        <v>b</v>
      </c>
      <c r="H243" t="str">
        <v>a</v>
      </c>
      <c r="L243" s="207"/>
    </row>
    <row r="244" spans="5:12" ht="12.75" x14ac:dyDescent="0.2">
      <c r="E244" t="str">
        <v>h</v>
      </c>
      <c r="F244" t="str">
        <v>g</v>
      </c>
      <c r="G244" t="str">
        <v>f</v>
      </c>
      <c r="H244" t="str">
        <v>e</v>
      </c>
      <c r="L244" s="207"/>
    </row>
    <row r="245" spans="5:12" ht="12.75" x14ac:dyDescent="0.2">
      <c r="E245" t="str">
        <v>l</v>
      </c>
      <c r="F245" t="str">
        <v>k</v>
      </c>
      <c r="G245" t="str">
        <v>j</v>
      </c>
      <c r="H245" t="str">
        <v>i</v>
      </c>
      <c r="L245" s="207"/>
    </row>
    <row r="246" spans="5:12" ht="12.75" x14ac:dyDescent="0.2">
      <c r="L246" s="207"/>
    </row>
    <row r="247" spans="5:12" ht="12.75" x14ac:dyDescent="0.2">
      <c r="K247" s="24" t="s">
        <v>1938</v>
      </c>
      <c r="L247" s="24" t="s">
        <v>1939</v>
      </c>
    </row>
    <row r="248" spans="5:12" ht="15" customHeight="1" x14ac:dyDescent="0.2">
      <c r="E248" s="209" t="s">
        <v>727</v>
      </c>
      <c r="F248" s="148"/>
      <c r="G248" s="148"/>
      <c r="H248" s="148"/>
      <c r="I248" s="148"/>
      <c r="J248" s="148"/>
      <c r="K248" s="5" t="s">
        <v>2155</v>
      </c>
      <c r="L248" s="207" t="s">
        <v>1354</v>
      </c>
    </row>
    <row r="249" spans="5:12" ht="15" customHeight="1" x14ac:dyDescent="0.2">
      <c r="E249" s="25" t="str">
        <f>"stressed"</f>
        <v>stressed</v>
      </c>
      <c r="L249" s="207"/>
    </row>
    <row r="250" spans="5:12" ht="12.75" x14ac:dyDescent="0.2">
      <c r="K250" s="24" t="s">
        <v>1940</v>
      </c>
      <c r="L250" s="24" t="s">
        <v>1941</v>
      </c>
    </row>
    <row r="251" spans="5:12" ht="15" customHeight="1" x14ac:dyDescent="0.2">
      <c r="E251" s="209" t="s">
        <v>2154</v>
      </c>
      <c r="F251" s="148"/>
      <c r="G251" s="148"/>
      <c r="H251" s="148"/>
      <c r="I251" s="148"/>
      <c r="J251" s="148"/>
      <c r="K251" s="5"/>
      <c r="L251" s="207" t="s">
        <v>1355</v>
      </c>
    </row>
    <row r="252" spans="5:12" ht="15" customHeight="1" x14ac:dyDescent="0.2">
      <c r="E252" s="26" t="str" cm="1">
        <f t="array" ref="E252">Flip_byHadynWiseman("stressed")</f>
        <v>desserts</v>
      </c>
      <c r="L252" s="208"/>
    </row>
    <row r="253" spans="5:12" ht="12.75" x14ac:dyDescent="0.2">
      <c r="L253" s="208"/>
    </row>
    <row r="254" spans="5:12" ht="15" customHeight="1" x14ac:dyDescent="0.2">
      <c r="E254" s="152" t="s">
        <v>728</v>
      </c>
      <c r="F254" s="152"/>
      <c r="G254" s="152"/>
      <c r="H254" s="152"/>
      <c r="I254" s="152"/>
      <c r="J254" s="152"/>
    </row>
    <row r="255" spans="5:12" ht="15" customHeight="1" x14ac:dyDescent="0.2">
      <c r="E255" s="172" t="s">
        <v>2156</v>
      </c>
      <c r="F255" s="173"/>
      <c r="G255" s="173"/>
      <c r="H255" s="173"/>
      <c r="I255" s="173"/>
      <c r="J255" s="174"/>
    </row>
    <row r="256" spans="5:12" ht="12.75" x14ac:dyDescent="0.2"/>
    <row r="257" spans="5:12" ht="12.75" x14ac:dyDescent="0.2"/>
    <row r="258" spans="5:12" ht="15.75" customHeight="1" x14ac:dyDescent="0.2">
      <c r="E258" s="159" t="s">
        <v>729</v>
      </c>
      <c r="F258" s="159"/>
      <c r="G258" s="159"/>
      <c r="H258" s="159"/>
      <c r="I258" s="159"/>
      <c r="J258" s="159"/>
      <c r="K258" s="52" t="s">
        <v>730</v>
      </c>
    </row>
    <row r="259" spans="5:12" ht="15" customHeight="1" x14ac:dyDescent="0.2">
      <c r="E259" s="152" t="s">
        <v>731</v>
      </c>
      <c r="F259" s="149"/>
      <c r="G259" s="149"/>
      <c r="H259" s="149"/>
      <c r="I259" s="149"/>
      <c r="J259" s="149"/>
    </row>
    <row r="260" spans="5:12" ht="21.75" customHeight="1" x14ac:dyDescent="0.2">
      <c r="E260" s="147" t="s">
        <v>1521</v>
      </c>
      <c r="F260" s="147"/>
      <c r="G260" s="147"/>
      <c r="H260" s="147"/>
      <c r="I260" s="147"/>
      <c r="J260" s="147"/>
    </row>
    <row r="261" spans="5:12" ht="12.75" x14ac:dyDescent="0.2"/>
    <row r="262" spans="5:12" ht="15" customHeight="1" x14ac:dyDescent="0.2">
      <c r="E262" s="202" t="s">
        <v>1729</v>
      </c>
      <c r="F262" s="203"/>
      <c r="G262" s="203"/>
      <c r="H262" s="203"/>
      <c r="I262" s="203"/>
      <c r="J262" s="204"/>
    </row>
    <row r="263" spans="5:12" ht="15" customHeight="1" x14ac:dyDescent="0.2">
      <c r="E263" s="147" t="s">
        <v>701</v>
      </c>
      <c r="F263" s="149"/>
      <c r="G263" s="149"/>
      <c r="H263" s="149"/>
      <c r="I263" s="149"/>
      <c r="J263" s="149"/>
    </row>
    <row r="264" spans="5:12" ht="15" customHeight="1" x14ac:dyDescent="0.2">
      <c r="E264" s="147" t="s">
        <v>732</v>
      </c>
      <c r="F264" s="149"/>
      <c r="G264" s="149"/>
      <c r="H264" s="149"/>
      <c r="I264" s="149"/>
      <c r="J264" s="149"/>
    </row>
    <row r="265" spans="5:12" ht="12.75" x14ac:dyDescent="0.2"/>
    <row r="266" spans="5:12" ht="15" customHeight="1" x14ac:dyDescent="0.2">
      <c r="E266" s="147" t="s">
        <v>1394</v>
      </c>
      <c r="F266" s="147"/>
      <c r="G266" s="147"/>
      <c r="H266" s="147"/>
      <c r="I266" s="147"/>
      <c r="J266" s="147"/>
      <c r="K266" s="24" t="s">
        <v>1938</v>
      </c>
      <c r="L266" s="24" t="s">
        <v>1939</v>
      </c>
    </row>
    <row r="267" spans="5:12" ht="15" customHeight="1" x14ac:dyDescent="0.2">
      <c r="E267" s="209" t="s">
        <v>733</v>
      </c>
      <c r="F267" s="148"/>
      <c r="G267" s="148"/>
      <c r="H267" s="148"/>
      <c r="I267" s="148"/>
      <c r="J267" s="148"/>
      <c r="K267" s="5" t="s">
        <v>734</v>
      </c>
      <c r="L267" s="207" t="s">
        <v>1998</v>
      </c>
    </row>
    <row r="268" spans="5:12" ht="15" customHeight="1" x14ac:dyDescent="0.2">
      <c r="E268" s="25" cm="1">
        <f t="array" ref="E268:J268">$E$45:$J$45</f>
        <v>1</v>
      </c>
      <c r="F268">
        <v>2</v>
      </c>
      <c r="G268">
        <v>3</v>
      </c>
      <c r="H268">
        <v>4</v>
      </c>
      <c r="I268">
        <v>5</v>
      </c>
      <c r="J268">
        <v>6</v>
      </c>
      <c r="K268" s="79" t="s">
        <v>1999</v>
      </c>
      <c r="L268" s="207"/>
    </row>
    <row r="269" spans="5:12" ht="12.75" x14ac:dyDescent="0.2">
      <c r="L269" s="207"/>
    </row>
    <row r="270" spans="5:12" ht="12.75" x14ac:dyDescent="0.2">
      <c r="K270" s="24" t="s">
        <v>1940</v>
      </c>
      <c r="L270" s="24" t="s">
        <v>1941</v>
      </c>
    </row>
    <row r="271" spans="5:12" ht="15" customHeight="1" x14ac:dyDescent="0.2">
      <c r="E271" s="209" t="s">
        <v>735</v>
      </c>
      <c r="F271" s="148"/>
      <c r="G271" s="148"/>
      <c r="H271" s="148"/>
      <c r="I271" s="148"/>
      <c r="J271" s="148"/>
      <c r="K271" s="77" t="s">
        <v>2001</v>
      </c>
      <c r="L271" s="207" t="s">
        <v>2000</v>
      </c>
    </row>
    <row r="272" spans="5:12" ht="15" customHeight="1" x14ac:dyDescent="0.2">
      <c r="E272" s="26" cm="1">
        <f t="array" ref="E272:G273">_xlfn.WRAPROWS(_xlfn.TOCOL($E$45:$J$45,3),3,"")</f>
        <v>1</v>
      </c>
      <c r="F272">
        <v>2</v>
      </c>
      <c r="G272">
        <v>3</v>
      </c>
      <c r="L272" s="207"/>
    </row>
    <row r="273" spans="5:12" ht="12.75" x14ac:dyDescent="0.2">
      <c r="E273">
        <v>4</v>
      </c>
      <c r="F273">
        <v>5</v>
      </c>
      <c r="G273">
        <v>6</v>
      </c>
      <c r="L273" s="207"/>
    </row>
    <row r="274" spans="5:12" ht="12.75" x14ac:dyDescent="0.2">
      <c r="L274" s="207"/>
    </row>
    <row r="275" spans="5:12" ht="12.75" x14ac:dyDescent="0.2">
      <c r="K275" s="24" t="s">
        <v>1938</v>
      </c>
      <c r="L275" s="24" t="s">
        <v>1939</v>
      </c>
    </row>
    <row r="276" spans="5:12" ht="15" customHeight="1" x14ac:dyDescent="0.2">
      <c r="E276" s="209" t="s">
        <v>733</v>
      </c>
      <c r="F276" s="148"/>
      <c r="G276" s="148"/>
      <c r="H276" s="148"/>
      <c r="I276" s="148"/>
      <c r="J276" s="148"/>
      <c r="K276" s="5" t="s">
        <v>736</v>
      </c>
      <c r="L276" s="207" t="s">
        <v>1998</v>
      </c>
    </row>
    <row r="277" spans="5:12" ht="15" customHeight="1" x14ac:dyDescent="0.2">
      <c r="E277" s="25" cm="1">
        <f t="array" ref="E277:J277">$E$45:$J$45</f>
        <v>1</v>
      </c>
      <c r="F277">
        <v>2</v>
      </c>
      <c r="G277">
        <v>3</v>
      </c>
      <c r="H277">
        <v>4</v>
      </c>
      <c r="I277">
        <v>5</v>
      </c>
      <c r="J277">
        <v>6</v>
      </c>
      <c r="K277" s="22" t="s">
        <v>1999</v>
      </c>
      <c r="L277" s="207"/>
    </row>
    <row r="278" spans="5:12" ht="12.75" x14ac:dyDescent="0.2">
      <c r="L278" s="207"/>
    </row>
    <row r="279" spans="5:12" ht="12.75" x14ac:dyDescent="0.2">
      <c r="L279" s="207"/>
    </row>
    <row r="280" spans="5:12" ht="12.75" x14ac:dyDescent="0.2">
      <c r="K280" s="24" t="s">
        <v>1940</v>
      </c>
      <c r="L280" s="24" t="s">
        <v>1941</v>
      </c>
    </row>
    <row r="281" spans="5:12" ht="15" customHeight="1" x14ac:dyDescent="0.2">
      <c r="E281" s="209" t="s">
        <v>737</v>
      </c>
      <c r="F281" s="148"/>
      <c r="G281" s="148"/>
      <c r="H281" s="148"/>
      <c r="I281" s="148"/>
      <c r="J281" s="148"/>
      <c r="K281" s="5" t="s">
        <v>1970</v>
      </c>
      <c r="L281" s="207" t="s">
        <v>2015</v>
      </c>
    </row>
    <row r="282" spans="5:12" ht="15" customHeight="1" x14ac:dyDescent="0.2">
      <c r="E282" s="26" cm="1">
        <f t="array" ref="E282:F284">_xlfn.WRAPROWS(_xlfn.TOCOL($E$45:$J$45,3),2,"")</f>
        <v>1</v>
      </c>
      <c r="F282">
        <v>2</v>
      </c>
      <c r="L282" s="208"/>
    </row>
    <row r="283" spans="5:12" ht="12.75" x14ac:dyDescent="0.2">
      <c r="E283">
        <v>3</v>
      </c>
      <c r="F283">
        <v>4</v>
      </c>
      <c r="L283" s="208"/>
    </row>
    <row r="284" spans="5:12" ht="12.75" x14ac:dyDescent="0.2">
      <c r="E284">
        <v>5</v>
      </c>
      <c r="F284">
        <v>6</v>
      </c>
      <c r="L284" s="208"/>
    </row>
    <row r="285" spans="5:12" ht="12.75" x14ac:dyDescent="0.2">
      <c r="L285" s="208"/>
    </row>
    <row r="286" spans="5:12" ht="25.5" customHeight="1" x14ac:dyDescent="0.2">
      <c r="E286" s="152" t="s">
        <v>738</v>
      </c>
      <c r="F286" s="152"/>
      <c r="G286" s="152"/>
      <c r="H286" s="152"/>
      <c r="I286" s="152"/>
      <c r="J286" s="152"/>
    </row>
    <row r="287" spans="5:12" ht="15" customHeight="1" x14ac:dyDescent="0.2">
      <c r="E287" s="156" t="s">
        <v>1832</v>
      </c>
      <c r="F287" s="157"/>
      <c r="G287" s="157"/>
      <c r="H287" s="157"/>
      <c r="I287" s="157"/>
      <c r="J287" s="158"/>
    </row>
    <row r="289" spans="5:12" ht="12.75" x14ac:dyDescent="0.2"/>
    <row r="290" spans="5:12" ht="15.75" customHeight="1" x14ac:dyDescent="0.2">
      <c r="E290" s="159" t="s">
        <v>739</v>
      </c>
      <c r="F290" s="159"/>
      <c r="G290" s="159"/>
      <c r="H290" s="159"/>
      <c r="I290" s="159"/>
      <c r="J290" s="159"/>
      <c r="K290" s="52" t="s">
        <v>740</v>
      </c>
    </row>
    <row r="291" spans="5:12" ht="25.5" customHeight="1" x14ac:dyDescent="0.2">
      <c r="E291" s="152" t="s">
        <v>2127</v>
      </c>
      <c r="F291" s="152"/>
      <c r="G291" s="152"/>
      <c r="H291" s="152"/>
      <c r="I291" s="152"/>
      <c r="J291" s="152"/>
    </row>
    <row r="292" spans="5:12" ht="21.75" customHeight="1" x14ac:dyDescent="0.2">
      <c r="E292" s="147" t="s">
        <v>2128</v>
      </c>
      <c r="F292" s="147"/>
      <c r="G292" s="147"/>
      <c r="H292" s="147"/>
      <c r="I292" s="147"/>
      <c r="J292" s="147"/>
    </row>
    <row r="293" spans="5:12" ht="12.75" x14ac:dyDescent="0.2"/>
    <row r="294" spans="5:12" ht="15" customHeight="1" x14ac:dyDescent="0.2">
      <c r="E294" s="202" t="s">
        <v>1729</v>
      </c>
      <c r="F294" s="203"/>
      <c r="G294" s="203"/>
      <c r="H294" s="203"/>
      <c r="I294" s="203"/>
      <c r="J294" s="204"/>
    </row>
    <row r="295" spans="5:12" ht="15" customHeight="1" x14ac:dyDescent="0.2">
      <c r="E295" s="147" t="s">
        <v>2129</v>
      </c>
      <c r="F295" s="149"/>
      <c r="G295" s="149"/>
      <c r="H295" s="149"/>
      <c r="I295" s="149"/>
      <c r="J295" s="149"/>
    </row>
    <row r="296" spans="5:12" ht="15" customHeight="1" x14ac:dyDescent="0.2">
      <c r="E296" s="147" t="s">
        <v>741</v>
      </c>
      <c r="F296" s="149"/>
      <c r="G296" s="149"/>
      <c r="H296" s="149"/>
      <c r="I296" s="149"/>
      <c r="J296" s="149"/>
    </row>
    <row r="297" spans="5:12" ht="12.75" x14ac:dyDescent="0.2"/>
    <row r="298" spans="5:12" ht="15" customHeight="1" x14ac:dyDescent="0.2">
      <c r="E298" s="147" t="s">
        <v>2130</v>
      </c>
      <c r="F298" s="147"/>
      <c r="G298" s="147"/>
      <c r="H298" s="147"/>
      <c r="I298" s="147"/>
      <c r="J298" s="147"/>
      <c r="K298" s="24" t="s">
        <v>1938</v>
      </c>
      <c r="L298" s="24" t="s">
        <v>1939</v>
      </c>
    </row>
    <row r="299" spans="5:12" ht="15" customHeight="1" x14ac:dyDescent="0.2">
      <c r="E299" s="209" t="s">
        <v>742</v>
      </c>
      <c r="F299" s="148"/>
      <c r="G299" s="148"/>
      <c r="H299" s="148"/>
      <c r="I299" s="148"/>
      <c r="J299" s="148"/>
      <c r="K299" s="5" t="s">
        <v>2132</v>
      </c>
      <c r="L299" s="207" t="s">
        <v>2002</v>
      </c>
    </row>
    <row r="300" spans="5:12" ht="15" customHeight="1" x14ac:dyDescent="0.2">
      <c r="E300" s="25" cm="1">
        <f t="array" ref="E300:G300">$E$46:$G$46</f>
        <v>10</v>
      </c>
      <c r="F300">
        <v>20</v>
      </c>
      <c r="G300">
        <v>30</v>
      </c>
      <c r="K300" s="79" t="s">
        <v>1978</v>
      </c>
      <c r="L300" s="207"/>
    </row>
    <row r="301" spans="5:12" ht="12.75" x14ac:dyDescent="0.2">
      <c r="L301" s="207"/>
    </row>
    <row r="302" spans="5:12" ht="12.75" x14ac:dyDescent="0.2">
      <c r="L302" s="207"/>
    </row>
    <row r="303" spans="5:12" ht="12.75" x14ac:dyDescent="0.2">
      <c r="L303" s="207"/>
    </row>
    <row r="304" spans="5:12" ht="12.75" x14ac:dyDescent="0.2">
      <c r="L304" s="207"/>
    </row>
    <row r="305" spans="5:12" ht="12.75" x14ac:dyDescent="0.2">
      <c r="L305" s="207"/>
    </row>
    <row r="306" spans="5:12" ht="12.75" x14ac:dyDescent="0.2">
      <c r="K306" s="24" t="s">
        <v>1940</v>
      </c>
      <c r="L306" s="24" t="s">
        <v>1941</v>
      </c>
    </row>
    <row r="307" spans="5:12" ht="15" customHeight="1" x14ac:dyDescent="0.2">
      <c r="E307" s="209" t="s">
        <v>2131</v>
      </c>
      <c r="F307" s="148"/>
      <c r="G307" s="148"/>
      <c r="H307" s="148"/>
      <c r="I307" s="148"/>
      <c r="J307" s="148"/>
      <c r="K307" s="77" t="s">
        <v>2101</v>
      </c>
      <c r="L307" s="207" t="s">
        <v>2190</v>
      </c>
    </row>
    <row r="308" spans="5:12" ht="15" customHeight="1" x14ac:dyDescent="0.2">
      <c r="E308" s="26" cm="1">
        <f t="array" ref="E308:G313">_xlfn.LET(_xlpm._a,$E$46:$G$46,Combinations_byHadynWiseman(_xlpm._a,COUNTA(_xlpm._a)))</f>
        <v>10</v>
      </c>
      <c r="F308">
        <v>20</v>
      </c>
      <c r="G308">
        <v>30</v>
      </c>
      <c r="L308" s="208"/>
    </row>
    <row r="309" spans="5:12" ht="12.75" x14ac:dyDescent="0.2">
      <c r="E309">
        <v>10</v>
      </c>
      <c r="F309">
        <v>30</v>
      </c>
      <c r="G309">
        <v>20</v>
      </c>
      <c r="L309" s="208"/>
    </row>
    <row r="310" spans="5:12" ht="12.75" x14ac:dyDescent="0.2">
      <c r="E310">
        <v>20</v>
      </c>
      <c r="F310">
        <v>10</v>
      </c>
      <c r="G310">
        <v>30</v>
      </c>
      <c r="L310" s="208"/>
    </row>
    <row r="311" spans="5:12" ht="12.75" x14ac:dyDescent="0.2">
      <c r="E311">
        <v>20</v>
      </c>
      <c r="F311">
        <v>30</v>
      </c>
      <c r="G311">
        <v>10</v>
      </c>
      <c r="L311" s="208"/>
    </row>
    <row r="312" spans="5:12" ht="12.75" x14ac:dyDescent="0.2">
      <c r="E312">
        <v>30</v>
      </c>
      <c r="F312">
        <v>10</v>
      </c>
      <c r="G312">
        <v>20</v>
      </c>
      <c r="L312" s="208"/>
    </row>
    <row r="313" spans="5:12" ht="12.75" x14ac:dyDescent="0.2">
      <c r="E313">
        <v>30</v>
      </c>
      <c r="F313">
        <v>20</v>
      </c>
      <c r="G313">
        <v>10</v>
      </c>
      <c r="L313" s="208"/>
    </row>
    <row r="314" spans="5:12" ht="12.75" x14ac:dyDescent="0.2">
      <c r="L314" s="208"/>
    </row>
    <row r="315" spans="5:12" ht="15" customHeight="1" x14ac:dyDescent="0.2">
      <c r="E315" s="152" t="s">
        <v>2133</v>
      </c>
      <c r="F315" s="152"/>
      <c r="G315" s="152"/>
      <c r="H315" s="152"/>
      <c r="I315" s="152"/>
      <c r="J315" s="152"/>
    </row>
    <row r="316" spans="5:12" ht="15" customHeight="1" x14ac:dyDescent="0.2">
      <c r="E316" s="172" t="s">
        <v>2134</v>
      </c>
      <c r="F316" s="173"/>
      <c r="G316" s="173"/>
      <c r="H316" s="173"/>
      <c r="I316" s="173"/>
      <c r="J316" s="174"/>
    </row>
    <row r="317" spans="5:12" ht="12.75" x14ac:dyDescent="0.2"/>
    <row r="318" spans="5:12" ht="12.75" x14ac:dyDescent="0.2"/>
    <row r="319" spans="5:12" ht="15.75" customHeight="1" x14ac:dyDescent="0.2">
      <c r="E319" s="159" t="s">
        <v>2135</v>
      </c>
      <c r="F319" s="159"/>
      <c r="G319" s="159"/>
      <c r="H319" s="159"/>
      <c r="I319" s="159"/>
      <c r="J319" s="159"/>
      <c r="K319" s="52" t="s">
        <v>2136</v>
      </c>
    </row>
    <row r="320" spans="5:12" ht="15" customHeight="1" x14ac:dyDescent="0.2">
      <c r="E320" s="152" t="s">
        <v>2137</v>
      </c>
      <c r="F320" s="152"/>
      <c r="G320" s="152"/>
      <c r="H320" s="152"/>
      <c r="I320" s="152"/>
      <c r="J320" s="152"/>
    </row>
    <row r="321" spans="5:12" ht="21.75" customHeight="1" x14ac:dyDescent="0.2">
      <c r="E321" s="147" t="s">
        <v>2138</v>
      </c>
      <c r="F321" s="147"/>
      <c r="G321" s="147"/>
      <c r="H321" s="147"/>
      <c r="I321" s="147"/>
      <c r="J321" s="147"/>
    </row>
    <row r="322" spans="5:12" ht="12.75" customHeight="1" x14ac:dyDescent="0.2"/>
    <row r="323" spans="5:12" ht="15" customHeight="1" x14ac:dyDescent="0.2">
      <c r="E323" s="202" t="s">
        <v>1729</v>
      </c>
      <c r="F323" s="203"/>
      <c r="G323" s="203"/>
      <c r="H323" s="203"/>
      <c r="I323" s="203"/>
      <c r="J323" s="204"/>
    </row>
    <row r="324" spans="5:12" ht="15" customHeight="1" x14ac:dyDescent="0.2">
      <c r="E324" s="147" t="s">
        <v>2139</v>
      </c>
      <c r="F324" s="149"/>
      <c r="G324" s="149"/>
      <c r="H324" s="149"/>
      <c r="I324" s="149"/>
      <c r="J324" s="149"/>
    </row>
    <row r="325" spans="5:12" ht="15" customHeight="1" x14ac:dyDescent="0.2">
      <c r="E325" s="147" t="s">
        <v>2140</v>
      </c>
      <c r="F325" s="149"/>
      <c r="G325" s="149"/>
      <c r="H325" s="149"/>
      <c r="I325" s="149"/>
      <c r="J325" s="149"/>
    </row>
    <row r="326" spans="5:12" ht="12.75" customHeight="1" x14ac:dyDescent="0.2"/>
    <row r="327" spans="5:12" ht="21.75" customHeight="1" x14ac:dyDescent="0.2">
      <c r="E327" s="147" t="s">
        <v>2141</v>
      </c>
      <c r="F327" s="147"/>
      <c r="G327" s="147"/>
      <c r="H327" s="147"/>
      <c r="I327" s="147"/>
      <c r="J327" s="147"/>
      <c r="K327" s="24" t="s">
        <v>1938</v>
      </c>
      <c r="L327" s="24" t="s">
        <v>1939</v>
      </c>
    </row>
    <row r="328" spans="5:12" ht="15" customHeight="1" x14ac:dyDescent="0.2">
      <c r="E328" s="209" t="s">
        <v>2142</v>
      </c>
      <c r="F328" s="148"/>
      <c r="G328" s="148"/>
      <c r="H328" s="148"/>
      <c r="I328" s="148"/>
      <c r="J328" s="148"/>
      <c r="K328" s="5" t="s">
        <v>2144</v>
      </c>
      <c r="L328" s="207" t="s">
        <v>2191</v>
      </c>
    </row>
    <row r="329" spans="5:12" ht="15" customHeight="1" x14ac:dyDescent="0.2">
      <c r="E329" s="25" t="str" cm="1">
        <f t="array" ref="E329:E331">$E$40:$E$42</f>
        <v>a</v>
      </c>
      <c r="K329" s="79" t="s">
        <v>1947</v>
      </c>
      <c r="L329" s="207"/>
    </row>
    <row r="330" spans="5:12" ht="12.75" customHeight="1" x14ac:dyDescent="0.2">
      <c r="E330" t="str">
        <v>e</v>
      </c>
      <c r="L330" s="207"/>
    </row>
    <row r="331" spans="5:12" ht="12.75" customHeight="1" x14ac:dyDescent="0.2">
      <c r="E331" t="str">
        <v>i</v>
      </c>
      <c r="L331" s="207"/>
    </row>
    <row r="332" spans="5:12" ht="12.75" customHeight="1" x14ac:dyDescent="0.2">
      <c r="L332" s="207"/>
    </row>
    <row r="333" spans="5:12" ht="12.75" customHeight="1" x14ac:dyDescent="0.2">
      <c r="L333" s="207"/>
    </row>
    <row r="334" spans="5:12" ht="12.75" customHeight="1" x14ac:dyDescent="0.2">
      <c r="L334" s="207"/>
    </row>
    <row r="335" spans="5:12" ht="12.75" customHeight="1" x14ac:dyDescent="0.2">
      <c r="L335" s="207"/>
    </row>
    <row r="336" spans="5:12" ht="12.75" customHeight="1" x14ac:dyDescent="0.2">
      <c r="L336" s="207"/>
    </row>
    <row r="337" spans="5:12" ht="12.75" customHeight="1" x14ac:dyDescent="0.2">
      <c r="K337" s="24" t="s">
        <v>1940</v>
      </c>
      <c r="L337" s="24" t="s">
        <v>1941</v>
      </c>
    </row>
    <row r="338" spans="5:12" ht="38.25" customHeight="1" x14ac:dyDescent="0.2">
      <c r="E338" s="209" t="s">
        <v>2143</v>
      </c>
      <c r="F338" s="148"/>
      <c r="G338" s="148"/>
      <c r="H338" s="148"/>
      <c r="I338" s="148"/>
      <c r="J338" s="148"/>
      <c r="K338" s="77" t="s">
        <v>2192</v>
      </c>
      <c r="L338" s="207" t="s">
        <v>2193</v>
      </c>
    </row>
    <row r="339" spans="5:12" ht="15" customHeight="1" x14ac:dyDescent="0.2">
      <c r="E339" s="26" cm="1">
        <f t="array" ref="E339:F347">_xlfn.LET(_xlpm._a,_xlfn.TOCOL($E$46:$G$46,1),_xlpm._b,_xlfn.TOCOL($E$40:$E$42,1),_xlpm._n,ROWS(_xlpm._a),_xlpm._m,ROWS(_xlpm._b),_xlpm._i,_xlfn.SEQUENCE(_xlpm._n*_xlpm._m)-1,_xlfn.HSTACK(INDEX(_xlpm._a,INT(_xlpm._i/_xlpm._m)+1),INDEX(_xlpm._b,MOD(_xlpm._i,_xlpm._m)+1)))</f>
        <v>10</v>
      </c>
      <c r="F339" t="str">
        <v>a</v>
      </c>
      <c r="L339" s="208"/>
    </row>
    <row r="340" spans="5:12" ht="12.75" customHeight="1" x14ac:dyDescent="0.2">
      <c r="E340">
        <v>10</v>
      </c>
      <c r="F340" t="str">
        <v>e</v>
      </c>
      <c r="L340" s="208"/>
    </row>
    <row r="341" spans="5:12" ht="12.75" customHeight="1" x14ac:dyDescent="0.2">
      <c r="E341">
        <v>10</v>
      </c>
      <c r="F341" t="str">
        <v>i</v>
      </c>
      <c r="L341" s="208"/>
    </row>
    <row r="342" spans="5:12" ht="12.75" customHeight="1" x14ac:dyDescent="0.2">
      <c r="E342">
        <v>20</v>
      </c>
      <c r="F342" t="str">
        <v>a</v>
      </c>
      <c r="L342" s="208"/>
    </row>
    <row r="343" spans="5:12" ht="12.75" customHeight="1" x14ac:dyDescent="0.2">
      <c r="E343">
        <v>20</v>
      </c>
      <c r="F343" t="str">
        <v>e</v>
      </c>
      <c r="L343" s="208"/>
    </row>
    <row r="344" spans="5:12" ht="12.75" customHeight="1" x14ac:dyDescent="0.2">
      <c r="E344">
        <v>20</v>
      </c>
      <c r="F344" t="str">
        <v>i</v>
      </c>
      <c r="L344" s="208"/>
    </row>
    <row r="345" spans="5:12" ht="12.75" customHeight="1" x14ac:dyDescent="0.2">
      <c r="E345">
        <v>30</v>
      </c>
      <c r="F345" t="str">
        <v>a</v>
      </c>
      <c r="L345" s="208"/>
    </row>
    <row r="346" spans="5:12" ht="12.75" customHeight="1" x14ac:dyDescent="0.2">
      <c r="E346">
        <v>30</v>
      </c>
      <c r="F346" t="str">
        <v>e</v>
      </c>
      <c r="L346" s="208"/>
    </row>
    <row r="347" spans="5:12" ht="12.75" customHeight="1" x14ac:dyDescent="0.2">
      <c r="E347">
        <v>30</v>
      </c>
      <c r="F347" t="str">
        <v>i</v>
      </c>
      <c r="L347" s="208"/>
    </row>
    <row r="348" spans="5:12" ht="15" customHeight="1" x14ac:dyDescent="0.2">
      <c r="E348" s="152" t="s">
        <v>2145</v>
      </c>
      <c r="F348" s="152"/>
      <c r="G348" s="152"/>
      <c r="H348" s="152"/>
      <c r="I348" s="152"/>
      <c r="J348" s="152"/>
    </row>
    <row r="349" spans="5:12" ht="15" customHeight="1" x14ac:dyDescent="0.2">
      <c r="E349" s="172" t="s">
        <v>2146</v>
      </c>
      <c r="F349" s="173"/>
      <c r="G349" s="173"/>
      <c r="H349" s="173"/>
      <c r="I349" s="173"/>
      <c r="J349" s="174"/>
    </row>
    <row r="350" spans="5:12" ht="12.75" customHeight="1" x14ac:dyDescent="0.2"/>
    <row r="351" spans="5:12" ht="12.75" customHeight="1" x14ac:dyDescent="0.2"/>
    <row r="352" spans="5:12" ht="15.75" customHeight="1" x14ac:dyDescent="0.2">
      <c r="E352" s="159" t="s">
        <v>743</v>
      </c>
      <c r="F352" s="159"/>
      <c r="G352" s="159"/>
      <c r="H352" s="159"/>
      <c r="I352" s="159"/>
      <c r="J352" s="159"/>
      <c r="K352" s="52" t="s">
        <v>744</v>
      </c>
    </row>
    <row r="353" spans="5:11" ht="15" customHeight="1" x14ac:dyDescent="0.2">
      <c r="E353" s="152" t="s">
        <v>745</v>
      </c>
      <c r="F353" s="152"/>
      <c r="G353" s="152"/>
      <c r="H353" s="152"/>
      <c r="I353" s="152"/>
      <c r="J353" s="152"/>
    </row>
    <row r="354" spans="5:11" ht="21.75" customHeight="1" x14ac:dyDescent="0.2">
      <c r="E354" s="147" t="s">
        <v>746</v>
      </c>
      <c r="F354" s="147"/>
      <c r="G354" s="147"/>
      <c r="H354" s="147"/>
      <c r="I354" s="147"/>
      <c r="J354" s="147"/>
    </row>
    <row r="355" spans="5:11" ht="12.75" x14ac:dyDescent="0.2"/>
    <row r="356" spans="5:11" ht="15" customHeight="1" x14ac:dyDescent="0.2">
      <c r="E356" s="202" t="s">
        <v>1726</v>
      </c>
      <c r="F356" s="203"/>
      <c r="G356" s="203"/>
      <c r="H356" s="203"/>
      <c r="I356" s="203"/>
      <c r="J356" s="204"/>
    </row>
    <row r="357" spans="5:11" ht="15" customHeight="1" x14ac:dyDescent="0.2">
      <c r="E357" s="147" t="s">
        <v>1386</v>
      </c>
      <c r="F357" s="149"/>
      <c r="G357" s="149"/>
      <c r="H357" s="149"/>
      <c r="I357" s="149"/>
      <c r="J357" s="149"/>
    </row>
    <row r="358" spans="5:11" ht="15" customHeight="1" x14ac:dyDescent="0.2">
      <c r="E358" s="147" t="s">
        <v>747</v>
      </c>
      <c r="F358" s="149"/>
      <c r="G358" s="149"/>
      <c r="H358" s="149"/>
      <c r="I358" s="149"/>
      <c r="J358" s="149"/>
    </row>
    <row r="359" spans="5:11" ht="21.75" customHeight="1" x14ac:dyDescent="0.2">
      <c r="E359" s="147" t="s">
        <v>2126</v>
      </c>
      <c r="F359" s="147"/>
      <c r="G359" s="147"/>
      <c r="H359" s="147"/>
      <c r="I359" s="147"/>
      <c r="J359" s="147"/>
    </row>
    <row r="360" spans="5:11" ht="12.75" x14ac:dyDescent="0.2"/>
    <row r="361" spans="5:11" ht="12.75" x14ac:dyDescent="0.2"/>
    <row r="362" spans="5:11" ht="25.5" customHeight="1" x14ac:dyDescent="0.2">
      <c r="E362" s="152" t="s">
        <v>750</v>
      </c>
      <c r="F362" s="152"/>
      <c r="G362" s="152"/>
      <c r="H362" s="152"/>
      <c r="I362" s="152"/>
      <c r="J362" s="152"/>
    </row>
    <row r="363" spans="5:11" ht="25.5" customHeight="1" x14ac:dyDescent="0.2">
      <c r="E363" s="156" t="s">
        <v>1833</v>
      </c>
      <c r="F363" s="157"/>
      <c r="G363" s="157"/>
      <c r="H363" s="157"/>
      <c r="I363" s="157"/>
      <c r="J363" s="158"/>
    </row>
    <row r="366" spans="5:11" ht="15.75" customHeight="1" x14ac:dyDescent="0.2">
      <c r="E366" s="159" t="s">
        <v>751</v>
      </c>
      <c r="F366" s="159"/>
      <c r="G366" s="159"/>
      <c r="H366" s="159"/>
      <c r="I366" s="159"/>
      <c r="J366" s="159"/>
      <c r="K366" s="52" t="s">
        <v>752</v>
      </c>
    </row>
    <row r="367" spans="5:11" ht="15" customHeight="1" x14ac:dyDescent="0.2">
      <c r="E367" s="152" t="s">
        <v>753</v>
      </c>
      <c r="F367" s="149"/>
      <c r="G367" s="149"/>
      <c r="H367" s="149"/>
      <c r="I367" s="149"/>
      <c r="J367" s="149"/>
    </row>
    <row r="368" spans="5:11" ht="15" customHeight="1" x14ac:dyDescent="0.2">
      <c r="E368" s="147" t="s">
        <v>1522</v>
      </c>
      <c r="F368" s="149"/>
      <c r="G368" s="149"/>
      <c r="H368" s="149"/>
      <c r="I368" s="149"/>
      <c r="J368" s="149"/>
    </row>
    <row r="369" spans="5:11" ht="12.75" x14ac:dyDescent="0.2"/>
    <row r="370" spans="5:11" ht="15" customHeight="1" x14ac:dyDescent="0.2">
      <c r="E370" s="202" t="s">
        <v>1726</v>
      </c>
      <c r="F370" s="203"/>
      <c r="G370" s="203"/>
      <c r="H370" s="203"/>
      <c r="I370" s="203"/>
      <c r="J370" s="204"/>
    </row>
    <row r="371" spans="5:11" ht="15" customHeight="1" x14ac:dyDescent="0.2">
      <c r="E371" s="147" t="s">
        <v>1386</v>
      </c>
      <c r="F371" s="149"/>
      <c r="G371" s="149"/>
      <c r="H371" s="149"/>
      <c r="I371" s="149"/>
      <c r="J371" s="149"/>
    </row>
    <row r="372" spans="5:11" ht="15" customHeight="1" x14ac:dyDescent="0.2">
      <c r="E372" s="147" t="s">
        <v>754</v>
      </c>
      <c r="F372" s="149"/>
      <c r="G372" s="149"/>
      <c r="H372" s="149"/>
      <c r="I372" s="149"/>
      <c r="J372" s="149"/>
    </row>
    <row r="373" spans="5:11" ht="21.75" customHeight="1" x14ac:dyDescent="0.2">
      <c r="E373" s="147" t="s">
        <v>2125</v>
      </c>
      <c r="F373" s="147"/>
      <c r="G373" s="147"/>
      <c r="H373" s="147"/>
      <c r="I373" s="147"/>
      <c r="J373" s="147"/>
    </row>
    <row r="374" spans="5:11" ht="12.75" x14ac:dyDescent="0.2"/>
    <row r="375" spans="5:11" ht="15" customHeight="1" x14ac:dyDescent="0.2">
      <c r="E375" s="152" t="s">
        <v>755</v>
      </c>
      <c r="F375" s="149"/>
      <c r="G375" s="149"/>
      <c r="H375" s="149"/>
      <c r="I375" s="149"/>
      <c r="J375" s="149"/>
    </row>
    <row r="376" spans="5:11" ht="25.5" customHeight="1" x14ac:dyDescent="0.2">
      <c r="E376" s="156" t="s">
        <v>1834</v>
      </c>
      <c r="F376" s="157"/>
      <c r="G376" s="157"/>
      <c r="H376" s="157"/>
      <c r="I376" s="157"/>
      <c r="J376" s="158"/>
    </row>
    <row r="378" spans="5:11" ht="12.75" x14ac:dyDescent="0.2"/>
    <row r="379" spans="5:11" ht="15.75" customHeight="1" x14ac:dyDescent="0.2">
      <c r="E379" s="159" t="s">
        <v>756</v>
      </c>
      <c r="F379" s="159"/>
      <c r="G379" s="159"/>
      <c r="H379" s="159"/>
      <c r="I379" s="159"/>
      <c r="J379" s="159"/>
      <c r="K379" s="52" t="s">
        <v>757</v>
      </c>
    </row>
    <row r="380" spans="5:11" ht="25.5" customHeight="1" x14ac:dyDescent="0.2">
      <c r="E380" s="152" t="s">
        <v>758</v>
      </c>
      <c r="F380" s="152"/>
      <c r="G380" s="152"/>
      <c r="H380" s="152"/>
      <c r="I380" s="152"/>
      <c r="J380" s="152"/>
    </row>
    <row r="381" spans="5:11" ht="21.75" customHeight="1" x14ac:dyDescent="0.2">
      <c r="E381" s="147" t="s">
        <v>3224</v>
      </c>
      <c r="F381" s="147"/>
      <c r="G381" s="147"/>
      <c r="H381" s="147"/>
      <c r="I381" s="147"/>
      <c r="J381" s="147"/>
    </row>
    <row r="382" spans="5:11" ht="12.75" x14ac:dyDescent="0.2"/>
    <row r="383" spans="5:11" ht="15" customHeight="1" x14ac:dyDescent="0.2">
      <c r="E383" s="202" t="s">
        <v>1726</v>
      </c>
      <c r="F383" s="203"/>
      <c r="G383" s="203"/>
      <c r="H383" s="203"/>
      <c r="I383" s="203"/>
      <c r="J383" s="204"/>
    </row>
    <row r="384" spans="5:11" ht="15" customHeight="1" x14ac:dyDescent="0.2">
      <c r="E384" s="147" t="s">
        <v>1386</v>
      </c>
      <c r="F384" s="149"/>
      <c r="G384" s="149"/>
      <c r="H384" s="149"/>
      <c r="I384" s="149"/>
      <c r="J384" s="149"/>
    </row>
    <row r="385" spans="5:11" ht="15" customHeight="1" x14ac:dyDescent="0.2">
      <c r="E385" s="147" t="s">
        <v>759</v>
      </c>
      <c r="F385" s="149"/>
      <c r="G385" s="149"/>
      <c r="H385" s="149"/>
      <c r="I385" s="149"/>
      <c r="J385" s="149"/>
    </row>
    <row r="386" spans="5:11" ht="21.75" customHeight="1" x14ac:dyDescent="0.2">
      <c r="E386" s="147" t="s">
        <v>2124</v>
      </c>
      <c r="F386" s="147"/>
      <c r="G386" s="147"/>
      <c r="H386" s="147"/>
      <c r="I386" s="147"/>
      <c r="J386" s="147"/>
    </row>
    <row r="387" spans="5:11" ht="12.75" x14ac:dyDescent="0.2"/>
    <row r="388" spans="5:11" ht="25.5" customHeight="1" x14ac:dyDescent="0.2">
      <c r="E388" s="152" t="s">
        <v>1415</v>
      </c>
      <c r="F388" s="152"/>
      <c r="G388" s="152"/>
      <c r="H388" s="152"/>
      <c r="I388" s="152"/>
      <c r="J388" s="152"/>
    </row>
    <row r="389" spans="5:11" ht="25.5" customHeight="1" x14ac:dyDescent="0.2">
      <c r="E389" s="172" t="s">
        <v>3266</v>
      </c>
      <c r="F389" s="173"/>
      <c r="G389" s="173"/>
      <c r="H389" s="173"/>
      <c r="I389" s="173"/>
      <c r="J389" s="174"/>
    </row>
    <row r="390" spans="5:11" ht="12.75" x14ac:dyDescent="0.2"/>
    <row r="391" spans="5:11" ht="12.75" x14ac:dyDescent="0.2"/>
    <row r="392" spans="5:11" ht="15.75" customHeight="1" x14ac:dyDescent="0.2">
      <c r="E392" s="159" t="s">
        <v>760</v>
      </c>
      <c r="F392" s="159"/>
      <c r="G392" s="159"/>
      <c r="H392" s="159"/>
      <c r="I392" s="159"/>
      <c r="J392" s="159"/>
      <c r="K392" s="52" t="s">
        <v>761</v>
      </c>
    </row>
    <row r="393" spans="5:11" ht="38.25" customHeight="1" x14ac:dyDescent="0.2">
      <c r="E393" s="152" t="s">
        <v>3221</v>
      </c>
      <c r="F393" s="152"/>
      <c r="G393" s="152"/>
      <c r="H393" s="152"/>
      <c r="I393" s="152"/>
      <c r="J393" s="152"/>
    </row>
    <row r="394" spans="5:11" ht="21.75" customHeight="1" x14ac:dyDescent="0.2">
      <c r="E394" s="147" t="s">
        <v>762</v>
      </c>
      <c r="F394" s="147"/>
      <c r="G394" s="147"/>
      <c r="H394" s="147"/>
      <c r="I394" s="147"/>
      <c r="J394" s="147"/>
    </row>
    <row r="395" spans="5:11" ht="12.75" x14ac:dyDescent="0.2"/>
    <row r="396" spans="5:11" ht="15" customHeight="1" x14ac:dyDescent="0.2">
      <c r="E396" s="202" t="s">
        <v>1726</v>
      </c>
      <c r="F396" s="203"/>
      <c r="G396" s="203"/>
      <c r="H396" s="203"/>
      <c r="I396" s="203"/>
      <c r="J396" s="204"/>
    </row>
    <row r="397" spans="5:11" ht="15" customHeight="1" x14ac:dyDescent="0.2">
      <c r="E397" s="147" t="s">
        <v>1386</v>
      </c>
      <c r="F397" s="149"/>
      <c r="G397" s="149"/>
      <c r="H397" s="149"/>
      <c r="I397" s="149"/>
      <c r="J397" s="149"/>
    </row>
    <row r="398" spans="5:11" ht="15" customHeight="1" x14ac:dyDescent="0.2">
      <c r="E398" s="147" t="s">
        <v>763</v>
      </c>
      <c r="F398" s="149"/>
      <c r="G398" s="149"/>
      <c r="H398" s="149"/>
      <c r="I398" s="149"/>
      <c r="J398" s="149"/>
    </row>
    <row r="399" spans="5:11" ht="21.75" customHeight="1" x14ac:dyDescent="0.2">
      <c r="E399" s="147" t="s">
        <v>2118</v>
      </c>
      <c r="F399" s="147"/>
      <c r="G399" s="147"/>
      <c r="H399" s="147"/>
      <c r="I399" s="147"/>
      <c r="J399" s="147"/>
    </row>
    <row r="400" spans="5:11" ht="12.75" x14ac:dyDescent="0.2"/>
    <row r="401" spans="5:11" ht="25.5" customHeight="1" x14ac:dyDescent="0.2">
      <c r="E401" s="152" t="s">
        <v>1416</v>
      </c>
      <c r="F401" s="152"/>
      <c r="G401" s="152"/>
      <c r="H401" s="152"/>
      <c r="I401" s="152"/>
      <c r="J401" s="152"/>
    </row>
    <row r="402" spans="5:11" ht="25.5" customHeight="1" x14ac:dyDescent="0.2">
      <c r="E402" s="172" t="s">
        <v>2119</v>
      </c>
      <c r="F402" s="173"/>
      <c r="G402" s="173"/>
      <c r="H402" s="173"/>
      <c r="I402" s="173"/>
      <c r="J402" s="174"/>
    </row>
    <row r="403" spans="5:11" ht="12.75" x14ac:dyDescent="0.2"/>
    <row r="404" spans="5:11" ht="12.75" x14ac:dyDescent="0.2"/>
    <row r="405" spans="5:11" ht="15.75" customHeight="1" x14ac:dyDescent="0.2">
      <c r="E405" s="159" t="s">
        <v>2120</v>
      </c>
      <c r="F405" s="159"/>
      <c r="G405" s="159"/>
      <c r="H405" s="159"/>
      <c r="I405" s="159"/>
      <c r="J405" s="159"/>
      <c r="K405" s="52" t="s">
        <v>2121</v>
      </c>
    </row>
    <row r="406" spans="5:11" ht="25.5" customHeight="1" x14ac:dyDescent="0.2">
      <c r="E406" s="152" t="s">
        <v>3225</v>
      </c>
      <c r="F406" s="152"/>
      <c r="G406" s="152"/>
      <c r="H406" s="152"/>
      <c r="I406" s="152"/>
      <c r="J406" s="152"/>
    </row>
    <row r="407" spans="5:11" ht="21.75" customHeight="1" x14ac:dyDescent="0.2">
      <c r="E407" s="147" t="s">
        <v>3226</v>
      </c>
      <c r="F407" s="147"/>
      <c r="G407" s="147"/>
      <c r="H407" s="147"/>
      <c r="I407" s="147"/>
      <c r="J407" s="147"/>
    </row>
    <row r="408" spans="5:11" ht="12.75" customHeight="1" x14ac:dyDescent="0.2"/>
    <row r="409" spans="5:11" ht="15" customHeight="1" x14ac:dyDescent="0.2">
      <c r="E409" s="202" t="s">
        <v>1726</v>
      </c>
      <c r="F409" s="203"/>
      <c r="G409" s="203"/>
      <c r="H409" s="203"/>
      <c r="I409" s="203"/>
      <c r="J409" s="204"/>
    </row>
    <row r="410" spans="5:11" ht="15" customHeight="1" x14ac:dyDescent="0.2">
      <c r="E410" s="147" t="s">
        <v>1386</v>
      </c>
      <c r="F410" s="149"/>
      <c r="G410" s="149"/>
      <c r="H410" s="149"/>
      <c r="I410" s="149"/>
      <c r="J410" s="149"/>
    </row>
    <row r="411" spans="5:11" ht="15" customHeight="1" x14ac:dyDescent="0.2">
      <c r="E411" s="147" t="s">
        <v>2122</v>
      </c>
      <c r="F411" s="149"/>
      <c r="G411" s="149"/>
      <c r="H411" s="149"/>
      <c r="I411" s="149"/>
      <c r="J411" s="149"/>
    </row>
    <row r="412" spans="5:11" ht="21.75" customHeight="1" x14ac:dyDescent="0.2">
      <c r="E412" s="147" t="s">
        <v>3227</v>
      </c>
      <c r="F412" s="147"/>
      <c r="G412" s="147"/>
      <c r="H412" s="147"/>
      <c r="I412" s="147"/>
      <c r="J412" s="147"/>
    </row>
    <row r="413" spans="5:11" ht="12.75" customHeight="1" x14ac:dyDescent="0.2"/>
    <row r="414" spans="5:11" ht="15" customHeight="1" x14ac:dyDescent="0.2">
      <c r="E414" s="152" t="s">
        <v>2123</v>
      </c>
      <c r="F414" s="152"/>
      <c r="G414" s="152"/>
      <c r="H414" s="152"/>
      <c r="I414" s="152"/>
      <c r="J414" s="152"/>
    </row>
    <row r="415" spans="5:11" ht="25.5" customHeight="1" x14ac:dyDescent="0.2">
      <c r="E415" s="172" t="s">
        <v>3228</v>
      </c>
      <c r="F415" s="173"/>
      <c r="G415" s="173"/>
      <c r="H415" s="173"/>
      <c r="I415" s="173"/>
      <c r="J415" s="174"/>
    </row>
    <row r="416" spans="5:11" ht="12.75" customHeight="1" x14ac:dyDescent="0.2"/>
    <row r="417" spans="5:11" ht="12.75" customHeight="1" x14ac:dyDescent="0.2"/>
    <row r="418" spans="5:11" ht="15.75" customHeight="1" x14ac:dyDescent="0.2">
      <c r="E418" s="159" t="s">
        <v>764</v>
      </c>
      <c r="F418" s="159"/>
      <c r="G418" s="159"/>
      <c r="H418" s="159"/>
      <c r="I418" s="159"/>
      <c r="J418" s="159"/>
      <c r="K418" s="52" t="s">
        <v>765</v>
      </c>
    </row>
    <row r="419" spans="5:11" ht="15" customHeight="1" x14ac:dyDescent="0.2">
      <c r="E419" s="152" t="s">
        <v>1417</v>
      </c>
      <c r="F419" s="152"/>
      <c r="G419" s="152"/>
      <c r="H419" s="152"/>
      <c r="I419" s="152"/>
      <c r="J419" s="152"/>
    </row>
    <row r="420" spans="5:11" ht="15" customHeight="1" x14ac:dyDescent="0.2">
      <c r="E420" s="147" t="s">
        <v>766</v>
      </c>
      <c r="F420" s="149"/>
      <c r="G420" s="149"/>
      <c r="H420" s="149"/>
      <c r="I420" s="149"/>
      <c r="J420" s="149"/>
    </row>
    <row r="421" spans="5:11" ht="12.75" x14ac:dyDescent="0.2"/>
    <row r="422" spans="5:11" ht="15" customHeight="1" x14ac:dyDescent="0.2">
      <c r="E422" s="202" t="s">
        <v>1726</v>
      </c>
      <c r="F422" s="203"/>
      <c r="G422" s="203"/>
      <c r="H422" s="203"/>
      <c r="I422" s="203"/>
      <c r="J422" s="204"/>
    </row>
    <row r="423" spans="5:11" ht="15" customHeight="1" x14ac:dyDescent="0.2">
      <c r="E423" s="147" t="s">
        <v>1386</v>
      </c>
      <c r="F423" s="149"/>
      <c r="G423" s="149"/>
      <c r="H423" s="149"/>
      <c r="I423" s="149"/>
      <c r="J423" s="149"/>
    </row>
    <row r="424" spans="5:11" ht="15" customHeight="1" x14ac:dyDescent="0.2">
      <c r="E424" s="147" t="s">
        <v>2116</v>
      </c>
      <c r="F424" s="149"/>
      <c r="G424" s="149"/>
      <c r="H424" s="149"/>
      <c r="I424" s="149"/>
      <c r="J424" s="149"/>
    </row>
    <row r="425" spans="5:11" ht="15" customHeight="1" x14ac:dyDescent="0.2">
      <c r="E425" s="147" t="s">
        <v>767</v>
      </c>
      <c r="F425" s="149"/>
      <c r="G425" s="149"/>
      <c r="H425" s="149"/>
      <c r="I425" s="149"/>
      <c r="J425" s="149"/>
    </row>
    <row r="426" spans="5:11" ht="21.75" customHeight="1" x14ac:dyDescent="0.2">
      <c r="E426" s="147" t="s">
        <v>2117</v>
      </c>
      <c r="F426" s="149"/>
      <c r="G426" s="149"/>
      <c r="H426" s="149"/>
      <c r="I426" s="149"/>
      <c r="J426" s="149"/>
    </row>
    <row r="427" spans="5:11" ht="12.75" x14ac:dyDescent="0.2"/>
    <row r="428" spans="5:11" ht="15" customHeight="1" x14ac:dyDescent="0.2">
      <c r="E428" s="152" t="s">
        <v>768</v>
      </c>
      <c r="F428" s="152"/>
      <c r="G428" s="152"/>
      <c r="H428" s="152"/>
      <c r="I428" s="152"/>
      <c r="J428" s="152"/>
    </row>
    <row r="429" spans="5:11" ht="15" customHeight="1" x14ac:dyDescent="0.2">
      <c r="E429" s="172" t="s">
        <v>1835</v>
      </c>
      <c r="F429" s="212"/>
      <c r="G429" s="212"/>
      <c r="H429" s="212"/>
      <c r="I429" s="212"/>
      <c r="J429" s="213"/>
    </row>
    <row r="430" spans="5:11" ht="12.75" x14ac:dyDescent="0.2"/>
    <row r="431" spans="5:11" ht="12.75" x14ac:dyDescent="0.2"/>
    <row r="432" spans="5:11" ht="15.75" customHeight="1" x14ac:dyDescent="0.2">
      <c r="E432" s="159" t="s">
        <v>769</v>
      </c>
      <c r="F432" s="159"/>
      <c r="G432" s="159"/>
      <c r="H432" s="159"/>
      <c r="I432" s="159"/>
      <c r="J432" s="159"/>
      <c r="K432" s="52" t="s">
        <v>770</v>
      </c>
    </row>
    <row r="433" spans="5:11" ht="25.5" customHeight="1" x14ac:dyDescent="0.2">
      <c r="E433" s="152" t="s">
        <v>1418</v>
      </c>
      <c r="F433" s="152"/>
      <c r="G433" s="152"/>
      <c r="H433" s="152"/>
      <c r="I433" s="152"/>
      <c r="J433" s="152"/>
    </row>
    <row r="434" spans="5:11" ht="21.75" customHeight="1" x14ac:dyDescent="0.2">
      <c r="E434" s="147" t="s">
        <v>3229</v>
      </c>
      <c r="F434" s="147"/>
      <c r="G434" s="147"/>
      <c r="H434" s="147"/>
      <c r="I434" s="147"/>
      <c r="J434" s="147"/>
    </row>
    <row r="435" spans="5:11" ht="12.75" x14ac:dyDescent="0.2"/>
    <row r="436" spans="5:11" ht="15" customHeight="1" x14ac:dyDescent="0.2">
      <c r="E436" s="202" t="s">
        <v>1726</v>
      </c>
      <c r="F436" s="203"/>
      <c r="G436" s="203"/>
      <c r="H436" s="203"/>
      <c r="I436" s="203"/>
      <c r="J436" s="204"/>
    </row>
    <row r="437" spans="5:11" ht="15" customHeight="1" x14ac:dyDescent="0.2">
      <c r="E437" s="147" t="s">
        <v>1386</v>
      </c>
      <c r="F437" s="149"/>
      <c r="G437" s="149"/>
      <c r="H437" s="149"/>
      <c r="I437" s="149"/>
      <c r="J437" s="149"/>
    </row>
    <row r="438" spans="5:11" ht="15" customHeight="1" x14ac:dyDescent="0.2">
      <c r="E438" s="147" t="s">
        <v>771</v>
      </c>
      <c r="F438" s="149"/>
      <c r="G438" s="149"/>
      <c r="H438" s="149"/>
      <c r="I438" s="149"/>
      <c r="J438" s="149"/>
    </row>
    <row r="439" spans="5:11" ht="15" customHeight="1" x14ac:dyDescent="0.2">
      <c r="E439" s="147" t="s">
        <v>2115</v>
      </c>
      <c r="F439" s="149"/>
      <c r="G439" s="149"/>
      <c r="H439" s="149"/>
      <c r="I439" s="149"/>
      <c r="J439" s="149"/>
    </row>
    <row r="440" spans="5:11" ht="12.75" x14ac:dyDescent="0.2"/>
    <row r="441" spans="5:11" ht="25.5" customHeight="1" x14ac:dyDescent="0.2">
      <c r="E441" s="152" t="s">
        <v>772</v>
      </c>
      <c r="F441" s="152"/>
      <c r="G441" s="152"/>
      <c r="H441" s="152"/>
      <c r="I441" s="152"/>
      <c r="J441" s="152"/>
    </row>
    <row r="442" spans="5:11" ht="38.25" customHeight="1" x14ac:dyDescent="0.2">
      <c r="E442" s="156" t="s">
        <v>3269</v>
      </c>
      <c r="F442" s="157"/>
      <c r="G442" s="157"/>
      <c r="H442" s="157"/>
      <c r="I442" s="157"/>
      <c r="J442" s="158"/>
    </row>
    <row r="445" spans="5:11" ht="15.75" customHeight="1" x14ac:dyDescent="0.2">
      <c r="E445" s="159" t="s">
        <v>3208</v>
      </c>
      <c r="F445" s="159"/>
      <c r="G445" s="159"/>
      <c r="H445" s="159"/>
      <c r="I445" s="159"/>
      <c r="J445" s="159"/>
      <c r="K445" s="52" t="s">
        <v>3215</v>
      </c>
    </row>
    <row r="446" spans="5:11" ht="38.25" customHeight="1" x14ac:dyDescent="0.2">
      <c r="E446" s="152" t="s">
        <v>3209</v>
      </c>
      <c r="F446" s="152"/>
      <c r="G446" s="152"/>
      <c r="H446" s="152"/>
      <c r="I446" s="152"/>
      <c r="J446" s="152"/>
    </row>
    <row r="447" spans="5:11" ht="32.25" customHeight="1" x14ac:dyDescent="0.2">
      <c r="E447" s="147" t="s">
        <v>3230</v>
      </c>
      <c r="F447" s="147"/>
      <c r="G447" s="147"/>
      <c r="H447" s="147"/>
      <c r="I447" s="147"/>
      <c r="J447" s="147"/>
    </row>
    <row r="448" spans="5:11" ht="12.75" customHeight="1" x14ac:dyDescent="0.2"/>
    <row r="449" spans="5:11" ht="15" customHeight="1" x14ac:dyDescent="0.2">
      <c r="E449" s="202" t="s">
        <v>1726</v>
      </c>
      <c r="F449" s="203"/>
      <c r="G449" s="203"/>
      <c r="H449" s="203"/>
      <c r="I449" s="203"/>
      <c r="J449" s="204"/>
    </row>
    <row r="450" spans="5:11" ht="15" customHeight="1" x14ac:dyDescent="0.2">
      <c r="E450" s="147" t="s">
        <v>3210</v>
      </c>
      <c r="F450" s="149"/>
      <c r="G450" s="149"/>
      <c r="H450" s="149"/>
      <c r="I450" s="149"/>
      <c r="J450" s="149"/>
    </row>
    <row r="451" spans="5:11" ht="15" customHeight="1" x14ac:dyDescent="0.2">
      <c r="E451" s="147" t="s">
        <v>3211</v>
      </c>
      <c r="F451" s="149"/>
      <c r="G451" s="149"/>
      <c r="H451" s="149"/>
      <c r="I451" s="149"/>
      <c r="J451" s="149"/>
    </row>
    <row r="452" spans="5:11" ht="21.75" customHeight="1" x14ac:dyDescent="0.2">
      <c r="E452" s="147" t="s">
        <v>3212</v>
      </c>
      <c r="F452" s="149"/>
      <c r="G452" s="149"/>
      <c r="H452" s="149"/>
      <c r="I452" s="149"/>
      <c r="J452" s="149"/>
    </row>
    <row r="453" spans="5:11" ht="12.75" customHeight="1" x14ac:dyDescent="0.2"/>
    <row r="454" spans="5:11" ht="25.5" customHeight="1" x14ac:dyDescent="0.2">
      <c r="E454" s="152" t="s">
        <v>3213</v>
      </c>
      <c r="F454" s="152"/>
      <c r="G454" s="152"/>
      <c r="H454" s="152"/>
      <c r="I454" s="152"/>
      <c r="J454" s="152"/>
    </row>
    <row r="455" spans="5:11" ht="25.5" customHeight="1" x14ac:dyDescent="0.2">
      <c r="E455" s="156" t="s">
        <v>3214</v>
      </c>
      <c r="F455" s="157"/>
      <c r="G455" s="157"/>
      <c r="H455" s="157"/>
      <c r="I455" s="157"/>
      <c r="J455" s="158"/>
    </row>
    <row r="458" spans="5:11" ht="15.75" customHeight="1" x14ac:dyDescent="0.2">
      <c r="E458" s="159" t="s">
        <v>773</v>
      </c>
      <c r="F458" s="159"/>
      <c r="G458" s="159"/>
      <c r="H458" s="159"/>
      <c r="I458" s="159"/>
      <c r="J458" s="159"/>
      <c r="K458" s="52" t="s">
        <v>774</v>
      </c>
    </row>
    <row r="459" spans="5:11" ht="25.5" customHeight="1" x14ac:dyDescent="0.2">
      <c r="E459" s="152" t="s">
        <v>3270</v>
      </c>
      <c r="F459" s="152"/>
      <c r="G459" s="152"/>
      <c r="H459" s="152"/>
      <c r="I459" s="152"/>
      <c r="J459" s="152"/>
    </row>
    <row r="460" spans="5:11" ht="21.75" customHeight="1" x14ac:dyDescent="0.2">
      <c r="E460" s="147" t="s">
        <v>3231</v>
      </c>
      <c r="F460" s="147"/>
      <c r="G460" s="147"/>
      <c r="H460" s="147"/>
      <c r="I460" s="147"/>
      <c r="J460" s="147"/>
    </row>
    <row r="461" spans="5:11" ht="12.75" x14ac:dyDescent="0.2"/>
    <row r="462" spans="5:11" ht="15" customHeight="1" x14ac:dyDescent="0.2">
      <c r="E462" s="202" t="s">
        <v>1726</v>
      </c>
      <c r="F462" s="203"/>
      <c r="G462" s="203"/>
      <c r="H462" s="203"/>
      <c r="I462" s="203"/>
      <c r="J462" s="204"/>
    </row>
    <row r="463" spans="5:11" ht="15" customHeight="1" x14ac:dyDescent="0.2">
      <c r="E463" s="147" t="s">
        <v>1386</v>
      </c>
      <c r="F463" s="149"/>
      <c r="G463" s="149"/>
      <c r="H463" s="149"/>
      <c r="I463" s="149"/>
      <c r="J463" s="149"/>
    </row>
    <row r="464" spans="5:11" ht="15" customHeight="1" x14ac:dyDescent="0.2">
      <c r="E464" s="147" t="s">
        <v>775</v>
      </c>
      <c r="F464" s="149"/>
      <c r="G464" s="149"/>
      <c r="H464" s="149"/>
      <c r="I464" s="149"/>
      <c r="J464" s="149"/>
    </row>
    <row r="465" spans="5:10" ht="21.75" customHeight="1" x14ac:dyDescent="0.2">
      <c r="E465" s="147" t="s">
        <v>3271</v>
      </c>
      <c r="F465" s="147"/>
      <c r="G465" s="147"/>
      <c r="H465" s="147"/>
      <c r="I465" s="147"/>
      <c r="J465" s="147"/>
    </row>
    <row r="466" spans="5:10" ht="12.75" x14ac:dyDescent="0.2"/>
    <row r="467" spans="5:10" ht="25.5" customHeight="1" x14ac:dyDescent="0.2">
      <c r="E467" s="152" t="s">
        <v>1419</v>
      </c>
      <c r="F467" s="152"/>
      <c r="G467" s="152"/>
      <c r="H467" s="152"/>
      <c r="I467" s="152"/>
      <c r="J467" s="152"/>
    </row>
    <row r="468" spans="5:10" ht="25.5" customHeight="1" x14ac:dyDescent="0.2">
      <c r="E468" s="172" t="s">
        <v>3272</v>
      </c>
      <c r="F468" s="173"/>
      <c r="G468" s="173"/>
      <c r="H468" s="173"/>
      <c r="I468" s="173"/>
      <c r="J468" s="174"/>
    </row>
    <row r="469" spans="5:10" ht="15" customHeight="1" x14ac:dyDescent="0.2">
      <c r="E469" s="147" t="s">
        <v>1662</v>
      </c>
      <c r="F469" s="147"/>
      <c r="G469" s="147"/>
      <c r="H469" s="147"/>
      <c r="I469" s="147"/>
      <c r="J469" s="147"/>
    </row>
    <row r="470" spans="5:10" ht="12.75" x14ac:dyDescent="0.2"/>
    <row r="471" spans="5:10" ht="15" customHeight="1" x14ac:dyDescent="0.2">
      <c r="E471" s="198" t="s">
        <v>1859</v>
      </c>
      <c r="F471" s="199"/>
      <c r="G471" s="199"/>
      <c r="H471" s="199"/>
      <c r="I471" s="199"/>
      <c r="J471" s="200"/>
    </row>
  </sheetData>
  <mergeCells count="227">
    <mergeCell ref="E118:J118"/>
    <mergeCell ref="E264:J264"/>
    <mergeCell ref="E234:J234"/>
    <mergeCell ref="E196:J196"/>
    <mergeCell ref="E267:J267"/>
    <mergeCell ref="E120:J120"/>
    <mergeCell ref="E147:J147"/>
    <mergeCell ref="E291:J291"/>
    <mergeCell ref="E290:J290"/>
    <mergeCell ref="E287:J287"/>
    <mergeCell ref="E286:J286"/>
    <mergeCell ref="E260:J260"/>
    <mergeCell ref="E258:J258"/>
    <mergeCell ref="E255:J255"/>
    <mergeCell ref="E254:J254"/>
    <mergeCell ref="E228:J228"/>
    <mergeCell ref="E150:J151"/>
    <mergeCell ref="E194:J194"/>
    <mergeCell ref="E248:J248"/>
    <mergeCell ref="E232:J232"/>
    <mergeCell ref="E158:J159"/>
    <mergeCell ref="E405:J405"/>
    <mergeCell ref="E406:J406"/>
    <mergeCell ref="E407:J407"/>
    <mergeCell ref="E409:J409"/>
    <mergeCell ref="E410:J410"/>
    <mergeCell ref="E411:J411"/>
    <mergeCell ref="E358:J358"/>
    <mergeCell ref="E363:J363"/>
    <mergeCell ref="E362:J362"/>
    <mergeCell ref="E359:J359"/>
    <mergeCell ref="E367:J367"/>
    <mergeCell ref="E383:J383"/>
    <mergeCell ref="E368:J368"/>
    <mergeCell ref="E398:J398"/>
    <mergeCell ref="E415:J415"/>
    <mergeCell ref="L58:L63"/>
    <mergeCell ref="L96:L101"/>
    <mergeCell ref="L124:L129"/>
    <mergeCell ref="L150:L156"/>
    <mergeCell ref="L201:L205"/>
    <mergeCell ref="L237:L240"/>
    <mergeCell ref="L267:L269"/>
    <mergeCell ref="L299:L305"/>
    <mergeCell ref="L69:L74"/>
    <mergeCell ref="L169:L175"/>
    <mergeCell ref="L214:L217"/>
    <mergeCell ref="L248:L249"/>
    <mergeCell ref="L276:L279"/>
    <mergeCell ref="L65:L67"/>
    <mergeCell ref="L158:L167"/>
    <mergeCell ref="L207:L212"/>
    <mergeCell ref="L242:L246"/>
    <mergeCell ref="L271:L274"/>
    <mergeCell ref="L131:L136"/>
    <mergeCell ref="E198:J198"/>
    <mergeCell ref="E372:J372"/>
    <mergeCell ref="L328:L336"/>
    <mergeCell ref="E338:J338"/>
    <mergeCell ref="E469:J469"/>
    <mergeCell ref="E468:J468"/>
    <mergeCell ref="E467:J467"/>
    <mergeCell ref="E465:J465"/>
    <mergeCell ref="E460:J460"/>
    <mergeCell ref="E459:J459"/>
    <mergeCell ref="E458:J458"/>
    <mergeCell ref="E442:J442"/>
    <mergeCell ref="E436:J436"/>
    <mergeCell ref="E462:J462"/>
    <mergeCell ref="E463:J463"/>
    <mergeCell ref="E438:J438"/>
    <mergeCell ref="E441:J441"/>
    <mergeCell ref="E439:J439"/>
    <mergeCell ref="E464:J464"/>
    <mergeCell ref="E445:J445"/>
    <mergeCell ref="E446:J446"/>
    <mergeCell ref="E447:J447"/>
    <mergeCell ref="E449:J449"/>
    <mergeCell ref="E450:J450"/>
    <mergeCell ref="E451:J451"/>
    <mergeCell ref="E452:J452"/>
    <mergeCell ref="E454:J454"/>
    <mergeCell ref="E455:J455"/>
    <mergeCell ref="E9:J11"/>
    <mergeCell ref="E271:J271"/>
    <mergeCell ref="E76:J76"/>
    <mergeCell ref="E96:J96"/>
    <mergeCell ref="E55:J55"/>
    <mergeCell ref="E281:J281"/>
    <mergeCell ref="E124:J124"/>
    <mergeCell ref="E12:J14"/>
    <mergeCell ref="E65:J65"/>
    <mergeCell ref="E50:J50"/>
    <mergeCell ref="E49:J49"/>
    <mergeCell ref="E114:J114"/>
    <mergeCell ref="E111:J111"/>
    <mergeCell ref="E110:J110"/>
    <mergeCell ref="E88:J88"/>
    <mergeCell ref="E87:J87"/>
    <mergeCell ref="E86:J86"/>
    <mergeCell ref="E83:J83"/>
    <mergeCell ref="E82:J82"/>
    <mergeCell ref="E51:J51"/>
    <mergeCell ref="E58:J58"/>
    <mergeCell ref="E57:J57"/>
    <mergeCell ref="E94:J94"/>
    <mergeCell ref="E122:J122"/>
    <mergeCell ref="E103:J103"/>
    <mergeCell ref="E296:J296"/>
    <mergeCell ref="E419:J419"/>
    <mergeCell ref="E418:J418"/>
    <mergeCell ref="E402:J402"/>
    <mergeCell ref="E401:J401"/>
    <mergeCell ref="E381:J381"/>
    <mergeCell ref="E380:J380"/>
    <mergeCell ref="E379:J379"/>
    <mergeCell ref="E376:J376"/>
    <mergeCell ref="E373:J373"/>
    <mergeCell ref="E366:J366"/>
    <mergeCell ref="E192:J192"/>
    <mergeCell ref="E189:J189"/>
    <mergeCell ref="E188:J188"/>
    <mergeCell ref="E225:J225"/>
    <mergeCell ref="E224:J224"/>
    <mergeCell ref="E276:J276"/>
    <mergeCell ref="E116:J116"/>
    <mergeCell ref="E115:J115"/>
    <mergeCell ref="E316:J316"/>
    <mergeCell ref="E315:J315"/>
    <mergeCell ref="E292:J292"/>
    <mergeCell ref="E412:J412"/>
    <mergeCell ref="E429:J429"/>
    <mergeCell ref="E251:J251"/>
    <mergeCell ref="E119:J119"/>
    <mergeCell ref="E434:J434"/>
    <mergeCell ref="E433:J433"/>
    <mergeCell ref="E432:J432"/>
    <mergeCell ref="E428:J428"/>
    <mergeCell ref="E143:J143"/>
    <mergeCell ref="E142:J142"/>
    <mergeCell ref="E141:J141"/>
    <mergeCell ref="E138:J138"/>
    <mergeCell ref="E137:J137"/>
    <mergeCell ref="E219:J219"/>
    <mergeCell ref="E131:J131"/>
    <mergeCell ref="E399:J399"/>
    <mergeCell ref="E394:J394"/>
    <mergeCell ref="E393:J393"/>
    <mergeCell ref="E392:J392"/>
    <mergeCell ref="E389:J389"/>
    <mergeCell ref="E388:J388"/>
    <mergeCell ref="E386:J386"/>
    <mergeCell ref="E424:J424"/>
    <mergeCell ref="E370:J370"/>
    <mergeCell ref="E414:J414"/>
    <mergeCell ref="E3:L4"/>
    <mergeCell ref="L251:L253"/>
    <mergeCell ref="E230:J230"/>
    <mergeCell ref="E263:J263"/>
    <mergeCell ref="E201:J201"/>
    <mergeCell ref="E259:J259"/>
    <mergeCell ref="E371:J371"/>
    <mergeCell ref="E15:J16"/>
    <mergeCell ref="E169:J170"/>
    <mergeCell ref="E295:J295"/>
    <mergeCell ref="E177:J178"/>
    <mergeCell ref="L76:L81"/>
    <mergeCell ref="E229:J229"/>
    <mergeCell ref="E91:J91"/>
    <mergeCell ref="E262:J262"/>
    <mergeCell ref="E307:J307"/>
    <mergeCell ref="L103:L109"/>
    <mergeCell ref="E299:J299"/>
    <mergeCell ref="E54:J54"/>
    <mergeCell ref="L281:L285"/>
    <mergeCell ref="E92:J92"/>
    <mergeCell ref="E69:J69"/>
    <mergeCell ref="E207:J207"/>
    <mergeCell ref="L307:L314"/>
    <mergeCell ref="E471:J471"/>
    <mergeCell ref="E396:J396"/>
    <mergeCell ref="E197:J197"/>
    <mergeCell ref="E214:J214"/>
    <mergeCell ref="E146:J146"/>
    <mergeCell ref="E237:J237"/>
    <mergeCell ref="E437:J437"/>
    <mergeCell ref="E426:J426"/>
    <mergeCell ref="E375:J375"/>
    <mergeCell ref="E423:J423"/>
    <mergeCell ref="E425:J425"/>
    <mergeCell ref="E420:J420"/>
    <mergeCell ref="E384:J384"/>
    <mergeCell ref="E385:J385"/>
    <mergeCell ref="E193:J193"/>
    <mergeCell ref="E356:J356"/>
    <mergeCell ref="E397:J397"/>
    <mergeCell ref="E354:J354"/>
    <mergeCell ref="E353:J353"/>
    <mergeCell ref="E352:J352"/>
    <mergeCell ref="E348:J348"/>
    <mergeCell ref="E349:J349"/>
    <mergeCell ref="E200:J200"/>
    <mergeCell ref="E236:J236"/>
    <mergeCell ref="E422:J422"/>
    <mergeCell ref="E6:L7"/>
    <mergeCell ref="E90:J90"/>
    <mergeCell ref="L177:L187"/>
    <mergeCell ref="E294:J294"/>
    <mergeCell ref="E357:J357"/>
    <mergeCell ref="E53:J53"/>
    <mergeCell ref="E149:J149"/>
    <mergeCell ref="E5:L5"/>
    <mergeCell ref="E145:J145"/>
    <mergeCell ref="L338:L347"/>
    <mergeCell ref="E266:J266"/>
    <mergeCell ref="E298:J298"/>
    <mergeCell ref="E327:J327"/>
    <mergeCell ref="E319:J319"/>
    <mergeCell ref="E320:J320"/>
    <mergeCell ref="E321:J321"/>
    <mergeCell ref="E323:J323"/>
    <mergeCell ref="E324:J324"/>
    <mergeCell ref="E325:J325"/>
    <mergeCell ref="E328:J328"/>
    <mergeCell ref="E233:J233"/>
    <mergeCell ref="L219:L223"/>
    <mergeCell ref="E242:J242"/>
  </mergeCells>
  <hyperlinks>
    <hyperlink ref="B2" location="'Start here'!E6" tooltip="back to Start here" display="⌂  CompBot Tutorial" xr:uid="{00000000-0004-0000-0900-000000000000}"/>
    <hyperlink ref="E5" location="'Case'!K50:T60" display="'Case'!K50:T58" xr:uid="{E9B70A2C-AB08-4082-9183-3048086E7322}"/>
    <hyperlink ref="E471" location="'Case'!K50:T60" display="'Case'!K50:T58" xr:uid="{4676AA45-A7F9-4693-991C-D555710A093C}"/>
    <hyperlink ref="B6" location="'Start here'!E6" display="▸  START" xr:uid="{DC736C9A-80CE-4936-B25F-D218E300090D}"/>
    <hyperlink ref="B7" location="'C1 Your machine'!E6" display="▾  COMMANDS" xr:uid="{58E76967-1F20-4543-A5A3-C6A1BA139C07}"/>
    <hyperlink ref="B8" location="'C1 Your machine'!E6" display="C1 Your machine" xr:uid="{895F2BA1-4BFA-4BA6-AE48-F119FD576D77}"/>
    <hyperlink ref="B9" location="'C2 Open the case'!E6" display="C2 Open the case" xr:uid="{30CE48B5-04D3-4D17-8708-B0570A7CA2AE}"/>
    <hyperlink ref="B10" location="'C3 Read the questions'!E6" display="C3 Read the questions" xr:uid="{A4BFF6D4-0E7B-4740-B6A3-77978C0558E3}"/>
    <hyperlink ref="B11" location="'C4 Solve a level'!E6" display="C4 Solve a level" xr:uid="{D389C87E-EB64-429B-90A3-A93CF7424151}"/>
    <hyperlink ref="B12" location="'C5 Wrap a formula'!E6" display="C5 Wrap a formula" xr:uid="{9B3874F0-800B-4C35-8A95-FF5FC96F1EC7}"/>
    <hyperlink ref="B13" location="'C6 Text, codes and lookups'!E6" display="C6 Text, codes and lookups" xr:uid="{C99D7C2C-3336-42AA-B63E-9EDE3E923ACA}"/>
    <hyperlink ref="B15" location="'C8 Housekeeping'!E6" display="C8 Housekeeping" xr:uid="{E6799CF6-2A46-4FC1-9FF0-7BA4330E5F7A}"/>
    <hyperlink ref="B16" location="'Demo maps'!E6" display="▸  DEMO SHEETS" xr:uid="{281F402E-5A27-4DAF-87C8-E30A19D0D4C3}"/>
    <hyperlink ref="B17" location="'Level 1 Basics'!E6" display="▸  LAMBDAS" xr:uid="{739FBFB0-525F-44F6-AB82-96D18B9E3288}"/>
    <hyperlink ref="B19" location="'Command cheat sheet'!E6" display="▸  REFERENCE" xr:uid="{71E933F0-11E7-4ACF-8533-7B321D8FD8F7}"/>
    <hyperlink ref="B18" location="'I1 The Alves Method'!E6" display="▸  INSIDER" xr:uid="{98C4EB74-C783-4D0A-B904-E18BBDCAE793}"/>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1A5FB4"/>
  </sheetPr>
  <dimension ref="A1:L46"/>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9" customWidth="1"/>
    <col min="2" max="2" width="27" style="19" customWidth="1"/>
    <col min="3" max="3" width="1.5" style="19" customWidth="1"/>
    <col min="4" max="4" width="2.5" customWidth="1"/>
    <col min="5" max="10" width="14.5" customWidth="1"/>
    <col min="11" max="11" width="44" customWidth="1"/>
    <col min="12" max="12" width="46" customWidth="1"/>
  </cols>
  <sheetData>
    <row r="1" spans="2:12" ht="12.75" x14ac:dyDescent="0.2"/>
    <row r="2" spans="2:12" ht="30" customHeight="1" x14ac:dyDescent="0.3">
      <c r="B2" s="20" t="s">
        <v>0</v>
      </c>
      <c r="E2" s="3" t="s">
        <v>776</v>
      </c>
    </row>
    <row r="3" spans="2:12" ht="15" customHeight="1" x14ac:dyDescent="0.2">
      <c r="B3" s="21" t="s">
        <v>2</v>
      </c>
      <c r="E3" s="147" t="s">
        <v>2261</v>
      </c>
      <c r="F3" s="148"/>
      <c r="G3" s="148"/>
      <c r="H3" s="148"/>
      <c r="I3" s="148"/>
      <c r="J3" s="148"/>
      <c r="K3" s="148"/>
      <c r="L3" s="148"/>
    </row>
    <row r="4" spans="2:12" ht="15" customHeight="1" x14ac:dyDescent="0.2">
      <c r="E4" s="148"/>
      <c r="F4" s="148"/>
      <c r="G4" s="148"/>
      <c r="H4" s="148"/>
      <c r="I4" s="148"/>
      <c r="J4" s="148"/>
      <c r="K4" s="148"/>
      <c r="L4" s="148"/>
    </row>
    <row r="5" spans="2:12" ht="12.75" x14ac:dyDescent="0.2"/>
    <row r="6" spans="2:12" ht="15" customHeight="1" x14ac:dyDescent="0.2">
      <c r="B6" s="103" t="s">
        <v>315</v>
      </c>
      <c r="E6" s="152"/>
      <c r="F6" s="148"/>
      <c r="G6" s="148"/>
      <c r="H6" s="148"/>
      <c r="I6" s="148"/>
      <c r="J6" s="148"/>
    </row>
    <row r="7" spans="2:12" ht="15" customHeight="1" x14ac:dyDescent="0.2">
      <c r="B7" s="103" t="s">
        <v>317</v>
      </c>
      <c r="E7" s="148"/>
      <c r="F7" s="148"/>
      <c r="G7" s="148"/>
      <c r="H7" s="148"/>
      <c r="I7" s="148"/>
      <c r="J7" s="148"/>
    </row>
    <row r="8" spans="2:12" ht="12.75" x14ac:dyDescent="0.2">
      <c r="B8" s="105" t="s">
        <v>32</v>
      </c>
    </row>
    <row r="9" spans="2:12" ht="12.75" x14ac:dyDescent="0.2">
      <c r="B9" s="105" t="s">
        <v>35</v>
      </c>
    </row>
    <row r="10" spans="2:12" ht="15" customHeight="1" x14ac:dyDescent="0.2">
      <c r="B10" s="105" t="s">
        <v>37</v>
      </c>
      <c r="E10" s="151" t="s">
        <v>777</v>
      </c>
      <c r="F10" s="148"/>
      <c r="G10" s="148"/>
      <c r="H10" s="148"/>
      <c r="I10" s="148"/>
      <c r="J10" s="148"/>
      <c r="K10" s="211" t="s">
        <v>1388</v>
      </c>
    </row>
    <row r="11" spans="2:12" ht="15" customHeight="1" x14ac:dyDescent="0.2">
      <c r="B11" s="105" t="s">
        <v>39</v>
      </c>
      <c r="E11" s="148"/>
      <c r="F11" s="148"/>
      <c r="G11" s="148"/>
      <c r="H11" s="148"/>
      <c r="I11" s="148"/>
      <c r="J11" s="148"/>
      <c r="K11" s="148"/>
    </row>
    <row r="12" spans="2:12" ht="15" customHeight="1" x14ac:dyDescent="0.2">
      <c r="B12" s="105" t="s">
        <v>40</v>
      </c>
      <c r="E12" s="152" t="s">
        <v>778</v>
      </c>
      <c r="F12" s="148"/>
      <c r="G12" s="148"/>
      <c r="H12" s="148"/>
      <c r="I12" s="148"/>
      <c r="J12" s="148"/>
    </row>
    <row r="13" spans="2:12" ht="15" customHeight="1" x14ac:dyDescent="0.2">
      <c r="B13" s="105" t="s">
        <v>42</v>
      </c>
      <c r="E13" s="147" t="s">
        <v>1523</v>
      </c>
      <c r="F13" s="148"/>
      <c r="G13" s="148"/>
      <c r="H13" s="148"/>
      <c r="I13" s="148"/>
      <c r="J13" s="148"/>
    </row>
    <row r="14" spans="2:12" ht="15" customHeight="1" x14ac:dyDescent="0.2">
      <c r="B14" s="105" t="s">
        <v>44</v>
      </c>
      <c r="E14" s="148"/>
      <c r="F14" s="148"/>
      <c r="G14" s="148"/>
      <c r="H14" s="148"/>
      <c r="I14" s="148"/>
      <c r="J14" s="148"/>
    </row>
    <row r="15" spans="2:12" ht="12.75" x14ac:dyDescent="0.2">
      <c r="B15" s="104" t="s">
        <v>46</v>
      </c>
    </row>
    <row r="16" spans="2:12" ht="15" customHeight="1" x14ac:dyDescent="0.2">
      <c r="B16" s="103" t="s">
        <v>11</v>
      </c>
      <c r="E16" s="202" t="s">
        <v>1726</v>
      </c>
      <c r="F16" s="214"/>
      <c r="G16" s="214"/>
      <c r="H16" s="214"/>
      <c r="I16" s="214"/>
      <c r="J16" s="215"/>
    </row>
    <row r="17" spans="2:11" ht="15" customHeight="1" x14ac:dyDescent="0.2">
      <c r="B17" s="103" t="s">
        <v>13</v>
      </c>
      <c r="E17" s="147" t="s">
        <v>1386</v>
      </c>
      <c r="F17" s="148"/>
      <c r="G17" s="148"/>
      <c r="H17" s="148"/>
      <c r="I17" s="148"/>
      <c r="J17" s="148"/>
    </row>
    <row r="18" spans="2:11" ht="15" customHeight="1" x14ac:dyDescent="0.2">
      <c r="B18" s="103" t="s">
        <v>3407</v>
      </c>
      <c r="E18" s="147" t="s">
        <v>779</v>
      </c>
      <c r="F18" s="148"/>
      <c r="G18" s="148"/>
      <c r="H18" s="148"/>
      <c r="I18" s="148"/>
      <c r="J18" s="148"/>
    </row>
    <row r="19" spans="2:11" ht="15" customHeight="1" x14ac:dyDescent="0.2">
      <c r="B19" s="103" t="s">
        <v>14</v>
      </c>
      <c r="E19" s="147" t="s">
        <v>780</v>
      </c>
      <c r="F19" s="148"/>
      <c r="G19" s="148"/>
      <c r="H19" s="148"/>
      <c r="I19" s="148"/>
      <c r="J19" s="148"/>
    </row>
    <row r="20" spans="2:11" ht="12.75" x14ac:dyDescent="0.2">
      <c r="B20" s="102"/>
    </row>
    <row r="21" spans="2:11" ht="25.5" customHeight="1" x14ac:dyDescent="0.2">
      <c r="B21" s="102"/>
      <c r="E21" s="152" t="s">
        <v>781</v>
      </c>
      <c r="F21" s="152"/>
      <c r="G21" s="152"/>
      <c r="H21" s="152"/>
      <c r="I21" s="152"/>
      <c r="J21" s="152"/>
    </row>
    <row r="22" spans="2:11" ht="15" customHeight="1" x14ac:dyDescent="0.2">
      <c r="B22" s="102"/>
      <c r="E22" s="172" t="s">
        <v>1836</v>
      </c>
      <c r="F22" s="173"/>
      <c r="G22" s="173"/>
      <c r="H22" s="173"/>
      <c r="I22" s="173"/>
      <c r="J22" s="174"/>
    </row>
    <row r="23" spans="2:11" ht="12.75" x14ac:dyDescent="0.2">
      <c r="B23" s="102"/>
    </row>
    <row r="24" spans="2:11" ht="12.75" x14ac:dyDescent="0.2">
      <c r="B24" s="102"/>
    </row>
    <row r="25" spans="2:11" ht="15.75" customHeight="1" x14ac:dyDescent="0.2">
      <c r="B25" s="102"/>
      <c r="E25" s="159" t="s">
        <v>782</v>
      </c>
      <c r="F25" s="159"/>
      <c r="G25" s="159"/>
      <c r="H25" s="159"/>
      <c r="I25" s="159"/>
      <c r="J25" s="159"/>
      <c r="K25" s="52" t="s">
        <v>1388</v>
      </c>
    </row>
    <row r="26" spans="2:11" ht="15" customHeight="1" x14ac:dyDescent="0.2">
      <c r="B26" s="102"/>
      <c r="E26" s="152" t="s">
        <v>783</v>
      </c>
      <c r="F26" s="149"/>
      <c r="G26" s="149"/>
      <c r="H26" s="149"/>
      <c r="I26" s="149"/>
      <c r="J26" s="149"/>
    </row>
    <row r="27" spans="2:11" ht="21.75" customHeight="1" x14ac:dyDescent="0.2">
      <c r="B27" s="102"/>
      <c r="E27" s="147" t="s">
        <v>2264</v>
      </c>
      <c r="F27" s="147"/>
      <c r="G27" s="147"/>
      <c r="H27" s="147"/>
      <c r="I27" s="147"/>
      <c r="J27" s="147"/>
    </row>
    <row r="28" spans="2:11" ht="12.75" x14ac:dyDescent="0.2">
      <c r="B28" s="102"/>
    </row>
    <row r="29" spans="2:11" ht="25.5" customHeight="1" x14ac:dyDescent="0.2">
      <c r="B29" s="102"/>
      <c r="E29" s="193" t="s">
        <v>1694</v>
      </c>
      <c r="F29" s="194"/>
      <c r="G29" s="194"/>
      <c r="H29" s="194"/>
      <c r="I29" s="194"/>
      <c r="J29" s="195"/>
    </row>
    <row r="30" spans="2:11" ht="15" customHeight="1" x14ac:dyDescent="0.2">
      <c r="B30" s="102"/>
      <c r="E30" s="147" t="s">
        <v>1386</v>
      </c>
      <c r="F30" s="149"/>
      <c r="G30" s="149"/>
      <c r="H30" s="149"/>
      <c r="I30" s="149"/>
      <c r="J30" s="149"/>
    </row>
    <row r="31" spans="2:11" ht="15" customHeight="1" x14ac:dyDescent="0.2">
      <c r="B31" s="102"/>
      <c r="E31" s="147" t="s">
        <v>784</v>
      </c>
      <c r="F31" s="149"/>
      <c r="G31" s="149"/>
      <c r="H31" s="149"/>
      <c r="I31" s="149"/>
      <c r="J31" s="149"/>
    </row>
    <row r="32" spans="2:11" ht="12.75" x14ac:dyDescent="0.2">
      <c r="B32" s="102"/>
    </row>
    <row r="33" spans="2:11" ht="15" customHeight="1" x14ac:dyDescent="0.2">
      <c r="B33" s="102"/>
      <c r="E33" s="152" t="s">
        <v>2260</v>
      </c>
      <c r="F33" s="152"/>
      <c r="G33" s="152"/>
      <c r="H33" s="152"/>
      <c r="I33" s="152"/>
      <c r="J33" s="152"/>
    </row>
    <row r="34" spans="2:11" ht="25.5" customHeight="1" x14ac:dyDescent="0.2">
      <c r="B34" s="102"/>
      <c r="E34" s="172" t="s">
        <v>1837</v>
      </c>
      <c r="F34" s="173"/>
      <c r="G34" s="173"/>
      <c r="H34" s="173"/>
      <c r="I34" s="173"/>
      <c r="J34" s="174"/>
    </row>
    <row r="35" spans="2:11" ht="12.75" x14ac:dyDescent="0.2">
      <c r="B35" s="102"/>
    </row>
    <row r="36" spans="2:11" ht="12.75" x14ac:dyDescent="0.2">
      <c r="B36" s="102"/>
    </row>
    <row r="37" spans="2:11" ht="15.75" customHeight="1" x14ac:dyDescent="0.2">
      <c r="B37" s="102"/>
      <c r="E37" s="159" t="s">
        <v>785</v>
      </c>
      <c r="F37" s="159"/>
      <c r="G37" s="159"/>
      <c r="H37" s="159"/>
      <c r="I37" s="159"/>
      <c r="J37" s="159"/>
      <c r="K37" s="52" t="s">
        <v>1388</v>
      </c>
    </row>
    <row r="38" spans="2:11" ht="15" customHeight="1" x14ac:dyDescent="0.2">
      <c r="B38" s="102"/>
      <c r="E38" s="152" t="s">
        <v>786</v>
      </c>
      <c r="F38" s="149"/>
      <c r="G38" s="149"/>
      <c r="H38" s="149"/>
      <c r="I38" s="149"/>
      <c r="J38" s="149"/>
    </row>
    <row r="39" spans="2:11" ht="21.75" customHeight="1" x14ac:dyDescent="0.2">
      <c r="B39" s="102"/>
      <c r="E39" s="147" t="s">
        <v>1524</v>
      </c>
      <c r="F39" s="147"/>
      <c r="G39" s="147"/>
      <c r="H39" s="147"/>
      <c r="I39" s="147"/>
      <c r="J39" s="147"/>
    </row>
    <row r="40" spans="2:11" ht="12.75" x14ac:dyDescent="0.2">
      <c r="B40" s="102"/>
    </row>
    <row r="41" spans="2:11" ht="15" customHeight="1" x14ac:dyDescent="0.2">
      <c r="B41" s="102"/>
      <c r="E41" s="193" t="s">
        <v>1695</v>
      </c>
      <c r="F41" s="194"/>
      <c r="G41" s="194"/>
      <c r="H41" s="194"/>
      <c r="I41" s="194"/>
      <c r="J41" s="195"/>
    </row>
    <row r="42" spans="2:11" ht="15" customHeight="1" x14ac:dyDescent="0.2">
      <c r="B42" s="102"/>
      <c r="E42" s="147" t="s">
        <v>1386</v>
      </c>
      <c r="F42" s="149"/>
      <c r="G42" s="149"/>
      <c r="H42" s="149"/>
      <c r="I42" s="149"/>
      <c r="J42" s="149"/>
    </row>
    <row r="43" spans="2:11" ht="15" customHeight="1" x14ac:dyDescent="0.2">
      <c r="B43" s="102"/>
      <c r="E43" s="147" t="s">
        <v>787</v>
      </c>
      <c r="F43" s="149"/>
      <c r="G43" s="149"/>
      <c r="H43" s="149"/>
      <c r="I43" s="149"/>
      <c r="J43" s="149"/>
    </row>
    <row r="44" spans="2:11" ht="12.75" x14ac:dyDescent="0.2">
      <c r="B44" s="102"/>
    </row>
    <row r="45" spans="2:11" ht="15" customHeight="1" x14ac:dyDescent="0.2">
      <c r="B45" s="102"/>
      <c r="E45" s="152" t="s">
        <v>788</v>
      </c>
      <c r="F45" s="152"/>
      <c r="G45" s="152"/>
      <c r="H45" s="152"/>
      <c r="I45" s="152"/>
      <c r="J45" s="152"/>
    </row>
    <row r="46" spans="2:11" ht="25.5" customHeight="1" x14ac:dyDescent="0.2">
      <c r="B46" s="102"/>
      <c r="E46" s="172" t="s">
        <v>1837</v>
      </c>
      <c r="F46" s="212"/>
      <c r="G46" s="212"/>
      <c r="H46" s="212"/>
      <c r="I46" s="212"/>
      <c r="J46" s="213"/>
    </row>
  </sheetData>
  <mergeCells count="28">
    <mergeCell ref="E3:L4"/>
    <mergeCell ref="E10:J11"/>
    <mergeCell ref="E31:J31"/>
    <mergeCell ref="E18:J18"/>
    <mergeCell ref="E42:J42"/>
    <mergeCell ref="E12:J12"/>
    <mergeCell ref="E17:J17"/>
    <mergeCell ref="E13:J14"/>
    <mergeCell ref="E16:J16"/>
    <mergeCell ref="E30:J30"/>
    <mergeCell ref="E26:J26"/>
    <mergeCell ref="E21:J21"/>
    <mergeCell ref="E19:J19"/>
    <mergeCell ref="E39:J39"/>
    <mergeCell ref="E37:J37"/>
    <mergeCell ref="E34:J34"/>
    <mergeCell ref="E46:J46"/>
    <mergeCell ref="E6:J7"/>
    <mergeCell ref="K10:K11"/>
    <mergeCell ref="E41:J41"/>
    <mergeCell ref="E38:J38"/>
    <mergeCell ref="E43:J43"/>
    <mergeCell ref="E45:J45"/>
    <mergeCell ref="E33:J33"/>
    <mergeCell ref="E29:J29"/>
    <mergeCell ref="E27:J27"/>
    <mergeCell ref="E25:J25"/>
    <mergeCell ref="E22:J22"/>
  </mergeCells>
  <hyperlinks>
    <hyperlink ref="B2" location="'Start here'!E6" tooltip="back to Start here" display="⌂  CompBot Tutorial" xr:uid="{00000000-0004-0000-0A00-000000000000}"/>
    <hyperlink ref="B6" location="'Start here'!E6" display="▸  START" xr:uid="{9C1D2247-3EEA-40BC-93DC-E78317918DCF}"/>
    <hyperlink ref="B7" location="'C1 Your machine'!E6" display="▾  COMMANDS" xr:uid="{FC795104-0989-4F35-B420-C3E8965FEEB0}"/>
    <hyperlink ref="B8" location="'C1 Your machine'!E6" display="C1 Your machine" xr:uid="{7EDFD84B-749A-4640-B545-5FA7DD58ECF5}"/>
    <hyperlink ref="B9" location="'C2 Open the case'!E6" display="C2 Open the case" xr:uid="{49C7CC9F-ED33-49C9-AA6E-6104E50AAAA8}"/>
    <hyperlink ref="B10" location="'C3 Read the questions'!E6" display="C3 Read the questions" xr:uid="{54BA0B7D-2CEF-4614-920E-874A026623DC}"/>
    <hyperlink ref="B11" location="'C4 Solve a level'!E6" display="C4 Solve a level" xr:uid="{B7718068-ADD0-4982-91A6-C6E469380FC5}"/>
    <hyperlink ref="B12" location="'C5 Wrap a formula'!E6" display="C5 Wrap a formula" xr:uid="{9C0BC027-456B-4FF5-A3E5-EBFAD0D5A3A2}"/>
    <hyperlink ref="B13" location="'C6 Text, codes and lookups'!E6" display="C6 Text, codes and lookups" xr:uid="{AF5EF688-9F18-409F-BB4E-FE81586BBFEA}"/>
    <hyperlink ref="B14" location="'C7 Maps, grids and sheets'!E6" display="C7 Maps, grids and sheets" xr:uid="{6274BD65-9D26-4188-8758-C1DC1F6BCCE4}"/>
    <hyperlink ref="B16" location="'Demo maps'!E6" display="▸  DEMO SHEETS" xr:uid="{8BA37A2F-50E1-46BF-88D3-1D6C4B4FB1A0}"/>
    <hyperlink ref="B17" location="'Level 1 Basics'!E6" display="▸  LAMBDAS" xr:uid="{F63647B3-8E15-4250-9B62-143DE2A68641}"/>
    <hyperlink ref="B19" location="'Command cheat sheet'!E6" display="▸  REFERENCE" xr:uid="{3F146D53-CE30-4730-ACB6-D2FEBC893C7C}"/>
    <hyperlink ref="B18" location="'I1 The Alves Method'!E6" display="▸  INSIDER" xr:uid="{145589DC-F8EA-4D17-8E9D-E3E2DB892D2C}"/>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B07219"/>
  </sheetPr>
  <dimension ref="B2:T90"/>
  <sheetViews>
    <sheetView showGridLines="0" workbookViewId="0"/>
  </sheetViews>
  <sheetFormatPr defaultRowHeight="12.75" x14ac:dyDescent="0.2"/>
  <cols>
    <col min="1" max="1" width="2.5" customWidth="1"/>
    <col min="2" max="2" width="14" customWidth="1"/>
    <col min="3" max="3" width="8.625" customWidth="1"/>
    <col min="4" max="4" width="14" customWidth="1"/>
    <col min="5" max="5" width="3.125" customWidth="1"/>
    <col min="6" max="6" width="18" customWidth="1"/>
    <col min="7" max="7" width="14" customWidth="1"/>
  </cols>
  <sheetData>
    <row r="2" spans="2:20" ht="24.75" x14ac:dyDescent="0.3">
      <c r="B2" s="3" t="s">
        <v>1420</v>
      </c>
    </row>
    <row r="3" spans="2:20" ht="21.4" customHeight="1" x14ac:dyDescent="0.2">
      <c r="B3" s="147" t="s">
        <v>797</v>
      </c>
      <c r="C3" s="148"/>
      <c r="D3" s="148"/>
      <c r="E3" s="148"/>
      <c r="F3" s="148"/>
    </row>
    <row r="4" spans="2:20" ht="21.4" customHeight="1" x14ac:dyDescent="0.2">
      <c r="B4" s="148"/>
      <c r="C4" s="148"/>
      <c r="D4" s="148"/>
      <c r="E4" s="148"/>
      <c r="F4" s="148"/>
    </row>
    <row r="6" spans="2:20" ht="38.25" customHeight="1" x14ac:dyDescent="0.2">
      <c r="B6" s="150" t="s">
        <v>1892</v>
      </c>
      <c r="C6" s="148"/>
      <c r="D6" s="148"/>
      <c r="E6" s="148"/>
      <c r="F6" s="148"/>
    </row>
    <row r="7" spans="2:20" ht="21.75" customHeight="1" x14ac:dyDescent="0.2">
      <c r="B7" s="147" t="s">
        <v>1906</v>
      </c>
      <c r="C7" s="148"/>
      <c r="D7" s="148"/>
      <c r="E7" s="148"/>
      <c r="F7" s="148"/>
    </row>
    <row r="9" spans="2:20" ht="32.25" customHeight="1" x14ac:dyDescent="0.2">
      <c r="B9" s="6" t="s">
        <v>798</v>
      </c>
      <c r="C9" s="226" t="s">
        <v>1421</v>
      </c>
      <c r="D9" s="226"/>
      <c r="E9" s="226"/>
      <c r="F9" s="226"/>
      <c r="G9" s="226"/>
      <c r="K9" s="227" t="s">
        <v>377</v>
      </c>
      <c r="L9" s="227"/>
      <c r="M9" s="227"/>
      <c r="N9" s="227"/>
      <c r="O9" s="227"/>
      <c r="P9" s="227"/>
      <c r="Q9" s="227"/>
      <c r="R9" s="227"/>
      <c r="S9" s="227"/>
      <c r="T9" s="227"/>
    </row>
    <row r="10" spans="2:20" ht="12.75" customHeight="1" x14ac:dyDescent="0.2">
      <c r="B10" s="9" t="s">
        <v>799</v>
      </c>
      <c r="C10" s="9" t="s">
        <v>828</v>
      </c>
      <c r="D10" s="9" t="s">
        <v>802</v>
      </c>
      <c r="F10" s="9" t="s">
        <v>800</v>
      </c>
      <c r="G10" s="9" t="s">
        <v>801</v>
      </c>
      <c r="K10" s="71" t="b">
        <v>0</v>
      </c>
      <c r="L10" s="220" t="s">
        <v>2011</v>
      </c>
      <c r="M10" s="221"/>
      <c r="N10" s="221"/>
      <c r="O10" s="221"/>
      <c r="P10" s="221"/>
      <c r="Q10" s="221"/>
      <c r="R10" s="221"/>
      <c r="S10" s="221"/>
      <c r="T10" s="221"/>
    </row>
    <row r="11" spans="2:20" ht="12.75" customHeight="1" x14ac:dyDescent="0.2">
      <c r="B11" s="27" t="s">
        <v>803</v>
      </c>
      <c r="C11" s="74"/>
      <c r="D11" s="28">
        <v>7</v>
      </c>
      <c r="F11" s="27">
        <v>3</v>
      </c>
      <c r="G11" s="27">
        <v>4</v>
      </c>
      <c r="K11" s="71" t="b">
        <v>0</v>
      </c>
      <c r="L11" s="220" t="s">
        <v>1907</v>
      </c>
      <c r="M11" s="221"/>
      <c r="N11" s="221"/>
      <c r="O11" s="221"/>
      <c r="P11" s="221"/>
      <c r="Q11" s="221"/>
      <c r="R11" s="221"/>
      <c r="S11" s="221"/>
      <c r="T11" s="221"/>
    </row>
    <row r="12" spans="2:20" ht="12.75" customHeight="1" x14ac:dyDescent="0.2">
      <c r="C12" s="75"/>
      <c r="K12" s="71" t="b">
        <v>0</v>
      </c>
      <c r="L12" s="220" t="s">
        <v>1908</v>
      </c>
      <c r="M12" s="221"/>
      <c r="N12" s="221"/>
      <c r="O12" s="221"/>
      <c r="P12" s="221"/>
      <c r="Q12" s="221"/>
      <c r="R12" s="221"/>
      <c r="S12" s="221"/>
      <c r="T12" s="221"/>
    </row>
    <row r="13" spans="2:20" ht="12.75" customHeight="1" x14ac:dyDescent="0.2">
      <c r="B13" s="27">
        <v>1</v>
      </c>
      <c r="C13" s="74">
        <v>10</v>
      </c>
      <c r="D13" s="28"/>
      <c r="F13" s="27">
        <v>5</v>
      </c>
      <c r="G13" s="27">
        <v>6</v>
      </c>
      <c r="K13" s="71" t="b">
        <v>0</v>
      </c>
      <c r="L13" s="220" t="s">
        <v>1893</v>
      </c>
      <c r="M13" s="221"/>
      <c r="N13" s="221"/>
      <c r="O13" s="221"/>
      <c r="P13" s="221"/>
      <c r="Q13" s="221"/>
      <c r="R13" s="221"/>
      <c r="S13" s="221"/>
      <c r="T13" s="221"/>
    </row>
    <row r="14" spans="2:20" ht="12.75" customHeight="1" x14ac:dyDescent="0.2">
      <c r="B14" s="27">
        <v>2</v>
      </c>
      <c r="C14" s="74">
        <v>10</v>
      </c>
      <c r="D14" s="28"/>
      <c r="F14" s="27">
        <v>2</v>
      </c>
      <c r="G14" s="27">
        <v>9</v>
      </c>
      <c r="K14" s="71" t="b">
        <v>0</v>
      </c>
      <c r="L14" s="220" t="s">
        <v>1894</v>
      </c>
      <c r="M14" s="221"/>
      <c r="N14" s="221"/>
      <c r="O14" s="221"/>
      <c r="P14" s="221"/>
      <c r="Q14" s="221"/>
      <c r="R14" s="221"/>
      <c r="S14" s="221"/>
      <c r="T14" s="221"/>
    </row>
    <row r="15" spans="2:20" ht="12.75" customHeight="1" x14ac:dyDescent="0.2">
      <c r="B15" s="27">
        <v>3</v>
      </c>
      <c r="C15" s="74">
        <v>10</v>
      </c>
      <c r="D15" s="28"/>
      <c r="F15" s="27">
        <v>8</v>
      </c>
      <c r="G15" s="27">
        <v>1</v>
      </c>
      <c r="K15" s="71" t="b">
        <v>0</v>
      </c>
      <c r="L15" s="220" t="s">
        <v>1895</v>
      </c>
      <c r="M15" s="221"/>
      <c r="N15" s="221"/>
      <c r="O15" s="221"/>
      <c r="P15" s="221"/>
      <c r="Q15" s="221"/>
      <c r="R15" s="221"/>
      <c r="S15" s="221"/>
      <c r="T15" s="221"/>
    </row>
    <row r="16" spans="2:20" ht="12.75" customHeight="1" x14ac:dyDescent="0.2">
      <c r="B16" s="27">
        <v>4</v>
      </c>
      <c r="C16" s="74">
        <v>10</v>
      </c>
      <c r="D16" s="28"/>
      <c r="F16" s="27">
        <v>7</v>
      </c>
      <c r="G16" s="27">
        <v>7</v>
      </c>
      <c r="K16" s="71" t="b">
        <v>0</v>
      </c>
      <c r="L16" s="220" t="s">
        <v>1896</v>
      </c>
      <c r="M16" s="221"/>
      <c r="N16" s="221"/>
      <c r="O16" s="221"/>
      <c r="P16" s="221"/>
      <c r="Q16" s="221"/>
      <c r="R16" s="221"/>
      <c r="S16" s="221"/>
      <c r="T16" s="221"/>
    </row>
    <row r="17" spans="2:20" ht="12.75" customHeight="1" x14ac:dyDescent="0.2">
      <c r="B17" s="27">
        <v>5</v>
      </c>
      <c r="C17" s="74">
        <v>10</v>
      </c>
      <c r="D17" s="28"/>
      <c r="F17" s="27">
        <v>10</v>
      </c>
      <c r="G17" s="27">
        <v>3</v>
      </c>
      <c r="K17" s="71" t="b">
        <v>0</v>
      </c>
      <c r="L17" s="220" t="s">
        <v>1897</v>
      </c>
      <c r="M17" s="221"/>
      <c r="N17" s="221"/>
      <c r="O17" s="221"/>
      <c r="P17" s="221"/>
      <c r="Q17" s="221"/>
      <c r="R17" s="221"/>
      <c r="S17" s="221"/>
      <c r="T17" s="221"/>
    </row>
    <row r="18" spans="2:20" x14ac:dyDescent="0.2">
      <c r="K18" s="71" t="b">
        <v>0</v>
      </c>
      <c r="L18" s="220" t="s">
        <v>1898</v>
      </c>
      <c r="M18" s="221"/>
      <c r="N18" s="221"/>
      <c r="O18" s="221"/>
      <c r="P18" s="221"/>
      <c r="Q18" s="221"/>
      <c r="R18" s="221"/>
      <c r="S18" s="221"/>
      <c r="T18" s="221"/>
    </row>
    <row r="19" spans="2:20" x14ac:dyDescent="0.2">
      <c r="L19" s="222" t="s">
        <v>1853</v>
      </c>
      <c r="M19" s="223"/>
      <c r="N19" s="223"/>
      <c r="O19" s="223"/>
      <c r="P19" s="223"/>
      <c r="Q19" s="223"/>
      <c r="R19" s="223"/>
      <c r="S19" s="223"/>
      <c r="T19" s="223"/>
    </row>
    <row r="20" spans="2:20" ht="21.75" customHeight="1" x14ac:dyDescent="0.2">
      <c r="B20" s="6" t="s">
        <v>804</v>
      </c>
      <c r="C20" s="147" t="s">
        <v>805</v>
      </c>
      <c r="D20" s="147"/>
      <c r="E20" s="147"/>
      <c r="F20" s="147"/>
      <c r="G20" s="147"/>
    </row>
    <row r="21" spans="2:20" x14ac:dyDescent="0.2">
      <c r="B21" s="9" t="s">
        <v>799</v>
      </c>
      <c r="C21" s="9" t="s">
        <v>828</v>
      </c>
      <c r="D21" s="9" t="s">
        <v>802</v>
      </c>
      <c r="F21" s="9" t="s">
        <v>806</v>
      </c>
    </row>
    <row r="22" spans="2:20" x14ac:dyDescent="0.2">
      <c r="B22" s="27" t="s">
        <v>807</v>
      </c>
      <c r="C22" s="74"/>
      <c r="D22" s="28">
        <v>16</v>
      </c>
      <c r="F22" s="27" t="s">
        <v>808</v>
      </c>
    </row>
    <row r="23" spans="2:20" x14ac:dyDescent="0.2">
      <c r="C23" s="75"/>
    </row>
    <row r="24" spans="2:20" x14ac:dyDescent="0.2">
      <c r="B24" s="27">
        <v>6</v>
      </c>
      <c r="C24" s="74">
        <v>15</v>
      </c>
      <c r="D24" s="28"/>
      <c r="F24" s="27" t="s">
        <v>809</v>
      </c>
    </row>
    <row r="25" spans="2:20" x14ac:dyDescent="0.2">
      <c r="B25" s="27">
        <v>7</v>
      </c>
      <c r="C25" s="74">
        <v>15</v>
      </c>
      <c r="D25" s="28"/>
      <c r="F25" s="27" t="s">
        <v>810</v>
      </c>
    </row>
    <row r="26" spans="2:20" x14ac:dyDescent="0.2">
      <c r="B26" s="27">
        <v>8</v>
      </c>
      <c r="C26" s="74">
        <v>15</v>
      </c>
      <c r="D26" s="28"/>
      <c r="F26" s="27" t="s">
        <v>811</v>
      </c>
    </row>
    <row r="27" spans="2:20" x14ac:dyDescent="0.2">
      <c r="B27" s="27">
        <v>9</v>
      </c>
      <c r="C27" s="74">
        <v>15</v>
      </c>
      <c r="D27" s="28"/>
      <c r="F27" s="27" t="s">
        <v>812</v>
      </c>
    </row>
    <row r="28" spans="2:20" x14ac:dyDescent="0.2">
      <c r="B28" s="27">
        <v>10</v>
      </c>
      <c r="C28" s="74">
        <v>15</v>
      </c>
      <c r="D28" s="28"/>
      <c r="F28" s="27" t="s">
        <v>813</v>
      </c>
    </row>
    <row r="31" spans="2:20" ht="42.75" customHeight="1" x14ac:dyDescent="0.2">
      <c r="B31" s="6" t="s">
        <v>814</v>
      </c>
      <c r="C31" s="226" t="s">
        <v>1422</v>
      </c>
      <c r="D31" s="226"/>
      <c r="E31" s="226"/>
      <c r="F31" s="226"/>
      <c r="G31" s="226"/>
      <c r="K31" s="227" t="s">
        <v>419</v>
      </c>
      <c r="L31" s="227"/>
      <c r="M31" s="227"/>
      <c r="N31" s="227"/>
      <c r="O31" s="227"/>
      <c r="P31" s="227"/>
      <c r="Q31" s="227"/>
      <c r="R31" s="227"/>
      <c r="S31" s="227"/>
      <c r="T31" s="227"/>
    </row>
    <row r="32" spans="2:20" ht="12.75" customHeight="1" x14ac:dyDescent="0.2">
      <c r="B32" s="9" t="s">
        <v>799</v>
      </c>
      <c r="C32" s="9" t="s">
        <v>828</v>
      </c>
      <c r="D32" s="9" t="s">
        <v>802</v>
      </c>
      <c r="F32" s="9" t="s">
        <v>815</v>
      </c>
      <c r="G32" s="9" t="s">
        <v>816</v>
      </c>
      <c r="K32" s="71" t="b">
        <v>0</v>
      </c>
      <c r="L32" s="220" t="s">
        <v>1909</v>
      </c>
      <c r="M32" s="221"/>
      <c r="N32" s="221"/>
      <c r="O32" s="221"/>
      <c r="P32" s="221"/>
      <c r="Q32" s="221"/>
      <c r="R32" s="221"/>
      <c r="S32" s="221"/>
      <c r="T32" s="221"/>
    </row>
    <row r="33" spans="2:20" ht="12.75" customHeight="1" x14ac:dyDescent="0.2">
      <c r="B33" s="27" t="s">
        <v>817</v>
      </c>
      <c r="C33" s="74"/>
      <c r="D33" s="28">
        <v>1</v>
      </c>
      <c r="F33" s="27" t="s">
        <v>818</v>
      </c>
      <c r="G33" s="27">
        <v>12</v>
      </c>
      <c r="K33" s="71" t="b">
        <v>0</v>
      </c>
      <c r="L33" s="220" t="s">
        <v>1910</v>
      </c>
      <c r="M33" s="221"/>
      <c r="N33" s="221"/>
      <c r="O33" s="221"/>
      <c r="P33" s="221"/>
      <c r="Q33" s="221"/>
      <c r="R33" s="221"/>
      <c r="S33" s="221"/>
      <c r="T33" s="221"/>
    </row>
    <row r="34" spans="2:20" ht="12.75" customHeight="1" x14ac:dyDescent="0.2">
      <c r="B34" s="27" t="s">
        <v>819</v>
      </c>
      <c r="C34" s="74"/>
      <c r="D34" s="28">
        <v>5</v>
      </c>
      <c r="F34" s="27" t="s">
        <v>820</v>
      </c>
      <c r="G34" s="27">
        <v>12</v>
      </c>
      <c r="K34" s="71" t="b">
        <v>0</v>
      </c>
      <c r="L34" s="220" t="s">
        <v>1911</v>
      </c>
      <c r="M34" s="221"/>
      <c r="N34" s="221"/>
      <c r="O34" s="221"/>
      <c r="P34" s="221"/>
      <c r="Q34" s="221"/>
      <c r="R34" s="221"/>
      <c r="S34" s="221"/>
      <c r="T34" s="221"/>
    </row>
    <row r="35" spans="2:20" ht="12.75" customHeight="1" x14ac:dyDescent="0.2">
      <c r="B35" s="27">
        <v>11</v>
      </c>
      <c r="C35" s="74">
        <v>20</v>
      </c>
      <c r="D35" s="28"/>
      <c r="F35" s="27" t="s">
        <v>821</v>
      </c>
      <c r="G35" s="27">
        <v>12</v>
      </c>
      <c r="K35" s="71" t="b">
        <v>0</v>
      </c>
      <c r="L35" s="220" t="s">
        <v>1912</v>
      </c>
      <c r="M35" s="221"/>
      <c r="N35" s="221"/>
      <c r="O35" s="221"/>
      <c r="P35" s="221"/>
      <c r="Q35" s="221"/>
      <c r="R35" s="221"/>
      <c r="S35" s="221"/>
      <c r="T35" s="221"/>
    </row>
    <row r="36" spans="2:20" ht="12.75" customHeight="1" x14ac:dyDescent="0.2">
      <c r="B36" s="27">
        <v>12</v>
      </c>
      <c r="C36" s="74">
        <v>20</v>
      </c>
      <c r="D36" s="28"/>
      <c r="F36" s="27" t="s">
        <v>822</v>
      </c>
      <c r="G36" s="27">
        <v>12</v>
      </c>
      <c r="K36" s="71" t="b">
        <v>0</v>
      </c>
      <c r="L36" s="220" t="s">
        <v>1913</v>
      </c>
      <c r="M36" s="221"/>
      <c r="N36" s="221"/>
      <c r="O36" s="221"/>
      <c r="P36" s="221"/>
      <c r="Q36" s="221"/>
      <c r="R36" s="221"/>
      <c r="S36" s="221"/>
      <c r="T36" s="221"/>
    </row>
    <row r="37" spans="2:20" ht="12.75" customHeight="1" x14ac:dyDescent="0.2">
      <c r="B37" s="27">
        <v>13</v>
      </c>
      <c r="C37" s="74">
        <v>20</v>
      </c>
      <c r="D37" s="28"/>
      <c r="F37" s="27" t="s">
        <v>823</v>
      </c>
      <c r="G37" s="27">
        <v>12</v>
      </c>
      <c r="K37" s="71" t="b">
        <v>0</v>
      </c>
      <c r="L37" s="220" t="s">
        <v>1899</v>
      </c>
      <c r="M37" s="221"/>
      <c r="N37" s="221"/>
      <c r="O37" s="221"/>
      <c r="P37" s="221"/>
      <c r="Q37" s="221"/>
      <c r="R37" s="221"/>
      <c r="S37" s="221"/>
      <c r="T37" s="221"/>
    </row>
    <row r="38" spans="2:20" ht="12.75" customHeight="1" x14ac:dyDescent="0.2">
      <c r="B38" s="27">
        <v>14</v>
      </c>
      <c r="C38" s="74">
        <v>20</v>
      </c>
      <c r="D38" s="28"/>
      <c r="F38" s="27" t="s">
        <v>824</v>
      </c>
      <c r="G38" s="27">
        <v>12</v>
      </c>
      <c r="K38" s="71" t="b">
        <v>0</v>
      </c>
      <c r="L38" s="220" t="s">
        <v>1914</v>
      </c>
      <c r="M38" s="221"/>
      <c r="N38" s="221"/>
      <c r="O38" s="221"/>
      <c r="P38" s="221"/>
      <c r="Q38" s="221"/>
      <c r="R38" s="221"/>
      <c r="S38" s="221"/>
      <c r="T38" s="221"/>
    </row>
    <row r="39" spans="2:20" ht="12.75" customHeight="1" x14ac:dyDescent="0.2">
      <c r="B39" s="27">
        <v>15</v>
      </c>
      <c r="C39" s="74">
        <v>20</v>
      </c>
      <c r="D39" s="28"/>
      <c r="F39" s="27" t="s">
        <v>825</v>
      </c>
      <c r="G39" s="27">
        <v>12</v>
      </c>
      <c r="K39" s="71" t="b">
        <v>0</v>
      </c>
      <c r="L39" s="220" t="s">
        <v>3492</v>
      </c>
      <c r="M39" s="221"/>
      <c r="N39" s="221"/>
      <c r="O39" s="221"/>
      <c r="P39" s="221"/>
      <c r="Q39" s="221"/>
      <c r="R39" s="221"/>
      <c r="S39" s="221"/>
      <c r="T39" s="221"/>
    </row>
    <row r="40" spans="2:20" x14ac:dyDescent="0.2">
      <c r="K40" s="71" t="b">
        <v>0</v>
      </c>
      <c r="L40" s="220" t="s">
        <v>3493</v>
      </c>
      <c r="M40" s="221"/>
      <c r="N40" s="221"/>
      <c r="O40" s="221"/>
      <c r="P40" s="221"/>
      <c r="Q40" s="221"/>
      <c r="R40" s="221"/>
      <c r="S40" s="221"/>
      <c r="T40" s="221"/>
    </row>
    <row r="41" spans="2:20" x14ac:dyDescent="0.2">
      <c r="K41" s="71" t="b">
        <v>0</v>
      </c>
      <c r="L41" s="220" t="s">
        <v>1915</v>
      </c>
      <c r="M41" s="221"/>
      <c r="N41" s="221"/>
      <c r="O41" s="221"/>
      <c r="P41" s="221"/>
      <c r="Q41" s="221"/>
      <c r="R41" s="221"/>
      <c r="S41" s="221"/>
      <c r="T41" s="221"/>
    </row>
    <row r="42" spans="2:20" ht="15.95" customHeight="1" x14ac:dyDescent="0.2">
      <c r="B42" s="6" t="s">
        <v>826</v>
      </c>
      <c r="L42" s="222" t="s">
        <v>1854</v>
      </c>
      <c r="M42" s="223"/>
      <c r="N42" s="223"/>
      <c r="O42" s="223"/>
      <c r="P42" s="223"/>
      <c r="Q42" s="223"/>
      <c r="R42" s="223"/>
      <c r="S42" s="223"/>
      <c r="T42" s="223"/>
    </row>
    <row r="43" spans="2:20" x14ac:dyDescent="0.2">
      <c r="B43" s="9" t="s">
        <v>827</v>
      </c>
      <c r="C43" s="9" t="s">
        <v>828</v>
      </c>
      <c r="D43" s="9" t="s">
        <v>802</v>
      </c>
      <c r="F43" s="224" t="s">
        <v>829</v>
      </c>
      <c r="G43" s="225"/>
      <c r="H43" s="225"/>
      <c r="I43" s="225"/>
      <c r="J43" s="225"/>
    </row>
    <row r="44" spans="2:20" ht="12.75" customHeight="1" x14ac:dyDescent="0.2">
      <c r="B44" s="29" t="s">
        <v>830</v>
      </c>
      <c r="C44" s="74">
        <v>20</v>
      </c>
      <c r="D44" s="30"/>
      <c r="F44" s="216" t="s">
        <v>831</v>
      </c>
      <c r="G44" s="217"/>
      <c r="H44" s="217"/>
      <c r="I44" s="217"/>
      <c r="J44" s="218"/>
    </row>
    <row r="45" spans="2:20" ht="25.5" customHeight="1" x14ac:dyDescent="0.2">
      <c r="B45" s="29" t="s">
        <v>832</v>
      </c>
      <c r="C45" s="74">
        <v>15</v>
      </c>
      <c r="D45" s="30">
        <v>15</v>
      </c>
      <c r="F45" s="216" t="s">
        <v>833</v>
      </c>
      <c r="G45" s="217"/>
      <c r="H45" s="217"/>
      <c r="I45" s="217"/>
      <c r="J45" s="218"/>
    </row>
    <row r="46" spans="2:20" ht="12.75" customHeight="1" x14ac:dyDescent="0.2">
      <c r="B46" s="29" t="s">
        <v>834</v>
      </c>
      <c r="C46" s="74">
        <v>25</v>
      </c>
      <c r="D46" s="30"/>
      <c r="F46" s="216" t="s">
        <v>835</v>
      </c>
      <c r="G46" s="217"/>
      <c r="H46" s="217"/>
      <c r="I46" s="217"/>
      <c r="J46" s="218"/>
    </row>
    <row r="47" spans="2:20" ht="15" customHeight="1" x14ac:dyDescent="0.2"/>
    <row r="48" spans="2:20" ht="21.75" customHeight="1" x14ac:dyDescent="0.2">
      <c r="B48" s="147" t="s">
        <v>1423</v>
      </c>
      <c r="C48" s="148"/>
      <c r="D48" s="148"/>
      <c r="E48" s="148"/>
      <c r="F48" s="148"/>
    </row>
    <row r="49" spans="7:20" ht="15" customHeight="1" x14ac:dyDescent="0.2"/>
    <row r="50" spans="7:20" ht="15.95" customHeight="1" x14ac:dyDescent="0.2"/>
    <row r="51" spans="7:20" ht="24" customHeight="1" x14ac:dyDescent="0.2"/>
    <row r="52" spans="7:20" ht="24" customHeight="1" x14ac:dyDescent="0.2">
      <c r="K52" s="219" t="s">
        <v>684</v>
      </c>
      <c r="L52" s="219"/>
      <c r="M52" s="219"/>
      <c r="N52" s="219"/>
      <c r="O52" s="219"/>
      <c r="P52" s="219"/>
      <c r="Q52" s="219"/>
      <c r="R52" s="219"/>
      <c r="S52" s="219"/>
      <c r="T52" s="219"/>
    </row>
    <row r="53" spans="7:20" ht="12.95" customHeight="1" x14ac:dyDescent="0.2">
      <c r="K53" s="71" t="b">
        <v>0</v>
      </c>
      <c r="L53" s="220" t="s">
        <v>2221</v>
      </c>
      <c r="M53" s="221"/>
      <c r="N53" s="221"/>
      <c r="O53" s="221"/>
      <c r="P53" s="221"/>
      <c r="Q53" s="221"/>
      <c r="R53" s="221"/>
      <c r="S53" s="221"/>
      <c r="T53" s="221"/>
    </row>
    <row r="54" spans="7:20" ht="12.95" customHeight="1" x14ac:dyDescent="0.2">
      <c r="K54" s="71" t="b">
        <v>0</v>
      </c>
      <c r="L54" s="220" t="s">
        <v>2222</v>
      </c>
      <c r="M54" s="221"/>
      <c r="N54" s="221"/>
      <c r="O54" s="221"/>
      <c r="P54" s="221"/>
      <c r="Q54" s="221"/>
      <c r="R54" s="221"/>
      <c r="S54" s="221"/>
      <c r="T54" s="221"/>
    </row>
    <row r="55" spans="7:20" ht="12.95" customHeight="1" x14ac:dyDescent="0.2">
      <c r="L55" s="222" t="s">
        <v>2223</v>
      </c>
      <c r="M55" s="223"/>
      <c r="N55" s="223"/>
      <c r="O55" s="223"/>
      <c r="P55" s="223"/>
      <c r="Q55" s="223"/>
      <c r="R55" s="223"/>
      <c r="S55" s="223"/>
      <c r="T55" s="223"/>
    </row>
    <row r="56" spans="7:20" ht="23.25" customHeight="1" x14ac:dyDescent="0.2"/>
    <row r="57" spans="7:20" ht="12.95" customHeight="1" x14ac:dyDescent="0.2">
      <c r="L57" s="83" t="s">
        <v>2224</v>
      </c>
    </row>
    <row r="58" spans="7:20" ht="12.95" customHeight="1" x14ac:dyDescent="0.2">
      <c r="L58" s="86" t="s">
        <v>748</v>
      </c>
    </row>
    <row r="59" spans="7:20" ht="15" customHeight="1" x14ac:dyDescent="0.2">
      <c r="G59" s="83" t="s">
        <v>2225</v>
      </c>
      <c r="L59" s="85" t="s">
        <v>749</v>
      </c>
    </row>
    <row r="60" spans="7:20" ht="15" customHeight="1" x14ac:dyDescent="0.2">
      <c r="G60" s="84"/>
    </row>
    <row r="61" spans="7:20" ht="15" customHeight="1" x14ac:dyDescent="0.2">
      <c r="Q61" s="83" t="s">
        <v>2226</v>
      </c>
    </row>
    <row r="62" spans="7:20" ht="15" customHeight="1" x14ac:dyDescent="0.2">
      <c r="Q62" s="84"/>
    </row>
    <row r="63" spans="7:20" ht="15" customHeight="1" x14ac:dyDescent="0.2"/>
    <row r="64" spans="7:20"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sheetData>
  <mergeCells count="38">
    <mergeCell ref="L39:T39"/>
    <mergeCell ref="L40:T40"/>
    <mergeCell ref="L13:T13"/>
    <mergeCell ref="B48:F48"/>
    <mergeCell ref="B3:F4"/>
    <mergeCell ref="B7:F7"/>
    <mergeCell ref="B6:F6"/>
    <mergeCell ref="C20:G20"/>
    <mergeCell ref="L19:T19"/>
    <mergeCell ref="C9:G9"/>
    <mergeCell ref="K9:T9"/>
    <mergeCell ref="L10:T10"/>
    <mergeCell ref="L11:T11"/>
    <mergeCell ref="L12:T12"/>
    <mergeCell ref="L35:T35"/>
    <mergeCell ref="L14:T14"/>
    <mergeCell ref="L15:T15"/>
    <mergeCell ref="L16:T16"/>
    <mergeCell ref="L17:T17"/>
    <mergeCell ref="L18:T18"/>
    <mergeCell ref="C31:G31"/>
    <mergeCell ref="K31:T31"/>
    <mergeCell ref="L32:T32"/>
    <mergeCell ref="L33:T33"/>
    <mergeCell ref="L34:T34"/>
    <mergeCell ref="L36:T36"/>
    <mergeCell ref="L37:T37"/>
    <mergeCell ref="L38:T38"/>
    <mergeCell ref="L41:T41"/>
    <mergeCell ref="L42:T42"/>
    <mergeCell ref="F43:J43"/>
    <mergeCell ref="F44:J44"/>
    <mergeCell ref="F45:J45"/>
    <mergeCell ref="F46:J46"/>
    <mergeCell ref="K52:T52"/>
    <mergeCell ref="L53:T53"/>
    <mergeCell ref="L54:T54"/>
    <mergeCell ref="L55:T55"/>
  </mergeCells>
  <hyperlinks>
    <hyperlink ref="L42" location="'C5 Wrap a formula'!E6" display="'C5 Wrap a formula'!E6" xr:uid="{05A890D5-FD1E-4B91-8DFA-79D7B9FF9CF6}"/>
    <hyperlink ref="L19" location="'C4 Solve a level'!E6" display="'C4 Solve a level'!E6" xr:uid="{F0B1E5CE-9DAE-4207-8D0B-9F3D98EDD33B}"/>
    <hyperlink ref="L55" location="'Demo maps'!N6:V14" display="'Demo maps'!N6:V14" xr:uid="{76BD1615-5059-492C-8FB6-27907C88264D}"/>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B07219"/>
  </sheetPr>
  <dimension ref="A2:V46"/>
  <sheetViews>
    <sheetView showGridLines="0" workbookViewId="0">
      <pane xSplit="3" ySplit="5" topLeftCell="D6" activePane="bottomRight" state="frozen"/>
      <selection pane="topRight"/>
      <selection pane="bottomLeft"/>
      <selection pane="bottomRight" activeCell="D6" sqref="D6"/>
    </sheetView>
  </sheetViews>
  <sheetFormatPr defaultRowHeight="12.75" x14ac:dyDescent="0.2"/>
  <cols>
    <col min="1" max="1" width="1.5" style="31" customWidth="1"/>
    <col min="2" max="2" width="27" style="31" customWidth="1"/>
    <col min="3" max="3" width="1.5" style="31" customWidth="1"/>
    <col min="4" max="4" width="2.5" customWidth="1"/>
    <col min="5" max="11" width="9" customWidth="1"/>
    <col min="12" max="12" width="44" customWidth="1"/>
  </cols>
  <sheetData>
    <row r="2" spans="2:22" ht="24.75" x14ac:dyDescent="0.3">
      <c r="B2" s="32" t="s">
        <v>0</v>
      </c>
      <c r="E2" s="3" t="s">
        <v>1424</v>
      </c>
    </row>
    <row r="3" spans="2:22" ht="15" customHeight="1" x14ac:dyDescent="0.2">
      <c r="B3" s="33" t="s">
        <v>2</v>
      </c>
      <c r="E3" s="147" t="s">
        <v>2215</v>
      </c>
      <c r="F3" s="148"/>
      <c r="G3" s="148"/>
      <c r="H3" s="148"/>
      <c r="I3" s="148"/>
      <c r="J3" s="148"/>
      <c r="K3" s="148"/>
      <c r="L3" s="148"/>
    </row>
    <row r="4" spans="2:22" ht="15" customHeight="1" x14ac:dyDescent="0.2">
      <c r="E4" s="148"/>
      <c r="F4" s="148"/>
      <c r="G4" s="148"/>
      <c r="H4" s="148"/>
      <c r="I4" s="148"/>
      <c r="J4" s="148"/>
      <c r="K4" s="148"/>
      <c r="L4" s="148"/>
    </row>
    <row r="6" spans="2:22" ht="15.95" customHeight="1" x14ac:dyDescent="0.2">
      <c r="B6" s="107" t="s">
        <v>315</v>
      </c>
      <c r="E6" s="6" t="s">
        <v>836</v>
      </c>
      <c r="N6" s="219" t="s">
        <v>2217</v>
      </c>
      <c r="O6" s="219"/>
      <c r="P6" s="219"/>
      <c r="Q6" s="219"/>
      <c r="R6" s="219"/>
      <c r="S6" s="219"/>
      <c r="T6" s="219"/>
      <c r="U6" s="219"/>
      <c r="V6" s="219"/>
    </row>
    <row r="7" spans="2:22" ht="24" customHeight="1" x14ac:dyDescent="0.2">
      <c r="B7" s="107" t="s">
        <v>10</v>
      </c>
      <c r="N7" s="71" t="b">
        <v>0</v>
      </c>
      <c r="O7" s="220" t="s">
        <v>2218</v>
      </c>
      <c r="P7" s="221"/>
      <c r="Q7" s="221"/>
      <c r="R7" s="221"/>
      <c r="S7" s="221"/>
      <c r="T7" s="221"/>
      <c r="U7" s="221"/>
      <c r="V7" s="221"/>
    </row>
    <row r="8" spans="2:22" ht="57.95" customHeight="1" x14ac:dyDescent="0.2">
      <c r="B8" s="107" t="s">
        <v>837</v>
      </c>
      <c r="E8" s="152" t="s">
        <v>838</v>
      </c>
      <c r="F8" s="148"/>
      <c r="G8" s="148"/>
      <c r="H8" s="148"/>
      <c r="I8" s="148"/>
      <c r="J8" s="148"/>
      <c r="K8" s="148"/>
      <c r="N8" s="71" t="b">
        <v>0</v>
      </c>
      <c r="O8" s="220" t="s">
        <v>3267</v>
      </c>
      <c r="P8" s="221"/>
      <c r="Q8" s="221"/>
      <c r="R8" s="221"/>
      <c r="S8" s="221"/>
      <c r="T8" s="221"/>
      <c r="U8" s="221"/>
      <c r="V8" s="221"/>
    </row>
    <row r="9" spans="2:22" ht="24" customHeight="1" x14ac:dyDescent="0.2">
      <c r="B9" s="108" t="s">
        <v>48</v>
      </c>
      <c r="N9" s="71" t="b">
        <v>0</v>
      </c>
      <c r="O9" s="220" t="s">
        <v>3273</v>
      </c>
      <c r="P9" s="221"/>
      <c r="Q9" s="221"/>
      <c r="R9" s="221"/>
      <c r="S9" s="221"/>
      <c r="T9" s="221"/>
      <c r="U9" s="221"/>
      <c r="V9" s="221"/>
    </row>
    <row r="10" spans="2:22" ht="24" customHeight="1" x14ac:dyDescent="0.2">
      <c r="B10" s="109" t="s">
        <v>50</v>
      </c>
      <c r="E10" s="34"/>
      <c r="F10" s="34"/>
      <c r="G10" s="35"/>
      <c r="H10" s="36"/>
      <c r="I10" s="34"/>
      <c r="N10" s="71" t="b">
        <v>0</v>
      </c>
      <c r="O10" s="220" t="s">
        <v>3222</v>
      </c>
      <c r="P10" s="221"/>
      <c r="Q10" s="221"/>
      <c r="R10" s="221"/>
      <c r="S10" s="221"/>
      <c r="T10" s="221"/>
      <c r="U10" s="221"/>
      <c r="V10" s="221"/>
    </row>
    <row r="11" spans="2:22" ht="24" customHeight="1" x14ac:dyDescent="0.2">
      <c r="B11" s="108" t="s">
        <v>748</v>
      </c>
      <c r="E11" s="34"/>
      <c r="F11" s="35"/>
      <c r="G11" s="35"/>
      <c r="H11" s="36"/>
      <c r="I11" s="34"/>
      <c r="N11" s="71" t="b">
        <v>0</v>
      </c>
      <c r="O11" s="220" t="s">
        <v>3232</v>
      </c>
      <c r="P11" s="221"/>
      <c r="Q11" s="221"/>
      <c r="R11" s="221"/>
      <c r="S11" s="221"/>
      <c r="T11" s="221"/>
      <c r="U11" s="221"/>
      <c r="V11" s="221"/>
    </row>
    <row r="12" spans="2:22" ht="24" customHeight="1" x14ac:dyDescent="0.2">
      <c r="B12" s="108" t="s">
        <v>839</v>
      </c>
      <c r="E12" s="34"/>
      <c r="F12" s="34"/>
      <c r="G12" s="34"/>
      <c r="H12" s="34"/>
      <c r="I12" s="37"/>
      <c r="N12" s="71" t="b">
        <v>0</v>
      </c>
      <c r="O12" s="220" t="s">
        <v>2219</v>
      </c>
      <c r="P12" s="221"/>
      <c r="Q12" s="221"/>
      <c r="R12" s="221"/>
      <c r="S12" s="221"/>
      <c r="T12" s="221"/>
      <c r="U12" s="221"/>
      <c r="V12" s="221"/>
    </row>
    <row r="13" spans="2:22" x14ac:dyDescent="0.2">
      <c r="B13" s="108" t="s">
        <v>749</v>
      </c>
      <c r="E13" s="36"/>
      <c r="F13" s="36"/>
      <c r="G13" s="34"/>
      <c r="H13" s="34"/>
      <c r="I13" s="34"/>
      <c r="O13" s="222" t="s">
        <v>1855</v>
      </c>
      <c r="P13" s="223"/>
      <c r="Q13" s="223"/>
      <c r="R13" s="223"/>
      <c r="S13" s="223"/>
      <c r="T13" s="223"/>
      <c r="U13" s="223"/>
      <c r="V13" s="223"/>
    </row>
    <row r="14" spans="2:22" x14ac:dyDescent="0.2">
      <c r="B14" s="107" t="s">
        <v>13</v>
      </c>
      <c r="E14" s="34"/>
      <c r="F14" s="34"/>
      <c r="G14" s="37"/>
      <c r="H14" s="34"/>
      <c r="I14" s="34"/>
      <c r="O14" s="228" t="s">
        <v>2220</v>
      </c>
      <c r="P14" s="229"/>
      <c r="Q14" s="229"/>
      <c r="R14" s="229"/>
      <c r="S14" s="229"/>
      <c r="T14" s="229"/>
      <c r="U14" s="229"/>
      <c r="V14" s="229"/>
    </row>
    <row r="15" spans="2:22" x14ac:dyDescent="0.2">
      <c r="B15" s="107" t="s">
        <v>3407</v>
      </c>
    </row>
    <row r="16" spans="2:22" x14ac:dyDescent="0.2">
      <c r="B16" s="107" t="s">
        <v>14</v>
      </c>
      <c r="E16" s="22" t="s">
        <v>1425</v>
      </c>
      <c r="O16" s="83" t="s">
        <v>3268</v>
      </c>
    </row>
    <row r="17" spans="2:15" x14ac:dyDescent="0.2">
      <c r="B17" s="106"/>
      <c r="E17" s="38"/>
      <c r="F17" s="27">
        <v>1</v>
      </c>
      <c r="G17" s="22" t="s">
        <v>840</v>
      </c>
      <c r="O17" s="84"/>
    </row>
    <row r="18" spans="2:15" x14ac:dyDescent="0.2">
      <c r="B18" s="106"/>
      <c r="E18" s="39"/>
      <c r="F18" s="27">
        <v>2</v>
      </c>
      <c r="G18" s="22" t="s">
        <v>841</v>
      </c>
    </row>
    <row r="19" spans="2:15" x14ac:dyDescent="0.2">
      <c r="B19" s="106"/>
      <c r="E19" s="40"/>
      <c r="F19" s="27">
        <v>9</v>
      </c>
      <c r="G19" s="22" t="s">
        <v>842</v>
      </c>
    </row>
    <row r="20" spans="2:15" x14ac:dyDescent="0.2">
      <c r="B20" s="106"/>
      <c r="E20" s="41"/>
      <c r="F20" s="27">
        <v>4</v>
      </c>
      <c r="G20" s="22" t="s">
        <v>843</v>
      </c>
    </row>
    <row r="21" spans="2:15" x14ac:dyDescent="0.2">
      <c r="B21" s="106"/>
    </row>
    <row r="22" spans="2:15" x14ac:dyDescent="0.2">
      <c r="B22" s="106"/>
    </row>
    <row r="23" spans="2:15" ht="15.75" x14ac:dyDescent="0.2">
      <c r="B23" s="106"/>
      <c r="E23" s="6" t="s">
        <v>844</v>
      </c>
    </row>
    <row r="24" spans="2:15" x14ac:dyDescent="0.2">
      <c r="B24" s="106"/>
    </row>
    <row r="25" spans="2:15" ht="101.45" customHeight="1" x14ac:dyDescent="0.2">
      <c r="B25" s="106"/>
      <c r="E25" s="152" t="s">
        <v>2216</v>
      </c>
      <c r="F25" s="148"/>
      <c r="G25" s="148"/>
      <c r="H25" s="148"/>
      <c r="I25" s="148"/>
      <c r="J25" s="148"/>
      <c r="K25" s="148"/>
    </row>
    <row r="26" spans="2:15" x14ac:dyDescent="0.2">
      <c r="B26" s="106"/>
    </row>
    <row r="27" spans="2:15" x14ac:dyDescent="0.2">
      <c r="B27" s="106"/>
      <c r="E27" s="126"/>
      <c r="F27" s="126"/>
      <c r="G27" s="42"/>
      <c r="H27" s="42"/>
      <c r="I27" s="42"/>
      <c r="J27" s="127"/>
    </row>
    <row r="28" spans="2:15" x14ac:dyDescent="0.2">
      <c r="B28" s="106"/>
      <c r="E28" s="126"/>
      <c r="F28" s="42"/>
      <c r="G28" s="42"/>
      <c r="H28" s="42"/>
      <c r="I28" s="42"/>
      <c r="J28" s="127"/>
    </row>
    <row r="29" spans="2:15" x14ac:dyDescent="0.2">
      <c r="B29" s="106"/>
      <c r="E29" s="42"/>
      <c r="F29" s="42"/>
      <c r="G29" s="126"/>
      <c r="H29" s="126"/>
      <c r="I29" s="42"/>
      <c r="J29" s="128"/>
    </row>
    <row r="30" spans="2:15" x14ac:dyDescent="0.2">
      <c r="B30" s="106"/>
      <c r="E30" s="42"/>
      <c r="F30" s="42"/>
      <c r="G30" s="42"/>
      <c r="H30" s="126"/>
      <c r="I30" s="42"/>
      <c r="J30" s="42"/>
    </row>
    <row r="31" spans="2:15" x14ac:dyDescent="0.2">
      <c r="B31" s="106"/>
      <c r="E31" s="127"/>
      <c r="F31" s="127"/>
      <c r="G31" s="42"/>
      <c r="H31" s="42"/>
      <c r="I31" s="126"/>
      <c r="J31" s="126"/>
    </row>
    <row r="32" spans="2:15" x14ac:dyDescent="0.2">
      <c r="B32" s="106"/>
      <c r="E32" s="42"/>
      <c r="F32" s="42"/>
      <c r="G32" s="42"/>
      <c r="H32" s="42"/>
      <c r="I32" s="42"/>
      <c r="J32" s="126"/>
    </row>
    <row r="33" spans="2:11" x14ac:dyDescent="0.2">
      <c r="B33" s="106"/>
    </row>
    <row r="34" spans="2:11" x14ac:dyDescent="0.2">
      <c r="B34" s="106"/>
    </row>
    <row r="35" spans="2:11" ht="15.75" x14ac:dyDescent="0.2">
      <c r="B35" s="106"/>
      <c r="E35" s="6" t="s">
        <v>2212</v>
      </c>
    </row>
    <row r="36" spans="2:11" x14ac:dyDescent="0.2">
      <c r="B36" s="106"/>
    </row>
    <row r="37" spans="2:11" ht="72.599999999999994" customHeight="1" x14ac:dyDescent="0.2">
      <c r="B37" s="106"/>
      <c r="E37" s="152" t="s">
        <v>2213</v>
      </c>
      <c r="F37" s="148"/>
      <c r="G37" s="148"/>
      <c r="H37" s="148"/>
      <c r="I37" s="148"/>
      <c r="J37" s="148"/>
      <c r="K37" s="148"/>
    </row>
    <row r="38" spans="2:11" x14ac:dyDescent="0.2">
      <c r="B38" s="106"/>
    </row>
    <row r="39" spans="2:11" ht="12.75" customHeight="1" x14ac:dyDescent="0.2">
      <c r="B39" s="106"/>
      <c r="E39" s="82" t="s">
        <v>687</v>
      </c>
      <c r="F39" s="82">
        <v>1</v>
      </c>
      <c r="G39" s="82">
        <v>1</v>
      </c>
      <c r="H39" s="82">
        <v>1</v>
      </c>
      <c r="I39" s="29"/>
    </row>
    <row r="40" spans="2:11" ht="12.75" customHeight="1" x14ac:dyDescent="0.2">
      <c r="B40" s="106"/>
      <c r="E40" s="29"/>
      <c r="F40" s="29"/>
      <c r="G40" s="29"/>
      <c r="H40" s="82">
        <v>1</v>
      </c>
      <c r="I40" s="29"/>
    </row>
    <row r="41" spans="2:11" ht="12.75" customHeight="1" x14ac:dyDescent="0.2">
      <c r="B41" s="106"/>
      <c r="E41" s="29"/>
      <c r="F41" s="82">
        <v>1</v>
      </c>
      <c r="G41" s="82">
        <v>1</v>
      </c>
      <c r="H41" s="82">
        <v>1</v>
      </c>
      <c r="I41" s="29"/>
    </row>
    <row r="42" spans="2:11" ht="12.75" customHeight="1" x14ac:dyDescent="0.2">
      <c r="B42" s="106"/>
      <c r="E42" s="29"/>
      <c r="F42" s="82">
        <v>1</v>
      </c>
      <c r="G42" s="29"/>
      <c r="H42" s="29"/>
      <c r="I42" s="29"/>
    </row>
    <row r="43" spans="2:11" ht="12.75" customHeight="1" x14ac:dyDescent="0.2">
      <c r="B43" s="106"/>
      <c r="E43" s="29"/>
      <c r="F43" s="82">
        <v>1</v>
      </c>
      <c r="G43" s="82">
        <v>1</v>
      </c>
      <c r="H43" s="82">
        <v>1</v>
      </c>
      <c r="I43" s="82">
        <v>1</v>
      </c>
    </row>
    <row r="44" spans="2:11" ht="12.75" customHeight="1" x14ac:dyDescent="0.2">
      <c r="B44" s="106"/>
      <c r="J44" s="129" t="s">
        <v>2214</v>
      </c>
    </row>
    <row r="45" spans="2:11" x14ac:dyDescent="0.2">
      <c r="B45" s="106"/>
    </row>
    <row r="46" spans="2:11" x14ac:dyDescent="0.2">
      <c r="B46" s="106"/>
    </row>
  </sheetData>
  <mergeCells count="13">
    <mergeCell ref="E3:L4"/>
    <mergeCell ref="E25:K25"/>
    <mergeCell ref="E37:K37"/>
    <mergeCell ref="E8:K8"/>
    <mergeCell ref="O11:V11"/>
    <mergeCell ref="O12:V12"/>
    <mergeCell ref="O13:V13"/>
    <mergeCell ref="O14:V14"/>
    <mergeCell ref="N6:V6"/>
    <mergeCell ref="O7:V7"/>
    <mergeCell ref="O8:V8"/>
    <mergeCell ref="O9:V9"/>
    <mergeCell ref="O10:V10"/>
  </mergeCells>
  <hyperlinks>
    <hyperlink ref="B2" location="'Start here'!E6" tooltip="back to Start here" display="⌂  CompBot Tutorial" xr:uid="{00000000-0004-0000-0C00-000000000000}"/>
    <hyperlink ref="O13" location="'C8 Housekeeping'!E6" display="'C8 Housekeeping'!E6" xr:uid="{642AD383-54CA-4C66-AA5C-AAE991EBA155}"/>
    <hyperlink ref="O14" location="'Case'!K50:T60" display="'Case'!K50:T60" xr:uid="{FC84EED7-3E5A-4CCE-9341-17FBD1BFB6CE}"/>
    <hyperlink ref="B6" location="'Start here'!E6" display="▸  START" xr:uid="{254DD604-64E4-44E6-880F-E0191362DB13}"/>
    <hyperlink ref="B7" location="'C1 Your machine'!E6" display="▸  COMMANDS" xr:uid="{C82D74B6-4B9B-47F9-B70D-38FE3853FFF6}"/>
    <hyperlink ref="B8" location="'Demo maps'!E6" display="▾  DEMO SHEETS" xr:uid="{AB1878FC-8699-4659-8005-78E732864827}"/>
    <hyperlink ref="B9" location="'Case'!A1" display="Case" xr:uid="{C148DC27-AB12-4ADE-9F26-583D46BBD404}"/>
    <hyperlink ref="B11" location="'Area1'!A1" display="Area1" xr:uid="{83EA3276-C44F-484B-9ED1-682D8E4AD97F}"/>
    <hyperlink ref="B12" location="'Area2'!A1" display="Area2" xr:uid="{55854AA8-3FCB-42F3-B9C9-CA653D5E66E7}"/>
    <hyperlink ref="B13" location="'Area3'!A1" display="Area3" xr:uid="{B24A298E-4475-4C9E-A41F-644A37E16DE6}"/>
    <hyperlink ref="B14" location="'Level 1 Basics'!E6" display="▸  LAMBDAS" xr:uid="{49DCE54A-9538-41C6-AF20-271B0C7AEAAD}"/>
    <hyperlink ref="B16" location="'Command cheat sheet'!E6" display="▸  REFERENCE" xr:uid="{667529CA-CBD7-4F12-8550-2D1AB98B7BCB}"/>
    <hyperlink ref="B15" location="'I1 The Alves Method'!E6" display="▸  INSIDER" xr:uid="{2992F0DF-02E9-4DA8-BA59-FD5C02064E3C}"/>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B07219"/>
  </sheetPr>
  <dimension ref="B3:D6"/>
  <sheetViews>
    <sheetView showGridLines="0" workbookViewId="0"/>
  </sheetViews>
  <sheetFormatPr defaultRowHeight="12.75" x14ac:dyDescent="0.2"/>
  <cols>
    <col min="1" max="1" width="2.5" customWidth="1"/>
    <col min="2" max="4" width="12" customWidth="1"/>
  </cols>
  <sheetData>
    <row r="3" spans="2:4" x14ac:dyDescent="0.2">
      <c r="B3" s="43" t="s">
        <v>845</v>
      </c>
      <c r="C3" s="43" t="s">
        <v>846</v>
      </c>
      <c r="D3" s="43" t="s">
        <v>847</v>
      </c>
    </row>
    <row r="4" spans="2:4" x14ac:dyDescent="0.2">
      <c r="B4" s="29" t="s">
        <v>848</v>
      </c>
      <c r="C4" s="29">
        <v>3</v>
      </c>
      <c r="D4" s="29">
        <v>12</v>
      </c>
    </row>
    <row r="5" spans="2:4" x14ac:dyDescent="0.2">
      <c r="B5" s="29" t="s">
        <v>849</v>
      </c>
      <c r="C5" s="29">
        <v>0</v>
      </c>
      <c r="D5" s="29">
        <v>5</v>
      </c>
    </row>
    <row r="6" spans="2:4" x14ac:dyDescent="0.2">
      <c r="B6" s="29" t="s">
        <v>850</v>
      </c>
      <c r="C6" s="29">
        <v>7</v>
      </c>
      <c r="D6" s="29"/>
    </row>
  </sheetData>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B07219"/>
  </sheetPr>
  <dimension ref="B3:D6"/>
  <sheetViews>
    <sheetView showGridLines="0" workbookViewId="0"/>
  </sheetViews>
  <sheetFormatPr defaultRowHeight="12.75" x14ac:dyDescent="0.2"/>
  <cols>
    <col min="1" max="1" width="2.5" customWidth="1"/>
    <col min="2" max="4" width="12" customWidth="1"/>
  </cols>
  <sheetData>
    <row r="3" spans="2:4" x14ac:dyDescent="0.2">
      <c r="B3" s="43" t="s">
        <v>845</v>
      </c>
      <c r="C3" s="43" t="s">
        <v>846</v>
      </c>
      <c r="D3" s="43" t="s">
        <v>847</v>
      </c>
    </row>
    <row r="4" spans="2:4" x14ac:dyDescent="0.2">
      <c r="B4" s="29" t="s">
        <v>848</v>
      </c>
      <c r="C4" s="29">
        <v>1</v>
      </c>
      <c r="D4" s="29">
        <v>9</v>
      </c>
    </row>
    <row r="5" spans="2:4" x14ac:dyDescent="0.2">
      <c r="B5" s="29" t="s">
        <v>849</v>
      </c>
      <c r="C5" s="29">
        <v>4</v>
      </c>
      <c r="D5" s="29"/>
    </row>
    <row r="6" spans="2:4" x14ac:dyDescent="0.2">
      <c r="B6" s="29" t="s">
        <v>850</v>
      </c>
      <c r="C6" s="29">
        <v>0</v>
      </c>
      <c r="D6" s="29">
        <v>3</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B07219"/>
  </sheetPr>
  <dimension ref="B3:D6"/>
  <sheetViews>
    <sheetView showGridLines="0" workbookViewId="0"/>
  </sheetViews>
  <sheetFormatPr defaultRowHeight="12.75" x14ac:dyDescent="0.2"/>
  <cols>
    <col min="1" max="1" width="2.5" customWidth="1"/>
    <col min="2" max="4" width="12" customWidth="1"/>
  </cols>
  <sheetData>
    <row r="3" spans="2:4" x14ac:dyDescent="0.2">
      <c r="B3" s="43" t="s">
        <v>845</v>
      </c>
      <c r="C3" s="43" t="s">
        <v>846</v>
      </c>
      <c r="D3" s="43" t="s">
        <v>847</v>
      </c>
    </row>
    <row r="4" spans="2:4" x14ac:dyDescent="0.2">
      <c r="B4" s="29" t="s">
        <v>848</v>
      </c>
      <c r="C4" s="29">
        <v>5</v>
      </c>
      <c r="D4" s="29">
        <v>0</v>
      </c>
    </row>
    <row r="5" spans="2:4" x14ac:dyDescent="0.2">
      <c r="B5" s="29" t="s">
        <v>849</v>
      </c>
      <c r="C5" s="29">
        <v>2</v>
      </c>
      <c r="D5" s="29">
        <v>8</v>
      </c>
    </row>
    <row r="6" spans="2:4" x14ac:dyDescent="0.2">
      <c r="B6" s="29" t="s">
        <v>850</v>
      </c>
      <c r="C6" s="29">
        <v>6</v>
      </c>
      <c r="D6" s="29">
        <v>11</v>
      </c>
    </row>
  </sheetData>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0B6E4F"/>
  </sheetPr>
  <dimension ref="A1:L343"/>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44" customWidth="1"/>
    <col min="2" max="2" width="27" style="44" customWidth="1"/>
    <col min="3" max="3" width="1.5" style="44" customWidth="1"/>
    <col min="4" max="4" width="2.5" customWidth="1"/>
    <col min="5" max="10" width="14.5" customWidth="1"/>
    <col min="11" max="11" width="44" customWidth="1"/>
    <col min="12" max="12" width="46" customWidth="1"/>
  </cols>
  <sheetData>
    <row r="1" spans="2:12" ht="12.75" x14ac:dyDescent="0.2"/>
    <row r="2" spans="2:12" ht="30" customHeight="1" x14ac:dyDescent="0.3">
      <c r="B2" s="45" t="s">
        <v>0</v>
      </c>
      <c r="E2" s="3" t="s">
        <v>905</v>
      </c>
    </row>
    <row r="3" spans="2:12" ht="15" customHeight="1" x14ac:dyDescent="0.2">
      <c r="B3" s="46" t="s">
        <v>2</v>
      </c>
      <c r="E3" s="147" t="s">
        <v>1426</v>
      </c>
      <c r="F3" s="148"/>
      <c r="G3" s="148"/>
      <c r="H3" s="148"/>
      <c r="I3" s="148"/>
      <c r="J3" s="148"/>
      <c r="K3" s="148"/>
      <c r="L3" s="148"/>
    </row>
    <row r="4" spans="2:12" ht="15" customHeight="1" x14ac:dyDescent="0.2">
      <c r="E4" s="148"/>
      <c r="F4" s="148"/>
      <c r="G4" s="148"/>
      <c r="H4" s="148"/>
      <c r="I4" s="148"/>
      <c r="J4" s="148"/>
      <c r="K4" s="148"/>
      <c r="L4" s="148"/>
    </row>
    <row r="5" spans="2:12" ht="12.75" x14ac:dyDescent="0.2"/>
    <row r="6" spans="2:12" ht="15.75" customHeight="1" x14ac:dyDescent="0.2">
      <c r="B6" s="112" t="s">
        <v>315</v>
      </c>
      <c r="E6" s="159" t="s">
        <v>911</v>
      </c>
      <c r="F6" s="159"/>
      <c r="G6" s="159"/>
      <c r="H6" s="159"/>
      <c r="I6" s="159"/>
      <c r="J6" s="159"/>
      <c r="K6" s="159"/>
      <c r="L6" s="159"/>
    </row>
    <row r="7" spans="2:12" ht="15" customHeight="1" x14ac:dyDescent="0.2">
      <c r="B7" s="112" t="s">
        <v>10</v>
      </c>
      <c r="E7" s="152" t="s">
        <v>912</v>
      </c>
      <c r="F7" s="149"/>
      <c r="G7" s="149"/>
      <c r="H7" s="149"/>
      <c r="I7" s="149"/>
      <c r="J7" s="149"/>
    </row>
    <row r="8" spans="2:12" ht="15" customHeight="1" x14ac:dyDescent="0.2">
      <c r="B8" s="112" t="s">
        <v>11</v>
      </c>
      <c r="E8" s="147" t="s">
        <v>913</v>
      </c>
      <c r="F8" s="149"/>
      <c r="G8" s="149"/>
      <c r="H8" s="149"/>
      <c r="I8" s="149"/>
      <c r="J8" s="149"/>
    </row>
    <row r="9" spans="2:12" ht="12.75" customHeight="1" x14ac:dyDescent="0.2">
      <c r="B9" s="112" t="s">
        <v>856</v>
      </c>
    </row>
    <row r="10" spans="2:12" ht="12.75" customHeight="1" x14ac:dyDescent="0.2">
      <c r="B10" s="90" t="s">
        <v>56</v>
      </c>
      <c r="E10" s="22" t="s">
        <v>914</v>
      </c>
    </row>
    <row r="11" spans="2:12" ht="12.75" customHeight="1" x14ac:dyDescent="0.2">
      <c r="B11" s="91" t="s">
        <v>58</v>
      </c>
      <c r="E11" s="29">
        <v>5</v>
      </c>
    </row>
    <row r="12" spans="2:12" ht="12.75" customHeight="1" x14ac:dyDescent="0.2">
      <c r="B12" s="91" t="s">
        <v>3181</v>
      </c>
      <c r="E12" s="29">
        <v>5</v>
      </c>
    </row>
    <row r="13" spans="2:12" ht="12.75" customHeight="1" x14ac:dyDescent="0.2">
      <c r="B13" s="91" t="s">
        <v>3182</v>
      </c>
      <c r="E13" s="29">
        <v>8</v>
      </c>
    </row>
    <row r="14" spans="2:12" ht="12.75" customHeight="1" x14ac:dyDescent="0.2">
      <c r="B14" s="91" t="s">
        <v>3179</v>
      </c>
    </row>
    <row r="15" spans="2:12" ht="12.75" customHeight="1" x14ac:dyDescent="0.2">
      <c r="B15" s="91" t="s">
        <v>3180</v>
      </c>
      <c r="E15" s="22" t="s">
        <v>2466</v>
      </c>
    </row>
    <row r="16" spans="2:12" ht="15" customHeight="1" x14ac:dyDescent="0.2">
      <c r="B16" s="91" t="s">
        <v>54</v>
      </c>
      <c r="E16" s="94">
        <v>5</v>
      </c>
      <c r="G16" s="94">
        <v>5</v>
      </c>
    </row>
    <row r="17" spans="2:12" ht="15" customHeight="1" x14ac:dyDescent="0.2">
      <c r="B17" s="112" t="s">
        <v>3407</v>
      </c>
      <c r="E17" s="94">
        <v>5</v>
      </c>
      <c r="G17" s="94">
        <v>5</v>
      </c>
    </row>
    <row r="18" spans="2:12" ht="15" customHeight="1" x14ac:dyDescent="0.2">
      <c r="B18" s="112" t="s">
        <v>14</v>
      </c>
      <c r="E18" s="94">
        <v>8</v>
      </c>
      <c r="G18" s="94">
        <v>8</v>
      </c>
    </row>
    <row r="19" spans="2:12" ht="15" customHeight="1" x14ac:dyDescent="0.2">
      <c r="B19" s="110"/>
      <c r="G19" s="94">
        <v>9</v>
      </c>
    </row>
    <row r="20" spans="2:12" ht="15" customHeight="1" x14ac:dyDescent="0.2">
      <c r="B20" s="110"/>
    </row>
    <row r="21" spans="2:12" ht="15" customHeight="1" x14ac:dyDescent="0.2">
      <c r="B21" s="110"/>
      <c r="E21" s="94">
        <v>5</v>
      </c>
      <c r="F21" s="94">
        <v>5</v>
      </c>
      <c r="G21" s="94">
        <v>8</v>
      </c>
    </row>
    <row r="22" spans="2:12" ht="15" customHeight="1" x14ac:dyDescent="0.2">
      <c r="B22" s="110"/>
    </row>
    <row r="23" spans="2:12" ht="12.75" customHeight="1" x14ac:dyDescent="0.2">
      <c r="B23" s="110"/>
      <c r="E23" s="22" t="s">
        <v>2334</v>
      </c>
      <c r="K23" s="24" t="s">
        <v>2335</v>
      </c>
      <c r="L23" s="24" t="s">
        <v>2336</v>
      </c>
    </row>
    <row r="24" spans="2:12" ht="21.75" customHeight="1" x14ac:dyDescent="0.2">
      <c r="B24" s="110"/>
      <c r="E24" s="230" t="s">
        <v>2929</v>
      </c>
      <c r="F24" s="209"/>
      <c r="G24" s="209"/>
      <c r="H24" s="209"/>
      <c r="I24" s="209"/>
      <c r="J24" s="209"/>
      <c r="K24" s="5" t="s">
        <v>915</v>
      </c>
      <c r="L24" s="77"/>
    </row>
    <row r="25" spans="2:12" ht="15" customHeight="1" x14ac:dyDescent="0.2">
      <c r="B25" s="110"/>
      <c r="E25" s="25" cm="1">
        <f t="array" ref="E25:E27">Prev($E$16:$E$18,1,0)</f>
        <v>0</v>
      </c>
      <c r="K25" t="s">
        <v>1947</v>
      </c>
      <c r="L25" s="207" t="s">
        <v>2374</v>
      </c>
    </row>
    <row r="26" spans="2:12" ht="12.75" customHeight="1" x14ac:dyDescent="0.2">
      <c r="B26" s="110"/>
      <c r="E26" s="95">
        <v>5</v>
      </c>
      <c r="L26" s="207"/>
    </row>
    <row r="27" spans="2:12" ht="12.75" customHeight="1" x14ac:dyDescent="0.2">
      <c r="B27" s="110"/>
      <c r="E27" s="95">
        <v>5</v>
      </c>
      <c r="L27" s="207"/>
    </row>
    <row r="28" spans="2:12" ht="12.75" customHeight="1" x14ac:dyDescent="0.2">
      <c r="B28" s="110"/>
      <c r="L28" s="87"/>
    </row>
    <row r="29" spans="2:12" ht="15" customHeight="1" x14ac:dyDescent="0.2">
      <c r="B29" s="110"/>
      <c r="E29" s="230" t="s">
        <v>2930</v>
      </c>
      <c r="F29" s="209"/>
      <c r="G29" s="209"/>
      <c r="H29" s="209"/>
      <c r="I29" s="209"/>
      <c r="J29" s="209"/>
      <c r="K29" s="5" t="s">
        <v>1428</v>
      </c>
      <c r="L29" s="77"/>
    </row>
    <row r="30" spans="2:12" ht="15" customHeight="1" x14ac:dyDescent="0.2">
      <c r="B30" s="110"/>
      <c r="E30" s="25" cm="1">
        <f t="array" ref="E30:E33">Prev($G$16:$G$19,2,0)</f>
        <v>0</v>
      </c>
      <c r="K30" t="s">
        <v>1973</v>
      </c>
      <c r="L30" s="207" t="s">
        <v>2375</v>
      </c>
    </row>
    <row r="31" spans="2:12" ht="12.75" customHeight="1" x14ac:dyDescent="0.2">
      <c r="B31" s="110"/>
      <c r="E31" s="95">
        <v>0</v>
      </c>
      <c r="L31" s="207"/>
    </row>
    <row r="32" spans="2:12" ht="12.75" customHeight="1" x14ac:dyDescent="0.2">
      <c r="B32" s="110"/>
      <c r="E32" s="95">
        <v>5</v>
      </c>
      <c r="L32" s="207"/>
    </row>
    <row r="33" spans="2:12" ht="12.75" customHeight="1" x14ac:dyDescent="0.2">
      <c r="B33" s="110"/>
      <c r="E33" s="95">
        <v>5</v>
      </c>
      <c r="L33" s="207"/>
    </row>
    <row r="34" spans="2:12" ht="12.75" customHeight="1" x14ac:dyDescent="0.2">
      <c r="B34" s="110"/>
      <c r="L34" s="87"/>
    </row>
    <row r="35" spans="2:12" ht="32.25" customHeight="1" x14ac:dyDescent="0.2">
      <c r="B35" s="110"/>
      <c r="E35" s="230" t="s">
        <v>2931</v>
      </c>
      <c r="F35" s="209"/>
      <c r="G35" s="209"/>
      <c r="H35" s="209"/>
      <c r="I35" s="209"/>
      <c r="J35" s="209"/>
      <c r="K35" s="5" t="s">
        <v>1429</v>
      </c>
      <c r="L35" s="77"/>
    </row>
    <row r="36" spans="2:12" ht="15" customHeight="1" x14ac:dyDescent="0.2">
      <c r="B36" s="110"/>
      <c r="E36" s="25" t="str" cm="1">
        <f t="array" ref="E36:E38">Prev($E$16:$E$18,1)</f>
        <v>X</v>
      </c>
      <c r="K36" t="s">
        <v>1947</v>
      </c>
      <c r="L36" s="207" t="s">
        <v>2376</v>
      </c>
    </row>
    <row r="37" spans="2:12" ht="12.75" customHeight="1" x14ac:dyDescent="0.2">
      <c r="B37" s="110"/>
      <c r="E37" s="95">
        <v>5</v>
      </c>
      <c r="L37" s="207"/>
    </row>
    <row r="38" spans="2:12" ht="12.75" customHeight="1" x14ac:dyDescent="0.2">
      <c r="B38" s="110"/>
      <c r="E38" s="95">
        <v>5</v>
      </c>
      <c r="L38" s="207"/>
    </row>
    <row r="39" spans="2:12" ht="12.75" customHeight="1" x14ac:dyDescent="0.2">
      <c r="B39" s="110"/>
      <c r="L39" s="87"/>
    </row>
    <row r="40" spans="2:12" ht="21.75" customHeight="1" x14ac:dyDescent="0.2">
      <c r="B40" s="110"/>
      <c r="E40" s="230" t="s">
        <v>2932</v>
      </c>
      <c r="F40" s="209"/>
      <c r="G40" s="209"/>
      <c r="H40" s="209"/>
      <c r="I40" s="209"/>
      <c r="J40" s="209"/>
      <c r="K40" s="5" t="s">
        <v>916</v>
      </c>
      <c r="L40" s="77" t="s">
        <v>2377</v>
      </c>
    </row>
    <row r="41" spans="2:12" ht="15" customHeight="1" x14ac:dyDescent="0.2">
      <c r="B41" s="110"/>
      <c r="E41" s="25" cm="1">
        <f t="array" ref="E41:G41">Prev($E$21:$G$21,1,0)</f>
        <v>0</v>
      </c>
      <c r="F41" s="96">
        <v>5</v>
      </c>
      <c r="G41" s="96">
        <v>5</v>
      </c>
      <c r="K41" t="s">
        <v>1978</v>
      </c>
      <c r="L41" s="77"/>
    </row>
    <row r="42" spans="2:12" ht="12.75" customHeight="1" x14ac:dyDescent="0.2">
      <c r="B42" s="110"/>
      <c r="L42" s="87"/>
    </row>
    <row r="43" spans="2:12" ht="25.5" customHeight="1" x14ac:dyDescent="0.2">
      <c r="B43" s="110"/>
      <c r="E43" s="152" t="s">
        <v>917</v>
      </c>
      <c r="F43" s="152"/>
      <c r="G43" s="152"/>
      <c r="H43" s="152"/>
      <c r="I43" s="152"/>
      <c r="J43" s="152"/>
    </row>
    <row r="44" spans="2:12" ht="15" customHeight="1" x14ac:dyDescent="0.2">
      <c r="B44" s="110"/>
      <c r="E44" s="156" t="s">
        <v>1838</v>
      </c>
      <c r="F44" s="157"/>
      <c r="G44" s="157"/>
      <c r="H44" s="157"/>
      <c r="I44" s="157"/>
      <c r="J44" s="158"/>
    </row>
    <row r="45" spans="2:12" ht="15" customHeight="1" x14ac:dyDescent="0.2">
      <c r="B45" s="110"/>
    </row>
    <row r="46" spans="2:12" ht="12.75" customHeight="1" x14ac:dyDescent="0.2">
      <c r="B46" s="110"/>
    </row>
    <row r="47" spans="2:12" ht="15.75" customHeight="1" x14ac:dyDescent="0.2">
      <c r="E47" s="159" t="s">
        <v>918</v>
      </c>
      <c r="F47" s="159"/>
      <c r="G47" s="159"/>
      <c r="H47" s="159"/>
      <c r="I47" s="159"/>
      <c r="J47" s="159"/>
      <c r="K47" s="159"/>
      <c r="L47" s="159"/>
    </row>
    <row r="48" spans="2:12" ht="15" customHeight="1" x14ac:dyDescent="0.2">
      <c r="E48" s="152" t="s">
        <v>919</v>
      </c>
      <c r="F48" s="149"/>
      <c r="G48" s="149"/>
      <c r="H48" s="149"/>
      <c r="I48" s="149"/>
      <c r="J48" s="149"/>
    </row>
    <row r="49" spans="5:12" ht="15" customHeight="1" x14ac:dyDescent="0.2">
      <c r="E49" s="147" t="s">
        <v>920</v>
      </c>
      <c r="F49" s="149"/>
      <c r="G49" s="149"/>
      <c r="H49" s="149"/>
      <c r="I49" s="149"/>
      <c r="J49" s="149"/>
    </row>
    <row r="50" spans="5:12" ht="12.75" customHeight="1" x14ac:dyDescent="0.2"/>
    <row r="51" spans="5:12" ht="12.75" customHeight="1" x14ac:dyDescent="0.2">
      <c r="E51" s="22" t="s">
        <v>2466</v>
      </c>
    </row>
    <row r="52" spans="5:12" ht="15" customHeight="1" x14ac:dyDescent="0.2">
      <c r="E52" s="94">
        <v>1</v>
      </c>
    </row>
    <row r="53" spans="5:12" ht="15" customHeight="1" x14ac:dyDescent="0.2">
      <c r="E53" s="94">
        <v>1</v>
      </c>
    </row>
    <row r="54" spans="5:12" ht="15" customHeight="1" x14ac:dyDescent="0.2">
      <c r="E54" s="94">
        <v>2</v>
      </c>
    </row>
    <row r="55" spans="5:12" ht="15" customHeight="1" x14ac:dyDescent="0.2">
      <c r="E55" s="94">
        <v>2</v>
      </c>
    </row>
    <row r="56" spans="5:12" ht="15" customHeight="1" x14ac:dyDescent="0.2">
      <c r="E56" s="94">
        <v>2</v>
      </c>
    </row>
    <row r="57" spans="5:12" ht="15" customHeight="1" x14ac:dyDescent="0.2">
      <c r="E57" s="94">
        <v>3</v>
      </c>
    </row>
    <row r="59" spans="5:12" ht="15" customHeight="1" x14ac:dyDescent="0.2">
      <c r="E59" s="94">
        <v>1</v>
      </c>
      <c r="F59" s="94">
        <v>1</v>
      </c>
      <c r="G59" s="94">
        <v>2</v>
      </c>
      <c r="H59" s="94">
        <v>2</v>
      </c>
      <c r="I59" s="94">
        <v>2</v>
      </c>
      <c r="J59" s="94">
        <v>3</v>
      </c>
    </row>
    <row r="61" spans="5:12" ht="12.75" customHeight="1" x14ac:dyDescent="0.2">
      <c r="E61" s="22" t="s">
        <v>2334</v>
      </c>
      <c r="K61" s="24" t="s">
        <v>2335</v>
      </c>
      <c r="L61" s="24" t="s">
        <v>2336</v>
      </c>
    </row>
    <row r="62" spans="5:12" ht="21.75" customHeight="1" x14ac:dyDescent="0.2">
      <c r="E62" s="230" t="s">
        <v>2933</v>
      </c>
      <c r="F62" s="209"/>
      <c r="G62" s="209"/>
      <c r="H62" s="209"/>
      <c r="I62" s="209"/>
      <c r="J62" s="209"/>
      <c r="K62" s="5" t="s">
        <v>1430</v>
      </c>
      <c r="L62" s="77"/>
    </row>
    <row r="63" spans="5:12" ht="15" customHeight="1" x14ac:dyDescent="0.2">
      <c r="E63" s="25" cm="1">
        <f t="array" ref="E63:E68">Consecutives_byHadynWiseman($E$52:$E$57)</f>
        <v>1</v>
      </c>
      <c r="K63" t="s">
        <v>1942</v>
      </c>
      <c r="L63" s="207" t="s">
        <v>2378</v>
      </c>
    </row>
    <row r="64" spans="5:12" ht="12.75" customHeight="1" x14ac:dyDescent="0.2">
      <c r="E64" s="95">
        <v>2</v>
      </c>
      <c r="L64" s="207"/>
    </row>
    <row r="65" spans="5:12" ht="12.75" customHeight="1" x14ac:dyDescent="0.2">
      <c r="E65" s="95">
        <v>1</v>
      </c>
      <c r="L65" s="207"/>
    </row>
    <row r="66" spans="5:12" ht="12.75" customHeight="1" x14ac:dyDescent="0.2">
      <c r="E66" s="95">
        <v>2</v>
      </c>
      <c r="L66" s="207"/>
    </row>
    <row r="67" spans="5:12" ht="12.75" customHeight="1" x14ac:dyDescent="0.2">
      <c r="E67" s="95">
        <v>3</v>
      </c>
      <c r="L67" s="207"/>
    </row>
    <row r="68" spans="5:12" ht="12.75" customHeight="1" x14ac:dyDescent="0.2">
      <c r="E68" s="95">
        <v>1</v>
      </c>
      <c r="L68" s="207"/>
    </row>
    <row r="69" spans="5:12" ht="12.75" customHeight="1" x14ac:dyDescent="0.2">
      <c r="L69" s="87"/>
    </row>
    <row r="70" spans="5:12" ht="15" customHeight="1" x14ac:dyDescent="0.2">
      <c r="E70" s="230" t="s">
        <v>2934</v>
      </c>
      <c r="F70" s="209"/>
      <c r="G70" s="209"/>
      <c r="H70" s="209"/>
      <c r="I70" s="209"/>
      <c r="J70" s="209"/>
      <c r="K70" s="5" t="s">
        <v>921</v>
      </c>
      <c r="L70" s="77">
        <v>3</v>
      </c>
    </row>
    <row r="71" spans="5:12" ht="15" customHeight="1" x14ac:dyDescent="0.2">
      <c r="E71" s="25">
        <f>MAX(Consecutives_byHadynWiseman($E$52:$E$57))</f>
        <v>3</v>
      </c>
      <c r="L71" s="5"/>
    </row>
    <row r="72" spans="5:12" ht="12.75" customHeight="1" x14ac:dyDescent="0.2"/>
    <row r="73" spans="5:12" ht="15" customHeight="1" x14ac:dyDescent="0.2">
      <c r="E73" s="230" t="s">
        <v>2370</v>
      </c>
      <c r="F73" s="209"/>
      <c r="G73" s="209"/>
      <c r="H73" s="209"/>
      <c r="I73" s="209"/>
      <c r="J73" s="209"/>
      <c r="K73" s="5" t="s">
        <v>922</v>
      </c>
      <c r="L73" s="77"/>
    </row>
    <row r="74" spans="5:12" ht="15" customHeight="1" x14ac:dyDescent="0.2">
      <c r="E74" s="25" cm="1">
        <f t="array" ref="E74:E78">Consecutives_byHadynWiseman("aabbb")</f>
        <v>1</v>
      </c>
      <c r="K74" t="s">
        <v>1944</v>
      </c>
      <c r="L74" s="207" t="s">
        <v>2379</v>
      </c>
    </row>
    <row r="75" spans="5:12" ht="12.75" customHeight="1" x14ac:dyDescent="0.2">
      <c r="E75" s="95">
        <v>2</v>
      </c>
      <c r="L75" s="207"/>
    </row>
    <row r="76" spans="5:12" ht="12.75" customHeight="1" x14ac:dyDescent="0.2">
      <c r="E76" s="95">
        <v>1</v>
      </c>
      <c r="L76" s="207"/>
    </row>
    <row r="77" spans="5:12" ht="12.75" customHeight="1" x14ac:dyDescent="0.2">
      <c r="E77" s="95">
        <v>2</v>
      </c>
      <c r="L77" s="207"/>
    </row>
    <row r="78" spans="5:12" ht="12.75" customHeight="1" x14ac:dyDescent="0.2">
      <c r="E78" s="95">
        <v>3</v>
      </c>
      <c r="L78" s="207"/>
    </row>
    <row r="79" spans="5:12" ht="12.75" customHeight="1" x14ac:dyDescent="0.2">
      <c r="L79" s="87"/>
    </row>
    <row r="80" spans="5:12" ht="32.25" customHeight="1" x14ac:dyDescent="0.2">
      <c r="E80" s="230" t="s">
        <v>2935</v>
      </c>
      <c r="F80" s="209"/>
      <c r="G80" s="209"/>
      <c r="H80" s="209"/>
      <c r="I80" s="209"/>
      <c r="J80" s="209"/>
      <c r="K80" s="5" t="s">
        <v>1431</v>
      </c>
      <c r="L80" s="77"/>
    </row>
    <row r="81" spans="5:12" ht="15" customHeight="1" x14ac:dyDescent="0.2">
      <c r="E81" s="25" cm="1">
        <f t="array" ref="E81:E86">Consecutives_byHadynWiseman($E$52:$E$57,1)</f>
        <v>2</v>
      </c>
      <c r="K81" t="s">
        <v>1942</v>
      </c>
      <c r="L81" s="207" t="s">
        <v>2380</v>
      </c>
    </row>
    <row r="82" spans="5:12" ht="12.75" customHeight="1" x14ac:dyDescent="0.2">
      <c r="E82" s="95">
        <v>2</v>
      </c>
      <c r="L82" s="207"/>
    </row>
    <row r="83" spans="5:12" ht="12.75" customHeight="1" x14ac:dyDescent="0.2">
      <c r="E83" s="95">
        <v>3</v>
      </c>
      <c r="L83" s="207"/>
    </row>
    <row r="84" spans="5:12" ht="12.75" customHeight="1" x14ac:dyDescent="0.2">
      <c r="E84" s="95">
        <v>3</v>
      </c>
      <c r="L84" s="207"/>
    </row>
    <row r="85" spans="5:12" ht="12.75" customHeight="1" x14ac:dyDescent="0.2">
      <c r="E85" s="95">
        <v>3</v>
      </c>
      <c r="L85" s="207"/>
    </row>
    <row r="86" spans="5:12" ht="12.75" customHeight="1" x14ac:dyDescent="0.2">
      <c r="E86" s="95">
        <v>1</v>
      </c>
      <c r="L86" s="207"/>
    </row>
    <row r="87" spans="5:12" ht="12.75" customHeight="1" x14ac:dyDescent="0.2">
      <c r="L87" s="87"/>
    </row>
    <row r="88" spans="5:12" ht="21.75" customHeight="1" x14ac:dyDescent="0.2">
      <c r="E88" s="230" t="s">
        <v>2936</v>
      </c>
      <c r="F88" s="209"/>
      <c r="G88" s="209"/>
      <c r="H88" s="209"/>
      <c r="I88" s="209"/>
      <c r="J88" s="209"/>
      <c r="K88" s="5" t="s">
        <v>1432</v>
      </c>
      <c r="L88" s="77"/>
    </row>
    <row r="89" spans="5:12" ht="15" customHeight="1" x14ac:dyDescent="0.2">
      <c r="E89" s="25" cm="1">
        <f t="array" ref="E89:E91">_xlfn._xlws.FILTER($E$52:$E$57,Consecutives_byHadynWiseman($E$52:$E$57,1)&gt;=3)</f>
        <v>2</v>
      </c>
      <c r="K89" t="s">
        <v>1947</v>
      </c>
      <c r="L89" s="207" t="s">
        <v>2381</v>
      </c>
    </row>
    <row r="90" spans="5:12" ht="12.75" customHeight="1" x14ac:dyDescent="0.2">
      <c r="E90" s="95">
        <v>2</v>
      </c>
      <c r="L90" s="207"/>
    </row>
    <row r="91" spans="5:12" ht="12.75" customHeight="1" x14ac:dyDescent="0.2">
      <c r="E91" s="95">
        <v>2</v>
      </c>
      <c r="L91" s="207"/>
    </row>
    <row r="92" spans="5:12" ht="12.75" customHeight="1" x14ac:dyDescent="0.2">
      <c r="L92" s="87"/>
    </row>
    <row r="93" spans="5:12" ht="21.75" customHeight="1" x14ac:dyDescent="0.2">
      <c r="E93" s="230" t="s">
        <v>2937</v>
      </c>
      <c r="F93" s="209"/>
      <c r="G93" s="209"/>
      <c r="H93" s="209"/>
      <c r="I93" s="209"/>
      <c r="J93" s="209"/>
      <c r="K93" s="5" t="s">
        <v>923</v>
      </c>
      <c r="L93" s="77" t="s">
        <v>2382</v>
      </c>
    </row>
    <row r="94" spans="5:12" ht="15" customHeight="1" x14ac:dyDescent="0.2">
      <c r="E94" s="25" cm="1">
        <f t="array" ref="E94:J94">Consecutives_byHadynWiseman($E$59:$J$59)</f>
        <v>1</v>
      </c>
      <c r="F94" s="96">
        <v>2</v>
      </c>
      <c r="G94" s="96">
        <v>1</v>
      </c>
      <c r="H94" s="96">
        <v>2</v>
      </c>
      <c r="I94" s="96">
        <v>3</v>
      </c>
      <c r="J94" s="96">
        <v>1</v>
      </c>
      <c r="K94" t="s">
        <v>1999</v>
      </c>
      <c r="L94" s="77"/>
    </row>
    <row r="95" spans="5:12" ht="12.75" customHeight="1" x14ac:dyDescent="0.2">
      <c r="L95" s="87"/>
    </row>
    <row r="96" spans="5:12" ht="15" customHeight="1" x14ac:dyDescent="0.2">
      <c r="E96" s="152" t="s">
        <v>924</v>
      </c>
      <c r="F96" s="152"/>
      <c r="G96" s="152"/>
      <c r="H96" s="152"/>
      <c r="I96" s="152"/>
      <c r="J96" s="152"/>
    </row>
    <row r="97" spans="5:12" ht="25.5" customHeight="1" x14ac:dyDescent="0.2">
      <c r="E97" s="172" t="s">
        <v>1839</v>
      </c>
      <c r="F97" s="173"/>
      <c r="G97" s="173"/>
      <c r="H97" s="173"/>
      <c r="I97" s="173"/>
      <c r="J97" s="174"/>
    </row>
    <row r="98" spans="5:12" ht="21.75" customHeight="1" x14ac:dyDescent="0.2">
      <c r="E98" s="147" t="s">
        <v>1433</v>
      </c>
      <c r="F98" s="147"/>
      <c r="G98" s="147"/>
      <c r="H98" s="147"/>
      <c r="I98" s="147"/>
      <c r="J98" s="147"/>
    </row>
    <row r="99" spans="5:12" ht="12.75" customHeight="1" x14ac:dyDescent="0.2"/>
    <row r="100" spans="5:12" ht="12.75" customHeight="1" x14ac:dyDescent="0.2"/>
    <row r="101" spans="5:12" ht="15.75" customHeight="1" x14ac:dyDescent="0.2">
      <c r="E101" s="159" t="s">
        <v>925</v>
      </c>
      <c r="F101" s="159"/>
      <c r="G101" s="159"/>
      <c r="H101" s="159"/>
      <c r="I101" s="159"/>
      <c r="J101" s="159"/>
      <c r="K101" s="159"/>
      <c r="L101" s="159"/>
    </row>
    <row r="102" spans="5:12" ht="15" customHeight="1" x14ac:dyDescent="0.2">
      <c r="E102" s="152" t="s">
        <v>926</v>
      </c>
      <c r="F102" s="149"/>
      <c r="G102" s="149"/>
      <c r="H102" s="149"/>
      <c r="I102" s="149"/>
      <c r="J102" s="149"/>
    </row>
    <row r="103" spans="5:12" ht="15" customHeight="1" x14ac:dyDescent="0.2">
      <c r="E103" s="147" t="s">
        <v>927</v>
      </c>
      <c r="F103" s="149"/>
      <c r="G103" s="149"/>
      <c r="H103" s="149"/>
      <c r="I103" s="149"/>
      <c r="J103" s="149"/>
    </row>
    <row r="104" spans="5:12" ht="12.75" customHeight="1" x14ac:dyDescent="0.2"/>
    <row r="105" spans="5:12" ht="12.75" customHeight="1" x14ac:dyDescent="0.2">
      <c r="E105" s="22" t="s">
        <v>2466</v>
      </c>
    </row>
    <row r="106" spans="5:12" ht="15" customHeight="1" x14ac:dyDescent="0.2">
      <c r="E106" s="94">
        <v>1</v>
      </c>
      <c r="G106" s="94">
        <v>1</v>
      </c>
    </row>
    <row r="107" spans="5:12" ht="15" customHeight="1" x14ac:dyDescent="0.2">
      <c r="E107" s="94">
        <v>2</v>
      </c>
      <c r="G107" s="94">
        <v>2</v>
      </c>
    </row>
    <row r="108" spans="5:12" ht="15" customHeight="1" x14ac:dyDescent="0.2">
      <c r="E108" s="94">
        <v>3</v>
      </c>
      <c r="G108" s="94">
        <v>3</v>
      </c>
    </row>
    <row r="109" spans="5:12" ht="15" customHeight="1" x14ac:dyDescent="0.2">
      <c r="E109" s="94">
        <v>2</v>
      </c>
    </row>
    <row r="110" spans="5:12" ht="15" customHeight="1" x14ac:dyDescent="0.2">
      <c r="E110" s="94">
        <v>4</v>
      </c>
    </row>
    <row r="111" spans="5:12" ht="15" customHeight="1" x14ac:dyDescent="0.2">
      <c r="E111" s="94">
        <v>1</v>
      </c>
    </row>
    <row r="113" spans="5:12" ht="12.75" customHeight="1" x14ac:dyDescent="0.2">
      <c r="E113" s="22" t="s">
        <v>2334</v>
      </c>
      <c r="K113" s="24" t="s">
        <v>2335</v>
      </c>
      <c r="L113" s="24" t="s">
        <v>2336</v>
      </c>
    </row>
    <row r="114" spans="5:12" ht="15" customHeight="1" x14ac:dyDescent="0.2">
      <c r="E114" s="230" t="s">
        <v>2938</v>
      </c>
      <c r="F114" s="209"/>
      <c r="G114" s="209"/>
      <c r="H114" s="209"/>
      <c r="I114" s="209"/>
      <c r="J114" s="209"/>
      <c r="K114" s="5" t="s">
        <v>928</v>
      </c>
      <c r="L114" s="77"/>
    </row>
    <row r="115" spans="5:12" ht="15" customHeight="1" x14ac:dyDescent="0.2">
      <c r="E115" s="25" cm="1">
        <f t="array" ref="E115:E116">Duplicates_byHadynWiseman($E$106:$E$111)</f>
        <v>1</v>
      </c>
      <c r="K115" t="s">
        <v>1980</v>
      </c>
      <c r="L115" s="207" t="s">
        <v>2383</v>
      </c>
    </row>
    <row r="116" spans="5:12" ht="12.75" customHeight="1" x14ac:dyDescent="0.2">
      <c r="E116" s="95">
        <v>2</v>
      </c>
      <c r="L116" s="207"/>
    </row>
    <row r="117" spans="5:12" ht="12.75" customHeight="1" x14ac:dyDescent="0.2">
      <c r="L117" s="87"/>
    </row>
    <row r="118" spans="5:12" ht="42.75" customHeight="1" x14ac:dyDescent="0.2">
      <c r="E118" s="230" t="s">
        <v>2939</v>
      </c>
      <c r="F118" s="209"/>
      <c r="G118" s="209"/>
      <c r="H118" s="209"/>
      <c r="I118" s="209"/>
      <c r="J118" s="209"/>
      <c r="K118" s="5" t="s">
        <v>1434</v>
      </c>
      <c r="L118" s="77" t="s">
        <v>1356</v>
      </c>
    </row>
    <row r="119" spans="5:12" ht="15" customHeight="1" x14ac:dyDescent="0.2">
      <c r="E119" s="25" t="str">
        <f>IFERROR(_xlfn.TEXTJOIN(",",1,Duplicates_byHadynWiseman($G$106:$G$108)),"none")</f>
        <v>none</v>
      </c>
      <c r="L119" s="77"/>
    </row>
    <row r="120" spans="5:12" ht="12.75" customHeight="1" x14ac:dyDescent="0.2">
      <c r="L120" s="87"/>
    </row>
    <row r="121" spans="5:12" ht="32.25" customHeight="1" x14ac:dyDescent="0.2">
      <c r="E121" s="230" t="s">
        <v>2371</v>
      </c>
      <c r="F121" s="209"/>
      <c r="G121" s="209"/>
      <c r="H121" s="209"/>
      <c r="I121" s="209"/>
      <c r="J121" s="209"/>
      <c r="K121" s="5" t="s">
        <v>1435</v>
      </c>
      <c r="L121" s="77"/>
    </row>
    <row r="122" spans="5:12" ht="15" customHeight="1" x14ac:dyDescent="0.2">
      <c r="E122" s="25" t="str" cm="1">
        <f t="array" ref="E122:E123">Duplicates_byHadynWiseman("banana")</f>
        <v>a</v>
      </c>
      <c r="K122" t="s">
        <v>1980</v>
      </c>
      <c r="L122" s="207" t="s">
        <v>2384</v>
      </c>
    </row>
    <row r="123" spans="5:12" ht="12.75" customHeight="1" x14ac:dyDescent="0.2">
      <c r="E123" s="95" t="str">
        <v>n</v>
      </c>
      <c r="L123" s="207"/>
    </row>
    <row r="124" spans="5:12" ht="12.75" customHeight="1" x14ac:dyDescent="0.2">
      <c r="L124" s="87"/>
    </row>
    <row r="125" spans="5:12" ht="15" customHeight="1" x14ac:dyDescent="0.2">
      <c r="E125" s="152" t="s">
        <v>929</v>
      </c>
      <c r="F125" s="149"/>
      <c r="G125" s="149"/>
      <c r="H125" s="149"/>
      <c r="I125" s="149"/>
      <c r="J125" s="149"/>
    </row>
    <row r="126" spans="5:12" ht="21.75" customHeight="1" x14ac:dyDescent="0.2">
      <c r="E126" s="147" t="s">
        <v>1436</v>
      </c>
      <c r="F126" s="149"/>
      <c r="G126" s="149"/>
      <c r="H126" s="149"/>
      <c r="I126" s="149"/>
      <c r="J126" s="149"/>
    </row>
    <row r="127" spans="5:12" ht="12.75" customHeight="1" x14ac:dyDescent="0.2"/>
    <row r="128" spans="5:12" ht="12.75" customHeight="1" x14ac:dyDescent="0.2"/>
    <row r="129" spans="5:12" ht="15.75" customHeight="1" x14ac:dyDescent="0.2">
      <c r="E129" s="159" t="s">
        <v>930</v>
      </c>
      <c r="F129" s="159"/>
      <c r="G129" s="159"/>
      <c r="H129" s="159"/>
      <c r="I129" s="159"/>
      <c r="J129" s="159"/>
      <c r="K129" s="159"/>
      <c r="L129" s="159"/>
    </row>
    <row r="130" spans="5:12" ht="15" customHeight="1" x14ac:dyDescent="0.2">
      <c r="E130" s="152" t="s">
        <v>931</v>
      </c>
      <c r="F130" s="149"/>
      <c r="G130" s="149"/>
      <c r="H130" s="149"/>
      <c r="I130" s="149"/>
      <c r="J130" s="149"/>
    </row>
    <row r="131" spans="5:12" ht="21.75" customHeight="1" x14ac:dyDescent="0.2">
      <c r="E131" s="147" t="s">
        <v>932</v>
      </c>
      <c r="F131" s="147"/>
      <c r="G131" s="147"/>
      <c r="H131" s="147"/>
      <c r="I131" s="147"/>
      <c r="J131" s="147"/>
    </row>
    <row r="132" spans="5:12" ht="12.75" customHeight="1" x14ac:dyDescent="0.2"/>
    <row r="133" spans="5:12" ht="12.75" customHeight="1" x14ac:dyDescent="0.2">
      <c r="E133" s="22" t="s">
        <v>2466</v>
      </c>
    </row>
    <row r="134" spans="5:12" ht="15" customHeight="1" x14ac:dyDescent="0.2">
      <c r="E134" s="94">
        <v>10</v>
      </c>
      <c r="G134" s="94" t="s">
        <v>1358</v>
      </c>
      <c r="I134" s="94">
        <v>30</v>
      </c>
    </row>
    <row r="135" spans="5:12" ht="15" customHeight="1" x14ac:dyDescent="0.2">
      <c r="E135" s="94">
        <v>30</v>
      </c>
      <c r="G135" s="94" t="s">
        <v>1357</v>
      </c>
      <c r="I135" s="94">
        <v>30</v>
      </c>
    </row>
    <row r="136" spans="5:12" ht="15" customHeight="1" x14ac:dyDescent="0.2">
      <c r="E136" s="94">
        <v>20</v>
      </c>
      <c r="G136" s="94" t="s">
        <v>1359</v>
      </c>
      <c r="I136" s="94">
        <v>20</v>
      </c>
    </row>
    <row r="138" spans="5:12" ht="15" customHeight="1" x14ac:dyDescent="0.2">
      <c r="E138" s="94">
        <v>2</v>
      </c>
    </row>
    <row r="139" spans="5:12" ht="15" customHeight="1" x14ac:dyDescent="0.2">
      <c r="E139" s="94">
        <v>1</v>
      </c>
    </row>
    <row r="140" spans="5:12" ht="15" customHeight="1" x14ac:dyDescent="0.2">
      <c r="E140" s="94">
        <v>3</v>
      </c>
    </row>
    <row r="142" spans="5:12" ht="12.75" customHeight="1" x14ac:dyDescent="0.2">
      <c r="E142" s="22" t="s">
        <v>2334</v>
      </c>
      <c r="K142" s="24" t="s">
        <v>2335</v>
      </c>
      <c r="L142" s="24" t="s">
        <v>2336</v>
      </c>
    </row>
    <row r="143" spans="5:12" ht="15" customHeight="1" x14ac:dyDescent="0.2">
      <c r="E143" s="230" t="s">
        <v>2940</v>
      </c>
      <c r="F143" s="209"/>
      <c r="G143" s="209"/>
      <c r="H143" s="209"/>
      <c r="I143" s="209"/>
      <c r="J143" s="209"/>
      <c r="K143" s="5" t="s">
        <v>933</v>
      </c>
      <c r="L143" s="77" t="s">
        <v>1357</v>
      </c>
    </row>
    <row r="144" spans="5:12" ht="15" customHeight="1" x14ac:dyDescent="0.2">
      <c r="E144" s="25" t="str" cm="1">
        <f t="array" ref="E144">Biggest_byHadynWiseman($E$134:$E$136,$G$134:$G$136,0)</f>
        <v>Bob</v>
      </c>
      <c r="L144" s="77"/>
    </row>
    <row r="145" spans="5:12" ht="12.75" customHeight="1" x14ac:dyDescent="0.2">
      <c r="L145" s="87"/>
    </row>
    <row r="146" spans="5:12" ht="15" customHeight="1" x14ac:dyDescent="0.2">
      <c r="E146" s="230" t="s">
        <v>2941</v>
      </c>
      <c r="F146" s="209"/>
      <c r="G146" s="209"/>
      <c r="H146" s="209"/>
      <c r="I146" s="209"/>
      <c r="J146" s="209"/>
      <c r="K146" s="5" t="s">
        <v>934</v>
      </c>
      <c r="L146" s="77" t="s">
        <v>1358</v>
      </c>
    </row>
    <row r="147" spans="5:12" ht="15" customHeight="1" x14ac:dyDescent="0.2">
      <c r="E147" s="25" t="str" cm="1">
        <f t="array" ref="E147">Biggest_byHadynWiseman($E$134:$E$136,$G$134:$G$136,1)</f>
        <v>Ann</v>
      </c>
      <c r="L147" s="77"/>
    </row>
    <row r="148" spans="5:12" ht="12.75" customHeight="1" x14ac:dyDescent="0.2">
      <c r="L148" s="87"/>
    </row>
    <row r="149" spans="5:12" ht="15" customHeight="1" x14ac:dyDescent="0.2">
      <c r="E149" s="230" t="s">
        <v>2942</v>
      </c>
      <c r="F149" s="209"/>
      <c r="G149" s="209"/>
      <c r="H149" s="209"/>
      <c r="I149" s="209"/>
      <c r="J149" s="209"/>
      <c r="K149" s="5" t="s">
        <v>935</v>
      </c>
      <c r="L149" s="77" t="s">
        <v>1359</v>
      </c>
    </row>
    <row r="150" spans="5:12" ht="15" customHeight="1" x14ac:dyDescent="0.2">
      <c r="E150" s="25" t="str" cm="1">
        <f t="array" ref="E150">Biggest_byHadynWiseman($E$134:$E$136,$G$134:$G$136,0,2)</f>
        <v>Cat</v>
      </c>
      <c r="L150" s="77"/>
    </row>
    <row r="151" spans="5:12" ht="12.75" customHeight="1" x14ac:dyDescent="0.2">
      <c r="L151" s="87"/>
    </row>
    <row r="152" spans="5:12" ht="21.75" customHeight="1" x14ac:dyDescent="0.2">
      <c r="E152" s="230" t="s">
        <v>2943</v>
      </c>
      <c r="F152" s="209"/>
      <c r="G152" s="209"/>
      <c r="H152" s="209"/>
      <c r="I152" s="209"/>
      <c r="J152" s="209"/>
      <c r="K152" s="5" t="s">
        <v>936</v>
      </c>
      <c r="L152" s="77" t="s">
        <v>1358</v>
      </c>
    </row>
    <row r="153" spans="5:12" ht="15" customHeight="1" x14ac:dyDescent="0.2">
      <c r="E153" s="25" t="str" cm="1">
        <f t="array" ref="E153">Biggest_byHadynWiseman($I$134:$I$136,$G$134:$G$136,0)</f>
        <v>Ann</v>
      </c>
      <c r="L153" s="77"/>
    </row>
    <row r="154" spans="5:12" ht="12.75" customHeight="1" x14ac:dyDescent="0.2">
      <c r="L154" s="87"/>
    </row>
    <row r="155" spans="5:12" ht="42.75" customHeight="1" x14ac:dyDescent="0.2">
      <c r="E155" s="230" t="s">
        <v>2944</v>
      </c>
      <c r="F155" s="209"/>
      <c r="G155" s="209"/>
      <c r="H155" s="209"/>
      <c r="I155" s="209"/>
      <c r="J155" s="209"/>
      <c r="K155" s="5" t="s">
        <v>1437</v>
      </c>
      <c r="L155" s="77" t="s">
        <v>1357</v>
      </c>
    </row>
    <row r="156" spans="5:12" ht="15" customHeight="1" x14ac:dyDescent="0.2">
      <c r="E156" s="25" t="str" cm="1">
        <f t="array" ref="E156">Biggest_byHadynWiseman($I$134:$I$136,$G$134:$G$136,0,1,$E$138:$E$140)</f>
        <v>Bob</v>
      </c>
      <c r="L156" s="77"/>
    </row>
    <row r="157" spans="5:12" ht="12.75" customHeight="1" x14ac:dyDescent="0.2">
      <c r="L157" s="87"/>
    </row>
    <row r="158" spans="5:12" ht="21.75" customHeight="1" x14ac:dyDescent="0.2">
      <c r="E158" s="230" t="s">
        <v>2945</v>
      </c>
      <c r="F158" s="209"/>
      <c r="G158" s="209"/>
      <c r="H158" s="209"/>
      <c r="I158" s="209"/>
      <c r="J158" s="209"/>
      <c r="K158" s="5" t="s">
        <v>937</v>
      </c>
      <c r="L158" s="77" t="s">
        <v>1358</v>
      </c>
    </row>
    <row r="159" spans="5:12" ht="15" customHeight="1" x14ac:dyDescent="0.2">
      <c r="E159" s="25" t="str" cm="1">
        <f t="array" ref="E159">Biggest_byHadynWiseman($I$134:$I$136,$G$134:$G$136,0,1,$E$138:$E$140,-1)</f>
        <v>Ann</v>
      </c>
      <c r="L159" s="77"/>
    </row>
    <row r="160" spans="5:12" ht="12.75" customHeight="1" x14ac:dyDescent="0.2">
      <c r="L160" s="87"/>
    </row>
    <row r="161" spans="5:12" ht="25.5" customHeight="1" x14ac:dyDescent="0.2">
      <c r="E161" s="152" t="s">
        <v>1438</v>
      </c>
      <c r="F161" s="152"/>
      <c r="G161" s="152"/>
      <c r="H161" s="152"/>
      <c r="I161" s="152"/>
      <c r="J161" s="152"/>
    </row>
    <row r="162" spans="5:12" ht="25.5" customHeight="1" x14ac:dyDescent="0.2">
      <c r="E162" s="172" t="s">
        <v>2732</v>
      </c>
      <c r="F162" s="173"/>
      <c r="G162" s="173"/>
      <c r="H162" s="173"/>
      <c r="I162" s="173"/>
      <c r="J162" s="174"/>
    </row>
    <row r="163" spans="5:12" ht="32.25" customHeight="1" x14ac:dyDescent="0.2">
      <c r="E163" s="147" t="s">
        <v>1439</v>
      </c>
      <c r="F163" s="147"/>
      <c r="G163" s="147"/>
      <c r="H163" s="147"/>
      <c r="I163" s="147"/>
      <c r="J163" s="147"/>
    </row>
    <row r="164" spans="5:12" ht="12.75" customHeight="1" x14ac:dyDescent="0.2"/>
    <row r="165" spans="5:12" ht="12.75" customHeight="1" x14ac:dyDescent="0.2"/>
    <row r="166" spans="5:12" ht="15.75" customHeight="1" x14ac:dyDescent="0.2">
      <c r="E166" s="159" t="s">
        <v>938</v>
      </c>
      <c r="F166" s="159"/>
      <c r="G166" s="159"/>
      <c r="H166" s="159"/>
      <c r="I166" s="159"/>
      <c r="J166" s="159"/>
      <c r="K166" s="159"/>
      <c r="L166" s="159"/>
    </row>
    <row r="167" spans="5:12" ht="15" customHeight="1" x14ac:dyDescent="0.2">
      <c r="E167" s="152" t="s">
        <v>939</v>
      </c>
      <c r="F167" s="149"/>
      <c r="G167" s="149"/>
      <c r="H167" s="149"/>
      <c r="I167" s="149"/>
      <c r="J167" s="149"/>
    </row>
    <row r="168" spans="5:12" ht="21.75" customHeight="1" x14ac:dyDescent="0.2">
      <c r="E168" s="147" t="s">
        <v>1440</v>
      </c>
      <c r="F168" s="147"/>
      <c r="G168" s="147"/>
      <c r="H168" s="147"/>
      <c r="I168" s="147"/>
      <c r="J168" s="147"/>
    </row>
    <row r="169" spans="5:12" ht="12.75" customHeight="1" x14ac:dyDescent="0.2"/>
    <row r="170" spans="5:12" ht="12.75" customHeight="1" x14ac:dyDescent="0.2">
      <c r="E170" s="22" t="s">
        <v>2334</v>
      </c>
      <c r="K170" s="24" t="s">
        <v>2335</v>
      </c>
      <c r="L170" s="24" t="s">
        <v>2336</v>
      </c>
    </row>
    <row r="171" spans="5:12" ht="15" customHeight="1" x14ac:dyDescent="0.2">
      <c r="E171" s="209" t="s">
        <v>940</v>
      </c>
      <c r="F171" s="209"/>
      <c r="G171" s="209"/>
      <c r="H171" s="209"/>
      <c r="I171" s="209"/>
      <c r="J171" s="209"/>
      <c r="K171" s="5" t="s">
        <v>941</v>
      </c>
      <c r="L171" s="77">
        <v>3</v>
      </c>
    </row>
    <row r="172" spans="5:12" ht="15" customHeight="1" x14ac:dyDescent="0.2">
      <c r="E172" s="25" cm="1">
        <f t="array" ref="E172">CountOcc_byHadynWiseman("a","banana")</f>
        <v>3</v>
      </c>
      <c r="L172" s="5"/>
    </row>
    <row r="173" spans="5:12" ht="12.75" customHeight="1" x14ac:dyDescent="0.2"/>
    <row r="174" spans="5:12" ht="21.75" customHeight="1" x14ac:dyDescent="0.2">
      <c r="E174" s="209" t="s">
        <v>942</v>
      </c>
      <c r="F174" s="209"/>
      <c r="G174" s="209"/>
      <c r="H174" s="209"/>
      <c r="I174" s="209"/>
      <c r="J174" s="209"/>
      <c r="K174" s="5" t="s">
        <v>1441</v>
      </c>
      <c r="L174" s="77">
        <v>0</v>
      </c>
    </row>
    <row r="175" spans="5:12" ht="15" customHeight="1" x14ac:dyDescent="0.2">
      <c r="E175" s="25" cm="1">
        <f t="array" ref="E175">CountOcc_byHadynWiseman("A","Banana",1)</f>
        <v>0</v>
      </c>
      <c r="L175" s="5"/>
    </row>
    <row r="176" spans="5:12" ht="12.75" customHeight="1" x14ac:dyDescent="0.2"/>
    <row r="177" spans="5:12" ht="15" customHeight="1" x14ac:dyDescent="0.2">
      <c r="E177" s="209" t="s">
        <v>943</v>
      </c>
      <c r="F177" s="209"/>
      <c r="G177" s="209"/>
      <c r="H177" s="209"/>
      <c r="I177" s="209"/>
      <c r="J177" s="209"/>
      <c r="K177" s="5" t="s">
        <v>944</v>
      </c>
      <c r="L177" s="77">
        <v>2</v>
      </c>
    </row>
    <row r="178" spans="5:12" ht="15" customHeight="1" x14ac:dyDescent="0.2">
      <c r="E178" s="25" cm="1">
        <f t="array" ref="E178">CountOcc_byHadynWiseman("an","banana")</f>
        <v>2</v>
      </c>
      <c r="L178" s="5"/>
    </row>
    <row r="179" spans="5:12" ht="12.75" customHeight="1" x14ac:dyDescent="0.2"/>
    <row r="180" spans="5:12" ht="15" customHeight="1" x14ac:dyDescent="0.2">
      <c r="E180" s="152" t="s">
        <v>945</v>
      </c>
      <c r="F180" s="149"/>
      <c r="G180" s="149"/>
      <c r="H180" s="149"/>
      <c r="I180" s="149"/>
      <c r="J180" s="149"/>
    </row>
    <row r="181" spans="5:12" ht="15" customHeight="1" x14ac:dyDescent="0.2">
      <c r="E181" s="156" t="s">
        <v>2733</v>
      </c>
      <c r="F181" s="157"/>
      <c r="G181" s="157"/>
      <c r="H181" s="157"/>
      <c r="I181" s="157"/>
      <c r="J181" s="158"/>
    </row>
    <row r="183" spans="5:12" ht="12.75" customHeight="1" x14ac:dyDescent="0.2"/>
    <row r="184" spans="5:12" ht="15.75" customHeight="1" x14ac:dyDescent="0.2">
      <c r="E184" s="159" t="s">
        <v>946</v>
      </c>
      <c r="F184" s="159"/>
      <c r="G184" s="159"/>
      <c r="H184" s="159"/>
      <c r="I184" s="159"/>
      <c r="J184" s="159"/>
      <c r="K184" s="159"/>
      <c r="L184" s="159"/>
    </row>
    <row r="185" spans="5:12" ht="15" customHeight="1" x14ac:dyDescent="0.2">
      <c r="E185" s="152" t="s">
        <v>947</v>
      </c>
      <c r="F185" s="149"/>
      <c r="G185" s="149"/>
      <c r="H185" s="149"/>
      <c r="I185" s="149"/>
      <c r="J185" s="149"/>
    </row>
    <row r="186" spans="5:12" ht="15" customHeight="1" x14ac:dyDescent="0.2">
      <c r="E186" s="147" t="s">
        <v>948</v>
      </c>
      <c r="F186" s="149"/>
      <c r="G186" s="149"/>
      <c r="H186" s="149"/>
      <c r="I186" s="149"/>
      <c r="J186" s="149"/>
    </row>
    <row r="187" spans="5:12" ht="12.75" customHeight="1" x14ac:dyDescent="0.2"/>
    <row r="188" spans="5:12" ht="12.75" customHeight="1" x14ac:dyDescent="0.2">
      <c r="E188" s="22" t="s">
        <v>949</v>
      </c>
    </row>
    <row r="189" spans="5:12" ht="12.75" customHeight="1" x14ac:dyDescent="0.2">
      <c r="E189" s="94">
        <v>1</v>
      </c>
    </row>
    <row r="190" spans="5:12" ht="12.75" customHeight="1" x14ac:dyDescent="0.2">
      <c r="E190" s="94">
        <v>2</v>
      </c>
    </row>
    <row r="191" spans="5:12" ht="12.75" customHeight="1" x14ac:dyDescent="0.2">
      <c r="E191" s="94">
        <v>2</v>
      </c>
    </row>
    <row r="192" spans="5:12" ht="12.75" customHeight="1" x14ac:dyDescent="0.2">
      <c r="E192" s="94">
        <v>3</v>
      </c>
    </row>
    <row r="193" spans="5:12" ht="12.75" customHeight="1" x14ac:dyDescent="0.2">
      <c r="E193" s="94">
        <v>2</v>
      </c>
    </row>
    <row r="194" spans="5:12" ht="12.75" customHeight="1" x14ac:dyDescent="0.2"/>
    <row r="195" spans="5:12" ht="12.75" customHeight="1" x14ac:dyDescent="0.2">
      <c r="E195" s="22" t="s">
        <v>2334</v>
      </c>
      <c r="K195" s="24" t="s">
        <v>2335</v>
      </c>
      <c r="L195" s="24" t="s">
        <v>2336</v>
      </c>
    </row>
    <row r="196" spans="5:12" ht="32.25" customHeight="1" x14ac:dyDescent="0.2">
      <c r="E196" s="230" t="s">
        <v>2946</v>
      </c>
      <c r="F196" s="230"/>
      <c r="G196" s="230"/>
      <c r="H196" s="230"/>
      <c r="I196" s="230"/>
      <c r="J196" s="230"/>
      <c r="K196" s="5" t="s">
        <v>1442</v>
      </c>
      <c r="L196" s="77" t="s">
        <v>2094</v>
      </c>
    </row>
    <row r="197" spans="5:12" ht="15" customHeight="1" x14ac:dyDescent="0.2">
      <c r="E197" s="25" cm="1">
        <f t="array" ref="E197:F197">ModeSuper_byLiannaGerrish($E$189:$E$193)</f>
        <v>2</v>
      </c>
      <c r="F197" s="96">
        <v>3</v>
      </c>
      <c r="K197" s="78" t="s">
        <v>2093</v>
      </c>
      <c r="L197" s="77"/>
    </row>
    <row r="198" spans="5:12" ht="12.75" customHeight="1" x14ac:dyDescent="0.2">
      <c r="L198" s="87"/>
    </row>
    <row r="199" spans="5:12" ht="15" customHeight="1" x14ac:dyDescent="0.2">
      <c r="E199" s="230" t="s">
        <v>2947</v>
      </c>
      <c r="F199" s="230"/>
      <c r="G199" s="230"/>
      <c r="H199" s="230"/>
      <c r="I199" s="230"/>
      <c r="J199" s="230"/>
      <c r="K199" s="5" t="s">
        <v>950</v>
      </c>
      <c r="L199" s="77">
        <v>2</v>
      </c>
    </row>
    <row r="200" spans="5:12" ht="15" customHeight="1" x14ac:dyDescent="0.2">
      <c r="E200" s="25">
        <f>INDEX(ModeSuper_byLiannaGerrish($E$189:$E$193),1,1)</f>
        <v>2</v>
      </c>
      <c r="L200" s="5"/>
    </row>
    <row r="201" spans="5:12" ht="12.75" customHeight="1" x14ac:dyDescent="0.2"/>
    <row r="202" spans="5:12" ht="15" customHeight="1" x14ac:dyDescent="0.2">
      <c r="E202" s="230" t="s">
        <v>2948</v>
      </c>
      <c r="F202" s="230"/>
      <c r="G202" s="230"/>
      <c r="H202" s="230"/>
      <c r="I202" s="230"/>
      <c r="J202" s="230"/>
      <c r="K202" s="5" t="s">
        <v>951</v>
      </c>
      <c r="L202" s="77">
        <v>3</v>
      </c>
    </row>
    <row r="203" spans="5:12" ht="15" customHeight="1" x14ac:dyDescent="0.2">
      <c r="E203" s="25">
        <f>INDEX(ModeSuper_byLiannaGerrish($E$189:$E$193),1,2)</f>
        <v>3</v>
      </c>
      <c r="L203" s="5"/>
    </row>
    <row r="204" spans="5:12" ht="12.75" customHeight="1" x14ac:dyDescent="0.2"/>
    <row r="205" spans="5:12" ht="25.5" customHeight="1" x14ac:dyDescent="0.2">
      <c r="E205" s="152" t="s">
        <v>2734</v>
      </c>
      <c r="F205" s="152"/>
      <c r="G205" s="152"/>
      <c r="H205" s="152"/>
      <c r="I205" s="152"/>
      <c r="J205" s="152"/>
    </row>
    <row r="206" spans="5:12" ht="25.5" customHeight="1" x14ac:dyDescent="0.2">
      <c r="E206" s="172" t="s">
        <v>2735</v>
      </c>
      <c r="F206" s="173"/>
      <c r="G206" s="173"/>
      <c r="H206" s="173"/>
      <c r="I206" s="173"/>
      <c r="J206" s="174"/>
    </row>
    <row r="207" spans="5:12" ht="12.75" customHeight="1" x14ac:dyDescent="0.2"/>
    <row r="208" spans="5:12" ht="12.75" customHeight="1" x14ac:dyDescent="0.2"/>
    <row r="209" spans="5:12" ht="15.75" customHeight="1" x14ac:dyDescent="0.2">
      <c r="E209" s="159" t="s">
        <v>952</v>
      </c>
      <c r="F209" s="159"/>
      <c r="G209" s="159"/>
      <c r="H209" s="159"/>
      <c r="I209" s="159"/>
      <c r="J209" s="159"/>
      <c r="K209" s="159"/>
      <c r="L209" s="159"/>
    </row>
    <row r="210" spans="5:12" ht="15" customHeight="1" x14ac:dyDescent="0.2">
      <c r="E210" s="152" t="s">
        <v>953</v>
      </c>
      <c r="F210" s="149"/>
      <c r="G210" s="149"/>
      <c r="H210" s="149"/>
      <c r="I210" s="149"/>
      <c r="J210" s="149"/>
    </row>
    <row r="211" spans="5:12" ht="15" customHeight="1" x14ac:dyDescent="0.2">
      <c r="E211" s="147" t="s">
        <v>954</v>
      </c>
      <c r="F211" s="149"/>
      <c r="G211" s="149"/>
      <c r="H211" s="149"/>
      <c r="I211" s="149"/>
      <c r="J211" s="149"/>
    </row>
    <row r="212" spans="5:12" ht="12.75" customHeight="1" x14ac:dyDescent="0.2"/>
    <row r="213" spans="5:12" ht="12.75" customHeight="1" x14ac:dyDescent="0.2">
      <c r="E213" s="22" t="s">
        <v>2466</v>
      </c>
    </row>
    <row r="214" spans="5:12" ht="15" customHeight="1" x14ac:dyDescent="0.2">
      <c r="E214" s="94" t="s">
        <v>665</v>
      </c>
      <c r="G214" s="94" t="s">
        <v>665</v>
      </c>
    </row>
    <row r="215" spans="5:12" ht="15" customHeight="1" x14ac:dyDescent="0.2">
      <c r="E215" s="94" t="s">
        <v>455</v>
      </c>
      <c r="G215" s="94" t="s">
        <v>666</v>
      </c>
    </row>
    <row r="216" spans="5:12" ht="15" customHeight="1" x14ac:dyDescent="0.2">
      <c r="G216" s="94" t="s">
        <v>667</v>
      </c>
    </row>
    <row r="218" spans="5:12" ht="12.75" customHeight="1" x14ac:dyDescent="0.2">
      <c r="E218" s="22" t="s">
        <v>2334</v>
      </c>
      <c r="K218" s="24" t="s">
        <v>2335</v>
      </c>
      <c r="L218" s="24" t="s">
        <v>2336</v>
      </c>
    </row>
    <row r="219" spans="5:12" ht="15" customHeight="1" x14ac:dyDescent="0.2">
      <c r="E219" s="230" t="s">
        <v>2949</v>
      </c>
      <c r="F219" s="148"/>
      <c r="G219" s="148"/>
      <c r="H219" s="148"/>
      <c r="I219" s="148"/>
      <c r="J219" s="148"/>
      <c r="K219" s="5" t="s">
        <v>955</v>
      </c>
      <c r="L219" s="77"/>
    </row>
    <row r="220" spans="5:12" ht="15" customHeight="1" x14ac:dyDescent="0.2">
      <c r="E220" s="25" t="b" cm="1">
        <f t="array" ref="E220:E221">IsInList_byErikOehm($E$214:$E$215,$G$214:$G$216)</f>
        <v>1</v>
      </c>
      <c r="K220" t="s">
        <v>1980</v>
      </c>
      <c r="L220" s="207" t="s">
        <v>2385</v>
      </c>
    </row>
    <row r="221" spans="5:12" ht="12.75" customHeight="1" x14ac:dyDescent="0.2">
      <c r="E221" s="95" t="b">
        <v>0</v>
      </c>
      <c r="L221" s="207"/>
    </row>
    <row r="222" spans="5:12" ht="12.75" customHeight="1" x14ac:dyDescent="0.2">
      <c r="L222" s="87"/>
    </row>
    <row r="223" spans="5:12" ht="15" customHeight="1" x14ac:dyDescent="0.2">
      <c r="E223" s="230" t="s">
        <v>2950</v>
      </c>
      <c r="F223" s="148"/>
      <c r="G223" s="148"/>
      <c r="H223" s="148"/>
      <c r="I223" s="148"/>
      <c r="J223" s="148"/>
      <c r="K223" s="5" t="s">
        <v>956</v>
      </c>
      <c r="L223" s="77" t="b">
        <v>1</v>
      </c>
    </row>
    <row r="224" spans="5:12" ht="15" customHeight="1" x14ac:dyDescent="0.2">
      <c r="E224" s="25" t="b" cm="1">
        <f t="array" ref="E224">IsInList_byErikOehm("b",$G$214:$G$216)</f>
        <v>1</v>
      </c>
      <c r="L224" s="5"/>
    </row>
    <row r="225" spans="5:12" ht="12.75" customHeight="1" x14ac:dyDescent="0.2"/>
    <row r="226" spans="5:12" ht="25.5" customHeight="1" x14ac:dyDescent="0.2">
      <c r="E226" s="152" t="s">
        <v>957</v>
      </c>
      <c r="F226" s="152"/>
      <c r="G226" s="152"/>
      <c r="H226" s="152"/>
      <c r="I226" s="152"/>
      <c r="J226" s="152"/>
    </row>
    <row r="227" spans="5:12" ht="12.75" customHeight="1" x14ac:dyDescent="0.2"/>
    <row r="228" spans="5:12" ht="12.75" customHeight="1" x14ac:dyDescent="0.2"/>
    <row r="229" spans="5:12" ht="15.75" customHeight="1" x14ac:dyDescent="0.2">
      <c r="E229" s="159" t="s">
        <v>958</v>
      </c>
      <c r="F229" s="159"/>
      <c r="G229" s="159"/>
      <c r="H229" s="159"/>
      <c r="I229" s="159"/>
      <c r="J229" s="159"/>
      <c r="K229" s="159"/>
      <c r="L229" s="159"/>
    </row>
    <row r="230" spans="5:12" ht="25.5" customHeight="1" x14ac:dyDescent="0.2">
      <c r="E230" s="152" t="s">
        <v>1443</v>
      </c>
      <c r="F230" s="152"/>
      <c r="G230" s="152"/>
      <c r="H230" s="152"/>
      <c r="I230" s="152"/>
      <c r="J230" s="152"/>
    </row>
    <row r="231" spans="5:12" ht="21.75" customHeight="1" x14ac:dyDescent="0.2">
      <c r="E231" s="147" t="s">
        <v>959</v>
      </c>
      <c r="F231" s="147"/>
      <c r="G231" s="147"/>
      <c r="H231" s="147"/>
      <c r="I231" s="147"/>
      <c r="J231" s="147"/>
    </row>
    <row r="232" spans="5:12" ht="12.75" customHeight="1" x14ac:dyDescent="0.2"/>
    <row r="233" spans="5:12" ht="12.75" customHeight="1" x14ac:dyDescent="0.2">
      <c r="E233" s="22" t="s">
        <v>1444</v>
      </c>
    </row>
    <row r="234" spans="5:12" ht="12.75" customHeight="1" x14ac:dyDescent="0.2">
      <c r="E234" s="94" t="s">
        <v>960</v>
      </c>
      <c r="F234" s="94">
        <v>0</v>
      </c>
    </row>
    <row r="235" spans="5:12" ht="12.75" customHeight="1" x14ac:dyDescent="0.2">
      <c r="E235" s="94"/>
      <c r="F235" s="94">
        <v>2</v>
      </c>
    </row>
    <row r="236" spans="5:12" ht="12.75" customHeight="1" x14ac:dyDescent="0.2">
      <c r="E236" s="94" t="s">
        <v>961</v>
      </c>
      <c r="F236" s="94">
        <v>3</v>
      </c>
    </row>
    <row r="237" spans="5:12" ht="12.75" customHeight="1" x14ac:dyDescent="0.2">
      <c r="E237" s="94" t="s">
        <v>962</v>
      </c>
      <c r="F237" s="94"/>
    </row>
    <row r="238" spans="5:12" ht="12.75" customHeight="1" x14ac:dyDescent="0.2"/>
    <row r="239" spans="5:12" ht="12.75" customHeight="1" x14ac:dyDescent="0.2">
      <c r="E239" s="22" t="s">
        <v>2465</v>
      </c>
    </row>
    <row r="240" spans="5:12" ht="15" customHeight="1" x14ac:dyDescent="0.2">
      <c r="E240" s="94" t="s">
        <v>748</v>
      </c>
    </row>
    <row r="241" spans="5:12" ht="15" customHeight="1" x14ac:dyDescent="0.2">
      <c r="E241" s="94" t="s">
        <v>839</v>
      </c>
    </row>
    <row r="243" spans="5:12" ht="12.75" customHeight="1" x14ac:dyDescent="0.2">
      <c r="E243" s="22" t="s">
        <v>2334</v>
      </c>
      <c r="K243" s="24" t="s">
        <v>2335</v>
      </c>
      <c r="L243" s="24" t="s">
        <v>2336</v>
      </c>
    </row>
    <row r="244" spans="5:12" ht="21.75" customHeight="1" x14ac:dyDescent="0.2">
      <c r="E244" s="230" t="s">
        <v>2951</v>
      </c>
      <c r="F244" s="230"/>
      <c r="G244" s="230"/>
      <c r="H244" s="230"/>
      <c r="I244" s="230"/>
      <c r="J244" s="230"/>
      <c r="K244" s="5" t="s">
        <v>963</v>
      </c>
      <c r="L244" s="77"/>
    </row>
    <row r="245" spans="5:12" ht="15" customHeight="1" x14ac:dyDescent="0.2">
      <c r="E245" s="25" t="str" cm="1">
        <f t="array" ref="E245:J253">StackSheets_byJaqKennedy($E$234:$F$237,$E$240:$E$241,"B2")</f>
        <v>Sheet</v>
      </c>
      <c r="F245" s="96" t="str">
        <v>Value</v>
      </c>
      <c r="G245" s="96" t="str">
        <v>Address</v>
      </c>
      <c r="H245" s="96" t="str">
        <v>Row</v>
      </c>
      <c r="I245" s="96" t="str">
        <v>Col</v>
      </c>
      <c r="J245" s="96" t="str">
        <v>RCRef</v>
      </c>
      <c r="K245" s="78" t="s">
        <v>2095</v>
      </c>
      <c r="L245" s="207" t="s">
        <v>2096</v>
      </c>
    </row>
    <row r="246" spans="5:12" ht="12.75" customHeight="1" x14ac:dyDescent="0.2">
      <c r="E246" s="96" t="str">
        <v>Area1</v>
      </c>
      <c r="F246" s="96" t="str">
        <v>nut</v>
      </c>
      <c r="G246" s="96" t="str">
        <v>B2</v>
      </c>
      <c r="H246" s="96">
        <v>2</v>
      </c>
      <c r="I246" s="96">
        <v>2</v>
      </c>
      <c r="J246" s="96">
        <v>2000002</v>
      </c>
      <c r="L246" s="207"/>
    </row>
    <row r="247" spans="5:12" ht="12.75" customHeight="1" x14ac:dyDescent="0.2">
      <c r="E247" s="96" t="str">
        <v>Area1</v>
      </c>
      <c r="F247" s="96">
        <v>0</v>
      </c>
      <c r="G247" s="96" t="str">
        <v>C2</v>
      </c>
      <c r="H247" s="96">
        <v>2</v>
      </c>
      <c r="I247" s="96">
        <v>3</v>
      </c>
      <c r="J247" s="96">
        <v>2000003</v>
      </c>
      <c r="L247" s="207"/>
    </row>
    <row r="248" spans="5:12" ht="12.75" customHeight="1" x14ac:dyDescent="0.2">
      <c r="E248" s="96" t="str">
        <v>Area1</v>
      </c>
      <c r="F248" s="96">
        <v>0</v>
      </c>
      <c r="G248" s="96" t="str">
        <v>B3</v>
      </c>
      <c r="H248" s="96">
        <v>3</v>
      </c>
      <c r="I248" s="96">
        <v>2</v>
      </c>
      <c r="J248" s="96">
        <v>3000002</v>
      </c>
      <c r="L248" s="207"/>
    </row>
    <row r="249" spans="5:12" ht="12.75" customHeight="1" x14ac:dyDescent="0.2">
      <c r="E249" s="96" t="str">
        <v>Area1</v>
      </c>
      <c r="F249" s="96">
        <v>2</v>
      </c>
      <c r="G249" s="96" t="str">
        <v>C3</v>
      </c>
      <c r="H249" s="96">
        <v>3</v>
      </c>
      <c r="I249" s="96">
        <v>3</v>
      </c>
      <c r="J249" s="96">
        <v>3000003</v>
      </c>
      <c r="L249" s="207"/>
    </row>
    <row r="250" spans="5:12" ht="12.75" customHeight="1" x14ac:dyDescent="0.2">
      <c r="E250" s="96" t="str">
        <v>Area2</v>
      </c>
      <c r="F250" s="96" t="str">
        <v>cog</v>
      </c>
      <c r="G250" s="96" t="str">
        <v>B2</v>
      </c>
      <c r="H250" s="96">
        <v>2</v>
      </c>
      <c r="I250" s="96">
        <v>2</v>
      </c>
      <c r="J250" s="96">
        <v>2000002</v>
      </c>
      <c r="L250" s="207"/>
    </row>
    <row r="251" spans="5:12" ht="12.75" customHeight="1" x14ac:dyDescent="0.2">
      <c r="E251" s="96" t="str">
        <v>Area2</v>
      </c>
      <c r="F251" s="96">
        <v>3</v>
      </c>
      <c r="G251" s="96" t="str">
        <v>C2</v>
      </c>
      <c r="H251" s="96">
        <v>2</v>
      </c>
      <c r="I251" s="96">
        <v>3</v>
      </c>
      <c r="J251" s="96">
        <v>2000003</v>
      </c>
      <c r="L251" s="207"/>
    </row>
    <row r="252" spans="5:12" ht="12.75" customHeight="1" x14ac:dyDescent="0.2">
      <c r="E252" s="96" t="str">
        <v>Area2</v>
      </c>
      <c r="F252" s="96" t="str">
        <v>pin</v>
      </c>
      <c r="G252" s="96" t="str">
        <v>B3</v>
      </c>
      <c r="H252" s="96">
        <v>3</v>
      </c>
      <c r="I252" s="96">
        <v>2</v>
      </c>
      <c r="J252" s="96">
        <v>3000002</v>
      </c>
      <c r="L252" s="207"/>
    </row>
    <row r="253" spans="5:12" ht="12.75" customHeight="1" x14ac:dyDescent="0.2">
      <c r="E253" s="96" t="str">
        <v>Area2</v>
      </c>
      <c r="F253" s="96">
        <v>0</v>
      </c>
      <c r="G253" s="96" t="str">
        <v>C3</v>
      </c>
      <c r="H253" s="96">
        <v>3</v>
      </c>
      <c r="I253" s="96">
        <v>3</v>
      </c>
      <c r="J253" s="96">
        <v>3000003</v>
      </c>
      <c r="L253" s="207"/>
    </row>
    <row r="254" spans="5:12" ht="12.75" customHeight="1" x14ac:dyDescent="0.2">
      <c r="L254" s="77"/>
    </row>
    <row r="255" spans="5:12" ht="15" customHeight="1" x14ac:dyDescent="0.2">
      <c r="E255" s="230" t="s">
        <v>2952</v>
      </c>
      <c r="F255" s="230"/>
      <c r="G255" s="230"/>
      <c r="H255" s="230"/>
      <c r="I255" s="230"/>
      <c r="J255" s="230"/>
      <c r="K255" s="5" t="s">
        <v>2736</v>
      </c>
      <c r="L255" s="77"/>
    </row>
    <row r="256" spans="5:12" ht="15" customHeight="1" x14ac:dyDescent="0.2">
      <c r="E256" s="25" t="str" cm="1">
        <f t="array" ref="E256:J261">StackSheets_byJaqKennedy($E$234:$F$237,$E$240:$E$241,"B2",1)</f>
        <v>Sheet</v>
      </c>
      <c r="F256" s="96" t="str">
        <v>Value</v>
      </c>
      <c r="G256" s="96" t="str">
        <v>Address</v>
      </c>
      <c r="H256" s="96" t="str">
        <v>Row</v>
      </c>
      <c r="I256" s="96" t="str">
        <v>Col</v>
      </c>
      <c r="J256" s="96" t="str">
        <v>RCRef</v>
      </c>
      <c r="K256" s="78" t="s">
        <v>2097</v>
      </c>
      <c r="L256" s="207" t="s">
        <v>2098</v>
      </c>
    </row>
    <row r="257" spans="5:12" ht="12.75" customHeight="1" x14ac:dyDescent="0.2">
      <c r="E257" s="96" t="str">
        <v>Area1</v>
      </c>
      <c r="F257" s="96" t="str">
        <v>nut</v>
      </c>
      <c r="G257" s="96" t="str">
        <v>B2</v>
      </c>
      <c r="H257" s="96">
        <v>2</v>
      </c>
      <c r="I257" s="96">
        <v>2</v>
      </c>
      <c r="J257" s="96">
        <v>2000002</v>
      </c>
      <c r="L257" s="207"/>
    </row>
    <row r="258" spans="5:12" ht="12.75" customHeight="1" x14ac:dyDescent="0.2">
      <c r="E258" s="96" t="str">
        <v>Area1</v>
      </c>
      <c r="F258" s="96">
        <v>2</v>
      </c>
      <c r="G258" s="96" t="str">
        <v>C3</v>
      </c>
      <c r="H258" s="96">
        <v>3</v>
      </c>
      <c r="I258" s="96">
        <v>3</v>
      </c>
      <c r="J258" s="96">
        <v>3000003</v>
      </c>
      <c r="L258" s="207"/>
    </row>
    <row r="259" spans="5:12" ht="12.75" customHeight="1" x14ac:dyDescent="0.2">
      <c r="E259" s="96" t="str">
        <v>Area2</v>
      </c>
      <c r="F259" s="96" t="str">
        <v>cog</v>
      </c>
      <c r="G259" s="96" t="str">
        <v>B2</v>
      </c>
      <c r="H259" s="96">
        <v>2</v>
      </c>
      <c r="I259" s="96">
        <v>2</v>
      </c>
      <c r="J259" s="96">
        <v>2000002</v>
      </c>
      <c r="L259" s="207"/>
    </row>
    <row r="260" spans="5:12" ht="12.75" customHeight="1" x14ac:dyDescent="0.2">
      <c r="E260" s="96" t="str">
        <v>Area2</v>
      </c>
      <c r="F260" s="96">
        <v>3</v>
      </c>
      <c r="G260" s="96" t="str">
        <v>C2</v>
      </c>
      <c r="H260" s="96">
        <v>2</v>
      </c>
      <c r="I260" s="96">
        <v>3</v>
      </c>
      <c r="J260" s="96">
        <v>2000003</v>
      </c>
      <c r="L260" s="207"/>
    </row>
    <row r="261" spans="5:12" ht="12.75" customHeight="1" x14ac:dyDescent="0.2">
      <c r="E261" s="96" t="str">
        <v>Area2</v>
      </c>
      <c r="F261" s="96" t="str">
        <v>pin</v>
      </c>
      <c r="G261" s="96" t="str">
        <v>B3</v>
      </c>
      <c r="H261" s="96">
        <v>3</v>
      </c>
      <c r="I261" s="96">
        <v>2</v>
      </c>
      <c r="J261" s="96">
        <v>3000002</v>
      </c>
      <c r="L261" s="207"/>
    </row>
    <row r="262" spans="5:12" ht="12.75" customHeight="1" x14ac:dyDescent="0.2">
      <c r="L262" s="87"/>
    </row>
    <row r="263" spans="5:12" ht="42.75" customHeight="1" x14ac:dyDescent="0.2">
      <c r="E263" s="230" t="s">
        <v>2953</v>
      </c>
      <c r="F263" s="230"/>
      <c r="G263" s="230"/>
      <c r="H263" s="230"/>
      <c r="I263" s="230"/>
      <c r="J263" s="230"/>
      <c r="K263" s="5" t="s">
        <v>2337</v>
      </c>
      <c r="L263" s="77" t="s">
        <v>839</v>
      </c>
    </row>
    <row r="264" spans="5:12" ht="15" customHeight="1" x14ac:dyDescent="0.2">
      <c r="E264" s="25" t="str" cm="1">
        <f t="array" ref="E264">_xlfn.LET(_xlpm.t,StackSheets_byJaqKennedy($E$234:$F$237,$E$240:$E$241,"B2",1),_xlfn.TEXTJOIN(",",1,_xlfn._xlws.FILTER(_xlfn.CHOOSECOLS(_xlpm.t,1),_xlfn.CHOOSECOLS(_xlpm.t,3)="B3","none")))</f>
        <v>Area2</v>
      </c>
      <c r="L264" s="77"/>
    </row>
    <row r="265" spans="5:12" ht="12.75" customHeight="1" x14ac:dyDescent="0.2">
      <c r="L265" s="87"/>
    </row>
    <row r="266" spans="5:12" ht="32.25" customHeight="1" x14ac:dyDescent="0.2">
      <c r="E266" s="230" t="s">
        <v>2954</v>
      </c>
      <c r="F266" s="230"/>
      <c r="G266" s="230"/>
      <c r="H266" s="230"/>
      <c r="I266" s="230"/>
      <c r="J266" s="230"/>
      <c r="K266" s="5" t="s">
        <v>964</v>
      </c>
      <c r="L266" s="92" t="s">
        <v>2333</v>
      </c>
    </row>
    <row r="267" spans="5:12" ht="15" customHeight="1" x14ac:dyDescent="0.2">
      <c r="E267" s="25" t="str">
        <f>_xlfn.LET(_xlpm.t,StackSheets_byJaqKennedy($E$234:$F$237,$E$240:$E$241,"B2",1),_xlfn.TEXTJOIN(",",1,_xlfn.DROP(_xlfn.CHOOSECOLS(_xlpm.t,6),1)))</f>
        <v>2000002,3000003,2000002,2000003,3000002</v>
      </c>
      <c r="L267" s="88"/>
    </row>
    <row r="268" spans="5:12" ht="12.75" customHeight="1" x14ac:dyDescent="0.2"/>
    <row r="269" spans="5:12" ht="38.25" customHeight="1" x14ac:dyDescent="0.2">
      <c r="E269" s="152" t="s">
        <v>1445</v>
      </c>
      <c r="F269" s="152"/>
      <c r="G269" s="152"/>
      <c r="H269" s="152"/>
      <c r="I269" s="152"/>
      <c r="J269" s="152"/>
    </row>
    <row r="270" spans="5:12" ht="25.5" customHeight="1" x14ac:dyDescent="0.2">
      <c r="E270" s="172" t="s">
        <v>1840</v>
      </c>
      <c r="F270" s="173"/>
      <c r="G270" s="173"/>
      <c r="H270" s="173"/>
      <c r="I270" s="173"/>
      <c r="J270" s="174"/>
    </row>
    <row r="271" spans="5:12" ht="12.75" customHeight="1" x14ac:dyDescent="0.2"/>
    <row r="272" spans="5:12" ht="12.75" customHeight="1" x14ac:dyDescent="0.2"/>
    <row r="273" spans="5:12" ht="15.75" customHeight="1" x14ac:dyDescent="0.2">
      <c r="E273" s="159" t="s">
        <v>965</v>
      </c>
      <c r="F273" s="159"/>
      <c r="G273" s="159"/>
      <c r="H273" s="159"/>
      <c r="I273" s="159"/>
      <c r="J273" s="159"/>
      <c r="K273" s="159"/>
      <c r="L273" s="159"/>
    </row>
    <row r="274" spans="5:12" ht="15" customHeight="1" x14ac:dyDescent="0.2">
      <c r="E274" s="152" t="s">
        <v>1446</v>
      </c>
      <c r="F274" s="149"/>
      <c r="G274" s="149"/>
      <c r="H274" s="149"/>
      <c r="I274" s="149"/>
      <c r="J274" s="149"/>
    </row>
    <row r="275" spans="5:12" ht="15" customHeight="1" x14ac:dyDescent="0.2">
      <c r="E275" s="147" t="s">
        <v>966</v>
      </c>
      <c r="F275" s="149"/>
      <c r="G275" s="149"/>
      <c r="H275" s="149"/>
      <c r="I275" s="149"/>
      <c r="J275" s="149"/>
    </row>
    <row r="276" spans="5:12" ht="12.75" customHeight="1" x14ac:dyDescent="0.2"/>
    <row r="277" spans="5:12" ht="12.75" customHeight="1" x14ac:dyDescent="0.2">
      <c r="E277" s="22" t="s">
        <v>2466</v>
      </c>
    </row>
    <row r="278" spans="5:12" ht="15" customHeight="1" x14ac:dyDescent="0.2">
      <c r="E278" s="94" t="s">
        <v>665</v>
      </c>
      <c r="G278" s="94" t="s">
        <v>665</v>
      </c>
      <c r="H278" s="94" t="s">
        <v>666</v>
      </c>
      <c r="I278" s="94" t="s">
        <v>667</v>
      </c>
    </row>
    <row r="279" spans="5:12" ht="15" customHeight="1" x14ac:dyDescent="0.2">
      <c r="E279" s="94" t="s">
        <v>666</v>
      </c>
    </row>
    <row r="280" spans="5:12" ht="15" customHeight="1" x14ac:dyDescent="0.2">
      <c r="E280" s="94" t="s">
        <v>667</v>
      </c>
    </row>
    <row r="282" spans="5:12" ht="15" customHeight="1" x14ac:dyDescent="0.2">
      <c r="E282" s="94" t="s">
        <v>665</v>
      </c>
      <c r="G282" s="94">
        <v>1</v>
      </c>
      <c r="H282" s="94">
        <v>2</v>
      </c>
      <c r="J282" s="94">
        <v>1</v>
      </c>
    </row>
    <row r="283" spans="5:12" ht="15" customHeight="1" x14ac:dyDescent="0.2">
      <c r="E283" s="94" t="s">
        <v>666</v>
      </c>
      <c r="G283" s="94">
        <v>3</v>
      </c>
      <c r="H283" s="94">
        <v>4</v>
      </c>
      <c r="J283" s="94">
        <v>4</v>
      </c>
    </row>
    <row r="285" spans="5:12" ht="12.75" customHeight="1" x14ac:dyDescent="0.2">
      <c r="E285" s="22" t="s">
        <v>2334</v>
      </c>
      <c r="K285" s="24" t="s">
        <v>2335</v>
      </c>
      <c r="L285" s="24" t="s">
        <v>2336</v>
      </c>
    </row>
    <row r="286" spans="5:12" ht="21.75" customHeight="1" x14ac:dyDescent="0.2">
      <c r="E286" s="230" t="s">
        <v>2955</v>
      </c>
      <c r="F286" s="209"/>
      <c r="G286" s="209"/>
      <c r="H286" s="209"/>
      <c r="I286" s="209"/>
      <c r="J286" s="209"/>
      <c r="K286" s="5" t="s">
        <v>967</v>
      </c>
      <c r="L286" s="77"/>
    </row>
    <row r="287" spans="5:12" ht="15" customHeight="1" x14ac:dyDescent="0.2">
      <c r="E287" s="25" t="str" cm="1">
        <f t="array" ref="E287:E288">NotInList_byJaqKennedy($E$278:$E$280,{"b"})</f>
        <v>a</v>
      </c>
      <c r="K287" t="s">
        <v>1980</v>
      </c>
      <c r="L287" s="207" t="s">
        <v>2387</v>
      </c>
    </row>
    <row r="288" spans="5:12" ht="12.75" customHeight="1" x14ac:dyDescent="0.2">
      <c r="E288" s="95" t="str">
        <v>c</v>
      </c>
      <c r="L288" s="207"/>
    </row>
    <row r="289" spans="5:12" ht="12.75" customHeight="1" x14ac:dyDescent="0.2">
      <c r="L289" s="87"/>
    </row>
    <row r="290" spans="5:12" ht="21.75" customHeight="1" x14ac:dyDescent="0.2">
      <c r="E290" s="230" t="s">
        <v>2956</v>
      </c>
      <c r="F290" s="209"/>
      <c r="G290" s="209"/>
      <c r="H290" s="209"/>
      <c r="I290" s="209"/>
      <c r="J290" s="209"/>
      <c r="K290" s="5" t="s">
        <v>968</v>
      </c>
      <c r="L290" s="77" t="s">
        <v>2388</v>
      </c>
    </row>
    <row r="291" spans="5:12" ht="15" customHeight="1" x14ac:dyDescent="0.2">
      <c r="E291" s="25" t="str" cm="1">
        <f t="array" ref="E291:F291">NotInList_byJaqKennedy($G$278:$I$278,{"b"})</f>
        <v>a</v>
      </c>
      <c r="F291" s="96" t="str">
        <v>c</v>
      </c>
      <c r="K291" t="s">
        <v>2093</v>
      </c>
      <c r="L291" s="77"/>
    </row>
    <row r="292" spans="5:12" ht="12.75" customHeight="1" x14ac:dyDescent="0.2">
      <c r="L292" s="87"/>
    </row>
    <row r="293" spans="5:12" ht="21.75" customHeight="1" x14ac:dyDescent="0.2">
      <c r="E293" s="230" t="s">
        <v>2957</v>
      </c>
      <c r="F293" s="209"/>
      <c r="G293" s="209"/>
      <c r="H293" s="209"/>
      <c r="I293" s="209"/>
      <c r="J293" s="209"/>
      <c r="K293" s="5" t="s">
        <v>2737</v>
      </c>
      <c r="L293" s="77" t="s">
        <v>1360</v>
      </c>
    </row>
    <row r="294" spans="5:12" ht="15" customHeight="1" x14ac:dyDescent="0.2">
      <c r="E294" s="25" t="str">
        <f>IF(_xlfn.TEXTJOIN(",",1,NotInList_byJaqKennedy($E$282:$E$283,$E$282:$E$283))="","nothing missing","something missing")</f>
        <v>nothing missing</v>
      </c>
      <c r="L294" s="77"/>
    </row>
    <row r="295" spans="5:12" ht="12.75" customHeight="1" x14ac:dyDescent="0.2">
      <c r="L295" s="87"/>
    </row>
    <row r="296" spans="5:12" ht="21.75" customHeight="1" x14ac:dyDescent="0.2">
      <c r="E296" s="230" t="s">
        <v>2958</v>
      </c>
      <c r="F296" s="209"/>
      <c r="G296" s="209"/>
      <c r="H296" s="209"/>
      <c r="I296" s="209"/>
      <c r="J296" s="209"/>
      <c r="K296" s="5" t="s">
        <v>1447</v>
      </c>
      <c r="L296" s="77"/>
    </row>
    <row r="297" spans="5:12" ht="15" customHeight="1" x14ac:dyDescent="0.2">
      <c r="E297" s="25" cm="1">
        <f t="array" ref="E297:E298">NotInList_byJaqKennedy(_xlfn.TOCOL($G$282:$H$283),$J$282:$J$283)</f>
        <v>2</v>
      </c>
      <c r="K297" t="s">
        <v>1980</v>
      </c>
      <c r="L297" s="207" t="s">
        <v>2389</v>
      </c>
    </row>
    <row r="298" spans="5:12" ht="12.75" customHeight="1" x14ac:dyDescent="0.2">
      <c r="E298" s="95">
        <v>3</v>
      </c>
      <c r="L298" s="207"/>
    </row>
    <row r="299" spans="5:12" ht="12.75" customHeight="1" x14ac:dyDescent="0.2">
      <c r="L299" s="87"/>
    </row>
    <row r="300" spans="5:12" ht="38.25" customHeight="1" x14ac:dyDescent="0.2">
      <c r="E300" s="152" t="s">
        <v>969</v>
      </c>
      <c r="F300" s="152"/>
      <c r="G300" s="152"/>
      <c r="H300" s="152"/>
      <c r="I300" s="152"/>
      <c r="J300" s="152"/>
    </row>
    <row r="301" spans="5:12" ht="15" customHeight="1" x14ac:dyDescent="0.2">
      <c r="E301" s="172" t="s">
        <v>1841</v>
      </c>
      <c r="F301" s="173"/>
      <c r="G301" s="173"/>
      <c r="H301" s="173"/>
      <c r="I301" s="173"/>
      <c r="J301" s="174"/>
    </row>
    <row r="302" spans="5:12" ht="12.75" customHeight="1" x14ac:dyDescent="0.2"/>
    <row r="303" spans="5:12" ht="12.75" customHeight="1" x14ac:dyDescent="0.2"/>
    <row r="304" spans="5:12" ht="15.75" customHeight="1" x14ac:dyDescent="0.2">
      <c r="E304" s="159" t="s">
        <v>1778</v>
      </c>
      <c r="F304" s="159"/>
      <c r="G304" s="159"/>
      <c r="H304" s="159"/>
      <c r="I304" s="159"/>
      <c r="J304" s="159"/>
      <c r="K304" s="159"/>
      <c r="L304" s="159"/>
    </row>
    <row r="305" spans="5:12" ht="25.5" customHeight="1" x14ac:dyDescent="0.2">
      <c r="E305" s="152" t="s">
        <v>1779</v>
      </c>
      <c r="F305" s="149"/>
      <c r="G305" s="149"/>
      <c r="H305" s="149"/>
      <c r="I305" s="149"/>
      <c r="J305" s="149"/>
    </row>
    <row r="306" spans="5:12" ht="21.75" customHeight="1" x14ac:dyDescent="0.2">
      <c r="E306" s="147" t="s">
        <v>1780</v>
      </c>
      <c r="F306" s="149"/>
      <c r="G306" s="149"/>
      <c r="H306" s="149"/>
      <c r="I306" s="149"/>
      <c r="J306" s="149"/>
    </row>
    <row r="307" spans="5:12" ht="12.75" customHeight="1" x14ac:dyDescent="0.2"/>
    <row r="308" spans="5:12" ht="12.75" customHeight="1" x14ac:dyDescent="0.2">
      <c r="E308" s="22" t="s">
        <v>2466</v>
      </c>
    </row>
    <row r="309" spans="5:12" ht="15" customHeight="1" x14ac:dyDescent="0.2">
      <c r="E309" s="94" t="s">
        <v>665</v>
      </c>
      <c r="G309" s="94" t="s">
        <v>588</v>
      </c>
      <c r="I309" s="94" t="s">
        <v>665</v>
      </c>
    </row>
    <row r="310" spans="5:12" ht="15" customHeight="1" x14ac:dyDescent="0.2">
      <c r="E310" s="94" t="s">
        <v>666</v>
      </c>
      <c r="G310" s="94" t="s">
        <v>666</v>
      </c>
      <c r="I310" s="94" t="s">
        <v>666</v>
      </c>
    </row>
    <row r="311" spans="5:12" ht="15" customHeight="1" x14ac:dyDescent="0.2">
      <c r="E311" s="94" t="s">
        <v>667</v>
      </c>
      <c r="G311" s="94" t="s">
        <v>453</v>
      </c>
      <c r="I311" s="94" t="s">
        <v>667</v>
      </c>
    </row>
    <row r="312" spans="5:12" ht="15" customHeight="1" x14ac:dyDescent="0.2">
      <c r="E312" s="94" t="s">
        <v>588</v>
      </c>
    </row>
    <row r="314" spans="5:12" ht="15" customHeight="1" x14ac:dyDescent="0.2">
      <c r="E314" s="94" t="s">
        <v>667</v>
      </c>
      <c r="G314" s="94">
        <v>1</v>
      </c>
      <c r="H314" s="94">
        <v>2</v>
      </c>
      <c r="J314" s="94">
        <v>3</v>
      </c>
    </row>
    <row r="315" spans="5:12" ht="15" customHeight="1" x14ac:dyDescent="0.2">
      <c r="E315" s="94" t="s">
        <v>588</v>
      </c>
      <c r="G315" s="94">
        <v>0</v>
      </c>
      <c r="H315" s="94">
        <v>3</v>
      </c>
      <c r="J315" s="94">
        <v>0</v>
      </c>
    </row>
    <row r="316" spans="5:12" ht="15" customHeight="1" x14ac:dyDescent="0.2">
      <c r="E316" s="94" t="s">
        <v>665</v>
      </c>
      <c r="J316" s="94">
        <v>2</v>
      </c>
    </row>
    <row r="317" spans="5:12" ht="15" customHeight="1" x14ac:dyDescent="0.2">
      <c r="E317" s="94" t="s">
        <v>590</v>
      </c>
    </row>
    <row r="319" spans="5:12" ht="12.75" customHeight="1" x14ac:dyDescent="0.2">
      <c r="E319" s="22" t="s">
        <v>2334</v>
      </c>
      <c r="K319" s="24" t="s">
        <v>2335</v>
      </c>
      <c r="L319" s="24" t="s">
        <v>2336</v>
      </c>
    </row>
    <row r="320" spans="5:12" ht="21.75" customHeight="1" x14ac:dyDescent="0.2">
      <c r="E320" s="230" t="s">
        <v>2959</v>
      </c>
      <c r="F320" s="230"/>
      <c r="G320" s="230"/>
      <c r="H320" s="230"/>
      <c r="I320" s="230"/>
      <c r="J320" s="230"/>
      <c r="K320" s="5" t="s">
        <v>1782</v>
      </c>
      <c r="L320" s="77"/>
    </row>
    <row r="321" spans="5:12" ht="15" customHeight="1" x14ac:dyDescent="0.2">
      <c r="E321" s="25" t="str" cm="1">
        <f t="array" ref="E321:E322">nSet_byJaqKennedy($E$309:$E$312,$G$309:$G$311)</f>
        <v>b</v>
      </c>
      <c r="K321" t="s">
        <v>1980</v>
      </c>
      <c r="L321" s="207" t="s">
        <v>2390</v>
      </c>
    </row>
    <row r="322" spans="5:12" ht="12.75" customHeight="1" x14ac:dyDescent="0.2">
      <c r="E322" s="95" t="str">
        <v>d</v>
      </c>
      <c r="L322" s="207"/>
    </row>
    <row r="323" spans="5:12" ht="12.75" customHeight="1" x14ac:dyDescent="0.2">
      <c r="L323" s="87"/>
    </row>
    <row r="324" spans="5:12" ht="21.75" customHeight="1" x14ac:dyDescent="0.2">
      <c r="E324" s="230" t="s">
        <v>2960</v>
      </c>
      <c r="F324" s="230"/>
      <c r="G324" s="230"/>
      <c r="H324" s="230"/>
      <c r="I324" s="230"/>
      <c r="J324" s="230"/>
      <c r="K324" s="5" t="s">
        <v>1783</v>
      </c>
      <c r="L324" s="77"/>
    </row>
    <row r="325" spans="5:12" ht="15" customHeight="1" x14ac:dyDescent="0.2">
      <c r="E325" s="25" t="str" cm="1">
        <f t="array" ref="E325:E329">uSet_byJaqKennedy($I$309:$I$311,$E$314:$E$317)</f>
        <v>a</v>
      </c>
      <c r="K325" t="s">
        <v>1944</v>
      </c>
      <c r="L325" s="207" t="s">
        <v>2391</v>
      </c>
    </row>
    <row r="326" spans="5:12" ht="12.75" customHeight="1" x14ac:dyDescent="0.2">
      <c r="E326" s="95" t="str">
        <v>b</v>
      </c>
      <c r="L326" s="207"/>
    </row>
    <row r="327" spans="5:12" ht="12.75" customHeight="1" x14ac:dyDescent="0.2">
      <c r="E327" s="95" t="str">
        <v>c</v>
      </c>
      <c r="L327" s="207"/>
    </row>
    <row r="328" spans="5:12" ht="12.75" customHeight="1" x14ac:dyDescent="0.2">
      <c r="E328" s="95" t="str">
        <v>d</v>
      </c>
      <c r="L328" s="207"/>
    </row>
    <row r="329" spans="5:12" ht="12.75" customHeight="1" x14ac:dyDescent="0.2">
      <c r="E329" s="95" t="str">
        <v>e</v>
      </c>
      <c r="L329" s="207"/>
    </row>
    <row r="330" spans="5:12" ht="12.75" customHeight="1" x14ac:dyDescent="0.2">
      <c r="L330" s="87"/>
    </row>
    <row r="331" spans="5:12" ht="21.75" customHeight="1" x14ac:dyDescent="0.2">
      <c r="E331" s="230" t="s">
        <v>2961</v>
      </c>
      <c r="F331" s="230"/>
      <c r="G331" s="230"/>
      <c r="H331" s="230"/>
      <c r="I331" s="230"/>
      <c r="J331" s="230"/>
      <c r="K331" s="5" t="s">
        <v>1784</v>
      </c>
      <c r="L331" s="77"/>
    </row>
    <row r="332" spans="5:12" ht="15" customHeight="1" x14ac:dyDescent="0.2">
      <c r="E332" s="25" cm="1">
        <f t="array" ref="E332:E333">nSet_byJaqKennedy($G$314:$H$315,$J$314:$J$316)</f>
        <v>2</v>
      </c>
      <c r="K332" t="s">
        <v>1980</v>
      </c>
      <c r="L332" s="207" t="s">
        <v>2389</v>
      </c>
    </row>
    <row r="333" spans="5:12" ht="12.75" customHeight="1" x14ac:dyDescent="0.2">
      <c r="E333" s="95">
        <v>3</v>
      </c>
      <c r="L333" s="207"/>
    </row>
    <row r="334" spans="5:12" ht="12.75" customHeight="1" x14ac:dyDescent="0.2">
      <c r="L334" s="87"/>
    </row>
    <row r="335" spans="5:12" ht="21.75" customHeight="1" x14ac:dyDescent="0.2">
      <c r="E335" s="230" t="s">
        <v>2962</v>
      </c>
      <c r="F335" s="230"/>
      <c r="G335" s="230"/>
      <c r="H335" s="230"/>
      <c r="I335" s="230"/>
      <c r="J335" s="230"/>
      <c r="K335" s="5" t="s">
        <v>1785</v>
      </c>
      <c r="L335" s="77"/>
    </row>
    <row r="336" spans="5:12" ht="15" customHeight="1" x14ac:dyDescent="0.2">
      <c r="E336" s="25" cm="1">
        <f t="array" ref="E336:E338">nSet_byJaqKennedy($G$314:$H$315,$J$314:$J$316,FALSE)</f>
        <v>2</v>
      </c>
      <c r="K336" t="s">
        <v>1947</v>
      </c>
      <c r="L336" s="207" t="s">
        <v>2392</v>
      </c>
    </row>
    <row r="337" spans="5:12" ht="12.75" customHeight="1" x14ac:dyDescent="0.2">
      <c r="E337" s="95">
        <v>0</v>
      </c>
      <c r="L337" s="207"/>
    </row>
    <row r="338" spans="5:12" ht="12.75" customHeight="1" x14ac:dyDescent="0.2">
      <c r="E338" s="95">
        <v>3</v>
      </c>
      <c r="L338" s="207"/>
    </row>
    <row r="339" spans="5:12" ht="12.75" customHeight="1" x14ac:dyDescent="0.2">
      <c r="L339" s="87"/>
    </row>
    <row r="340" spans="5:12" ht="38.25" customHeight="1" x14ac:dyDescent="0.2">
      <c r="E340" s="152" t="s">
        <v>1781</v>
      </c>
      <c r="F340" s="152"/>
      <c r="G340" s="152"/>
      <c r="H340" s="152"/>
      <c r="I340" s="152"/>
      <c r="J340" s="152"/>
    </row>
    <row r="341" spans="5:12" ht="25.5" customHeight="1" x14ac:dyDescent="0.2">
      <c r="E341" s="172" t="s">
        <v>1842</v>
      </c>
      <c r="F341" s="173"/>
      <c r="G341" s="173"/>
      <c r="H341" s="173"/>
      <c r="I341" s="173"/>
      <c r="J341" s="174"/>
    </row>
    <row r="342" spans="5:12" ht="12.75" customHeight="1" x14ac:dyDescent="0.2"/>
    <row r="343" spans="5:12" ht="12.75" customHeight="1" x14ac:dyDescent="0.2"/>
  </sheetData>
  <mergeCells count="109">
    <mergeCell ref="L336:L338"/>
    <mergeCell ref="L63:L68"/>
    <mergeCell ref="L74:L78"/>
    <mergeCell ref="L81:L86"/>
    <mergeCell ref="L89:L91"/>
    <mergeCell ref="L115:L116"/>
    <mergeCell ref="L122:L123"/>
    <mergeCell ref="L220:L221"/>
    <mergeCell ref="L287:L288"/>
    <mergeCell ref="E24:J24"/>
    <mergeCell ref="E29:J29"/>
    <mergeCell ref="E35:J35"/>
    <mergeCell ref="E6:L6"/>
    <mergeCell ref="E171:J171"/>
    <mergeCell ref="E174:J174"/>
    <mergeCell ref="E177:J177"/>
    <mergeCell ref="E196:J196"/>
    <mergeCell ref="E199:J199"/>
    <mergeCell ref="E166:L166"/>
    <mergeCell ref="E163:J163"/>
    <mergeCell ref="E167:J167"/>
    <mergeCell ref="E102:J102"/>
    <mergeCell ref="E162:J162"/>
    <mergeCell ref="E161:J161"/>
    <mergeCell ref="E121:J121"/>
    <mergeCell ref="E143:J143"/>
    <mergeCell ref="E146:J146"/>
    <mergeCell ref="E131:J131"/>
    <mergeCell ref="E129:L129"/>
    <mergeCell ref="E101:L101"/>
    <mergeCell ref="E125:J125"/>
    <mergeCell ref="L25:L27"/>
    <mergeCell ref="L30:L33"/>
    <mergeCell ref="L36:L38"/>
    <mergeCell ref="E244:J244"/>
    <mergeCell ref="E255:J255"/>
    <mergeCell ref="E263:J263"/>
    <mergeCell ref="E266:J266"/>
    <mergeCell ref="E211:J211"/>
    <mergeCell ref="E273:L273"/>
    <mergeCell ref="E270:J270"/>
    <mergeCell ref="E149:J149"/>
    <mergeCell ref="E152:J152"/>
    <mergeCell ref="E155:J155"/>
    <mergeCell ref="E158:J158"/>
    <mergeCell ref="E331:J331"/>
    <mergeCell ref="E335:J335"/>
    <mergeCell ref="L245:L253"/>
    <mergeCell ref="L256:L261"/>
    <mergeCell ref="E269:J269"/>
    <mergeCell ref="E301:J301"/>
    <mergeCell ref="E300:J300"/>
    <mergeCell ref="E304:L304"/>
    <mergeCell ref="E305:J305"/>
    <mergeCell ref="E306:J306"/>
    <mergeCell ref="L297:L298"/>
    <mergeCell ref="L321:L322"/>
    <mergeCell ref="L325:L329"/>
    <mergeCell ref="L332:L333"/>
    <mergeCell ref="E286:J286"/>
    <mergeCell ref="E274:J274"/>
    <mergeCell ref="E340:J340"/>
    <mergeCell ref="E341:J341"/>
    <mergeCell ref="E293:J293"/>
    <mergeCell ref="E296:J296"/>
    <mergeCell ref="E320:J320"/>
    <mergeCell ref="E324:J324"/>
    <mergeCell ref="E49:J49"/>
    <mergeCell ref="E180:J180"/>
    <mergeCell ref="E7:J7"/>
    <mergeCell ref="E275:J275"/>
    <mergeCell ref="E223:J223"/>
    <mergeCell ref="E185:J185"/>
    <mergeCell ref="E219:J219"/>
    <mergeCell ref="E40:J40"/>
    <mergeCell ref="E62:J62"/>
    <mergeCell ref="E70:J70"/>
    <mergeCell ref="E290:J290"/>
    <mergeCell ref="E98:J98"/>
    <mergeCell ref="E97:J97"/>
    <mergeCell ref="E96:J96"/>
    <mergeCell ref="E47:L47"/>
    <mergeCell ref="E43:J43"/>
    <mergeCell ref="E44:J44"/>
    <mergeCell ref="E181:J181"/>
    <mergeCell ref="E3:L4"/>
    <mergeCell ref="E130:J130"/>
    <mergeCell ref="E186:J186"/>
    <mergeCell ref="E8:J8"/>
    <mergeCell ref="E48:J48"/>
    <mergeCell ref="E126:J126"/>
    <mergeCell ref="E231:J231"/>
    <mergeCell ref="E230:J230"/>
    <mergeCell ref="E229:L229"/>
    <mergeCell ref="E226:J226"/>
    <mergeCell ref="E209:L209"/>
    <mergeCell ref="E206:J206"/>
    <mergeCell ref="E205:J205"/>
    <mergeCell ref="E184:L184"/>
    <mergeCell ref="E210:J210"/>
    <mergeCell ref="E202:J202"/>
    <mergeCell ref="E168:J168"/>
    <mergeCell ref="E103:J103"/>
    <mergeCell ref="E73:J73"/>
    <mergeCell ref="E80:J80"/>
    <mergeCell ref="E88:J88"/>
    <mergeCell ref="E93:J93"/>
    <mergeCell ref="E114:J114"/>
    <mergeCell ref="E118:J118"/>
  </mergeCells>
  <hyperlinks>
    <hyperlink ref="B2" location="'Start here'!E6" tooltip="back to Start here" display="⌂  CompBot Tutorial" xr:uid="{00000000-0004-0000-1100-000000000000}"/>
    <hyperlink ref="B6" location="'Start here'!E6" display="▸  START" xr:uid="{8F96B29E-95E4-4488-8767-0AA7711F0F9C}"/>
    <hyperlink ref="B7" location="'C1 Your machine'!E6" display="▸  COMMANDS" xr:uid="{F299D114-9688-4B65-A566-9259F6562413}"/>
    <hyperlink ref="B8" location="'Demo maps'!E6" display="▸  DEMO SHEETS" xr:uid="{08E56863-32C3-481E-89FF-3E3046286A01}"/>
    <hyperlink ref="B9" location="'Level 1 Basics'!E6" display="▾  LAMBDAS" xr:uid="{7DF6F913-B105-4572-ADFF-A3D575991157}"/>
    <hyperlink ref="B11" location="'Level 2 Arrays'!E6" display="Level 2 Arrays" xr:uid="{F7CBF3B4-20B5-49E5-AC82-AE6E9555FC7C}"/>
    <hyperlink ref="B12" location="'Level 3 Text'!E6" display="Level 3 Text" xr:uid="{D2AEE789-3CB8-48C4-8DDF-79C4FB879789}"/>
    <hyperlink ref="B13" location="'Level 4 Lookup'!E6" display="Level 4 Lookup" xr:uid="{AA0C8B33-FBDC-41D8-916F-85F76FA9F5AB}"/>
    <hyperlink ref="B14" location="'Level 5 Maps'!E6" display="Level 5 Maps" xr:uid="{57BF8937-327F-4206-8ECF-6F7C2EB19D9F}"/>
    <hyperlink ref="B15" location="'Level 6 Engines'!E6" display="Level 6 Engines" xr:uid="{394D24C0-8599-4C4D-B1AD-532816EA33C7}"/>
    <hyperlink ref="B16" location="'Words'!E6" display="Words" xr:uid="{9BFA6C17-8151-44DC-B738-CF1A65F3E5D4}"/>
    <hyperlink ref="B18" location="'Command cheat sheet'!E6" display="▸  REFERENCE" xr:uid="{6819F2FF-10EB-4E61-ADA1-AFB72A2A8C27}"/>
    <hyperlink ref="B17" location="'I1 The Alves Method'!E6" display="▸  INSIDER" xr:uid="{B5066F64-E6C9-4184-AFC9-019CD045C8B2}"/>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0B6E4F"/>
  </sheetPr>
  <dimension ref="A1:L491"/>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44" customWidth="1"/>
    <col min="2" max="2" width="27" style="44" customWidth="1"/>
    <col min="3" max="3" width="1.5" style="44" customWidth="1"/>
    <col min="4" max="4" width="2.5" customWidth="1"/>
    <col min="5" max="10" width="14.5" customWidth="1"/>
    <col min="11" max="11" width="44" customWidth="1"/>
    <col min="12" max="12" width="46" customWidth="1"/>
  </cols>
  <sheetData>
    <row r="1" spans="2:12" ht="12.75" x14ac:dyDescent="0.2"/>
    <row r="2" spans="2:12" ht="30" customHeight="1" x14ac:dyDescent="0.3">
      <c r="B2" s="45" t="s">
        <v>0</v>
      </c>
      <c r="E2" s="3" t="s">
        <v>970</v>
      </c>
    </row>
    <row r="3" spans="2:12" ht="15" customHeight="1" x14ac:dyDescent="0.2">
      <c r="B3" s="46" t="s">
        <v>2</v>
      </c>
      <c r="E3" s="147" t="s">
        <v>971</v>
      </c>
      <c r="F3" s="148"/>
      <c r="G3" s="148"/>
      <c r="H3" s="148"/>
      <c r="I3" s="148"/>
      <c r="J3" s="148"/>
      <c r="K3" s="148"/>
      <c r="L3" s="148"/>
    </row>
    <row r="4" spans="2:12" ht="15" customHeight="1" x14ac:dyDescent="0.2">
      <c r="E4" s="148"/>
      <c r="F4" s="148"/>
      <c r="G4" s="148"/>
      <c r="H4" s="148"/>
      <c r="I4" s="148"/>
      <c r="J4" s="148"/>
      <c r="K4" s="148"/>
      <c r="L4" s="148"/>
    </row>
    <row r="5" spans="2:12" ht="12.75" x14ac:dyDescent="0.2"/>
    <row r="6" spans="2:12" ht="15.75" customHeight="1" x14ac:dyDescent="0.2">
      <c r="B6" s="112" t="s">
        <v>315</v>
      </c>
      <c r="E6" s="159" t="s">
        <v>972</v>
      </c>
      <c r="F6" s="159"/>
      <c r="G6" s="159"/>
      <c r="H6" s="159"/>
      <c r="I6" s="159"/>
      <c r="J6" s="159"/>
      <c r="K6" s="159"/>
      <c r="L6" s="159"/>
    </row>
    <row r="7" spans="2:12" ht="15" customHeight="1" x14ac:dyDescent="0.2">
      <c r="B7" s="112" t="s">
        <v>10</v>
      </c>
      <c r="E7" s="152" t="s">
        <v>973</v>
      </c>
      <c r="F7" s="148"/>
      <c r="G7" s="148"/>
      <c r="H7" s="148"/>
      <c r="I7" s="148"/>
      <c r="J7" s="148"/>
    </row>
    <row r="8" spans="2:12" ht="15" customHeight="1" x14ac:dyDescent="0.2">
      <c r="B8" s="112" t="s">
        <v>11</v>
      </c>
      <c r="E8" s="147" t="s">
        <v>974</v>
      </c>
      <c r="F8" s="148"/>
      <c r="G8" s="148"/>
      <c r="H8" s="148"/>
      <c r="I8" s="148"/>
      <c r="J8" s="148"/>
    </row>
    <row r="9" spans="2:12" ht="12.75" customHeight="1" x14ac:dyDescent="0.2">
      <c r="B9" s="112" t="s">
        <v>856</v>
      </c>
    </row>
    <row r="10" spans="2:12" ht="12.75" customHeight="1" x14ac:dyDescent="0.2">
      <c r="B10" s="91" t="s">
        <v>56</v>
      </c>
      <c r="E10" s="22" t="s">
        <v>2466</v>
      </c>
    </row>
    <row r="11" spans="2:12" ht="15" customHeight="1" x14ac:dyDescent="0.2">
      <c r="B11" s="90" t="s">
        <v>58</v>
      </c>
      <c r="E11" s="94" t="s">
        <v>665</v>
      </c>
      <c r="G11" s="94" t="s">
        <v>665</v>
      </c>
      <c r="H11" s="94" t="s">
        <v>666</v>
      </c>
      <c r="I11" s="94" t="s">
        <v>665</v>
      </c>
      <c r="J11" s="94" t="s">
        <v>667</v>
      </c>
    </row>
    <row r="12" spans="2:12" ht="15" customHeight="1" x14ac:dyDescent="0.2">
      <c r="B12" s="91" t="s">
        <v>3181</v>
      </c>
      <c r="E12" s="94" t="s">
        <v>666</v>
      </c>
    </row>
    <row r="13" spans="2:12" ht="15" customHeight="1" x14ac:dyDescent="0.2">
      <c r="B13" s="91" t="s">
        <v>3182</v>
      </c>
      <c r="E13" s="94" t="s">
        <v>665</v>
      </c>
    </row>
    <row r="14" spans="2:12" ht="15" customHeight="1" x14ac:dyDescent="0.2">
      <c r="B14" s="91" t="s">
        <v>3179</v>
      </c>
      <c r="E14" s="94" t="s">
        <v>667</v>
      </c>
    </row>
    <row r="15" spans="2:12" ht="15" customHeight="1" x14ac:dyDescent="0.2">
      <c r="B15" s="91" t="s">
        <v>3180</v>
      </c>
    </row>
    <row r="16" spans="2:12" ht="12.75" customHeight="1" x14ac:dyDescent="0.2">
      <c r="B16" s="91" t="s">
        <v>54</v>
      </c>
      <c r="E16" s="22" t="s">
        <v>2334</v>
      </c>
      <c r="K16" s="24" t="s">
        <v>2335</v>
      </c>
      <c r="L16" s="24" t="s">
        <v>2336</v>
      </c>
    </row>
    <row r="17" spans="2:12" ht="15" customHeight="1" x14ac:dyDescent="0.2">
      <c r="B17" s="112" t="s">
        <v>3407</v>
      </c>
      <c r="E17" s="230" t="s">
        <v>2468</v>
      </c>
      <c r="F17" s="209"/>
      <c r="G17" s="209"/>
      <c r="H17" s="209"/>
      <c r="I17" s="209"/>
      <c r="J17" s="209"/>
      <c r="K17" s="5" t="s">
        <v>1448</v>
      </c>
      <c r="L17" s="77"/>
    </row>
    <row r="18" spans="2:12" ht="15" customHeight="1" x14ac:dyDescent="0.2">
      <c r="B18" s="112" t="s">
        <v>14</v>
      </c>
      <c r="E18" s="25" t="str" cm="1">
        <f t="array" ref="E18:E20">ExactUnique_byHadynWiseman($E$11:$E$14)</f>
        <v>a</v>
      </c>
      <c r="K18" t="s">
        <v>1947</v>
      </c>
      <c r="L18" s="207" t="s">
        <v>2393</v>
      </c>
    </row>
    <row r="19" spans="2:12" ht="12.75" customHeight="1" x14ac:dyDescent="0.2">
      <c r="B19" s="111"/>
      <c r="E19" s="95" t="str">
        <v>b</v>
      </c>
      <c r="L19" s="207"/>
    </row>
    <row r="20" spans="2:12" ht="12.75" customHeight="1" x14ac:dyDescent="0.2">
      <c r="B20" s="110"/>
      <c r="E20" s="95" t="str">
        <v>c</v>
      </c>
      <c r="L20" s="207"/>
    </row>
    <row r="21" spans="2:12" ht="12.75" customHeight="1" x14ac:dyDescent="0.2">
      <c r="B21" s="110"/>
      <c r="L21" s="87"/>
    </row>
    <row r="22" spans="2:12" ht="32.25" customHeight="1" x14ac:dyDescent="0.2">
      <c r="B22" s="110"/>
      <c r="E22" s="230" t="s">
        <v>2469</v>
      </c>
      <c r="F22" s="209"/>
      <c r="G22" s="209"/>
      <c r="H22" s="209"/>
      <c r="I22" s="209"/>
      <c r="J22" s="209"/>
      <c r="K22" s="5" t="s">
        <v>975</v>
      </c>
      <c r="L22" s="77"/>
    </row>
    <row r="23" spans="2:12" ht="15" customHeight="1" x14ac:dyDescent="0.2">
      <c r="B23" s="110"/>
      <c r="E23" s="25" t="str" cm="1">
        <f t="array" ref="E23:E24">ExactUnique_byHadynWiseman($E$11:$E$14,,1)</f>
        <v>b</v>
      </c>
      <c r="K23" t="s">
        <v>1980</v>
      </c>
      <c r="L23" s="207" t="s">
        <v>2394</v>
      </c>
    </row>
    <row r="24" spans="2:12" ht="12.75" customHeight="1" x14ac:dyDescent="0.2">
      <c r="B24" s="110"/>
      <c r="E24" s="95" t="str">
        <v>c</v>
      </c>
      <c r="L24" s="207"/>
    </row>
    <row r="25" spans="2:12" ht="12.75" customHeight="1" x14ac:dyDescent="0.2">
      <c r="B25" s="110"/>
      <c r="L25" s="87"/>
    </row>
    <row r="26" spans="2:12" ht="21.75" customHeight="1" x14ac:dyDescent="0.2">
      <c r="B26" s="110"/>
      <c r="E26" s="230" t="s">
        <v>2470</v>
      </c>
      <c r="F26" s="209"/>
      <c r="G26" s="209"/>
      <c r="H26" s="209"/>
      <c r="I26" s="209"/>
      <c r="J26" s="209"/>
      <c r="K26" s="5" t="s">
        <v>976</v>
      </c>
      <c r="L26" s="77" t="s">
        <v>2395</v>
      </c>
    </row>
    <row r="27" spans="2:12" ht="15" customHeight="1" x14ac:dyDescent="0.2">
      <c r="B27" s="110"/>
      <c r="E27" s="25" t="str" cm="1">
        <f t="array" ref="E27:F27">ExactUnique_byHadynWiseman($G$11:$J$11,1,1)</f>
        <v>b</v>
      </c>
      <c r="F27" s="96" t="str">
        <v>c</v>
      </c>
      <c r="K27" t="s">
        <v>2093</v>
      </c>
      <c r="L27" s="77"/>
    </row>
    <row r="28" spans="2:12" ht="12.75" customHeight="1" x14ac:dyDescent="0.2">
      <c r="B28" s="110"/>
      <c r="L28" s="87"/>
    </row>
    <row r="29" spans="2:12" ht="25.5" customHeight="1" x14ac:dyDescent="0.2">
      <c r="B29" s="110"/>
      <c r="E29" s="152" t="s">
        <v>977</v>
      </c>
      <c r="F29" s="152"/>
      <c r="G29" s="152"/>
      <c r="H29" s="152"/>
      <c r="I29" s="152"/>
      <c r="J29" s="152"/>
    </row>
    <row r="30" spans="2:12" ht="12.75" customHeight="1" x14ac:dyDescent="0.2">
      <c r="B30" s="110"/>
    </row>
    <row r="31" spans="2:12" ht="12.75" customHeight="1" x14ac:dyDescent="0.2">
      <c r="B31" s="110"/>
    </row>
    <row r="32" spans="2:12" ht="15.75" customHeight="1" x14ac:dyDescent="0.2">
      <c r="B32" s="110"/>
      <c r="E32" s="159" t="s">
        <v>978</v>
      </c>
      <c r="F32" s="159"/>
      <c r="G32" s="159"/>
      <c r="H32" s="159"/>
      <c r="I32" s="159"/>
      <c r="J32" s="159"/>
      <c r="K32" s="159"/>
      <c r="L32" s="159"/>
    </row>
    <row r="33" spans="2:12" ht="15" customHeight="1" x14ac:dyDescent="0.2">
      <c r="B33" s="110"/>
      <c r="E33" s="152" t="s">
        <v>979</v>
      </c>
      <c r="F33" s="149"/>
      <c r="G33" s="149"/>
      <c r="H33" s="149"/>
      <c r="I33" s="149"/>
      <c r="J33" s="149"/>
    </row>
    <row r="34" spans="2:12" ht="15" customHeight="1" x14ac:dyDescent="0.2">
      <c r="B34" s="110"/>
      <c r="E34" s="147" t="s">
        <v>980</v>
      </c>
      <c r="F34" s="149"/>
      <c r="G34" s="149"/>
      <c r="H34" s="149"/>
      <c r="I34" s="149"/>
      <c r="J34" s="149"/>
    </row>
    <row r="35" spans="2:12" ht="12.75" customHeight="1" x14ac:dyDescent="0.2">
      <c r="B35" s="110"/>
    </row>
    <row r="36" spans="2:12" ht="12.75" customHeight="1" x14ac:dyDescent="0.2">
      <c r="B36" s="110"/>
      <c r="E36" s="22" t="s">
        <v>2466</v>
      </c>
    </row>
    <row r="37" spans="2:12" ht="15" customHeight="1" x14ac:dyDescent="0.2">
      <c r="B37" s="110"/>
      <c r="E37" s="94" t="s">
        <v>665</v>
      </c>
      <c r="G37" s="94">
        <v>5</v>
      </c>
    </row>
    <row r="38" spans="2:12" ht="15" customHeight="1" x14ac:dyDescent="0.2">
      <c r="B38" s="110"/>
      <c r="E38" s="94" t="s">
        <v>666</v>
      </c>
      <c r="G38" s="94">
        <v>5</v>
      </c>
    </row>
    <row r="39" spans="2:12" ht="15" customHeight="1" x14ac:dyDescent="0.2">
      <c r="B39" s="110"/>
      <c r="E39" s="94" t="s">
        <v>665</v>
      </c>
      <c r="G39" s="94">
        <v>7</v>
      </c>
    </row>
    <row r="40" spans="2:12" ht="15" customHeight="1" x14ac:dyDescent="0.2">
      <c r="B40" s="110"/>
      <c r="E40" s="94" t="s">
        <v>665</v>
      </c>
      <c r="G40" s="94">
        <v>5</v>
      </c>
    </row>
    <row r="41" spans="2:12" ht="15" customHeight="1" x14ac:dyDescent="0.2">
      <c r="B41" s="110"/>
    </row>
    <row r="42" spans="2:12" ht="12.75" customHeight="1" x14ac:dyDescent="0.2">
      <c r="B42" s="110"/>
      <c r="E42" s="22" t="s">
        <v>2334</v>
      </c>
      <c r="K42" s="24" t="s">
        <v>2335</v>
      </c>
      <c r="L42" s="24" t="s">
        <v>2336</v>
      </c>
    </row>
    <row r="43" spans="2:12" ht="21.75" customHeight="1" x14ac:dyDescent="0.2">
      <c r="B43" s="110"/>
      <c r="E43" s="230" t="s">
        <v>2739</v>
      </c>
      <c r="F43" s="209"/>
      <c r="G43" s="209"/>
      <c r="H43" s="209"/>
      <c r="I43" s="209"/>
      <c r="J43" s="209"/>
      <c r="K43" s="5" t="s">
        <v>981</v>
      </c>
      <c r="L43" s="77"/>
    </row>
    <row r="44" spans="2:12" ht="15" customHeight="1" x14ac:dyDescent="0.2">
      <c r="B44" s="110"/>
      <c r="E44" s="25" cm="1">
        <f t="array" ref="E44:E47">RunningCount_byHadynWiseman($E$37:$E$40)</f>
        <v>1</v>
      </c>
      <c r="K44" t="s">
        <v>1973</v>
      </c>
      <c r="L44" s="207" t="s">
        <v>2396</v>
      </c>
    </row>
    <row r="45" spans="2:12" ht="12.75" customHeight="1" x14ac:dyDescent="0.2">
      <c r="B45" s="110"/>
      <c r="E45" s="95">
        <v>1</v>
      </c>
      <c r="L45" s="207"/>
    </row>
    <row r="46" spans="2:12" ht="12.75" customHeight="1" x14ac:dyDescent="0.2">
      <c r="B46" s="110"/>
      <c r="E46" s="95">
        <v>2</v>
      </c>
      <c r="L46" s="207"/>
    </row>
    <row r="47" spans="2:12" ht="12.75" customHeight="1" x14ac:dyDescent="0.2">
      <c r="E47" s="95">
        <v>3</v>
      </c>
      <c r="L47" s="207"/>
    </row>
    <row r="48" spans="2:12" ht="12.75" customHeight="1" x14ac:dyDescent="0.2">
      <c r="L48" s="87"/>
    </row>
    <row r="49" spans="5:12" ht="15" customHeight="1" x14ac:dyDescent="0.2">
      <c r="E49" s="230" t="s">
        <v>2740</v>
      </c>
      <c r="F49" s="209"/>
      <c r="G49" s="209"/>
      <c r="H49" s="209"/>
      <c r="I49" s="209"/>
      <c r="J49" s="209"/>
      <c r="K49" s="5" t="s">
        <v>982</v>
      </c>
      <c r="L49" s="77"/>
    </row>
    <row r="50" spans="5:12" ht="15" customHeight="1" x14ac:dyDescent="0.2">
      <c r="E50" s="25" cm="1">
        <f t="array" ref="E50:E53">RunningCount_byHadynWiseman($G$37:$G$40)</f>
        <v>1</v>
      </c>
      <c r="K50" t="s">
        <v>1973</v>
      </c>
      <c r="L50" s="207" t="s">
        <v>2397</v>
      </c>
    </row>
    <row r="51" spans="5:12" ht="12.75" customHeight="1" x14ac:dyDescent="0.2">
      <c r="E51" s="95">
        <v>2</v>
      </c>
      <c r="L51" s="207"/>
    </row>
    <row r="52" spans="5:12" ht="12.75" customHeight="1" x14ac:dyDescent="0.2">
      <c r="E52" s="95">
        <v>1</v>
      </c>
      <c r="L52" s="207"/>
    </row>
    <row r="53" spans="5:12" ht="12.75" customHeight="1" x14ac:dyDescent="0.2">
      <c r="E53" s="95">
        <v>3</v>
      </c>
      <c r="L53" s="207"/>
    </row>
    <row r="54" spans="5:12" ht="12.75" customHeight="1" x14ac:dyDescent="0.2">
      <c r="L54" s="87"/>
    </row>
    <row r="55" spans="5:12" ht="38.25" customHeight="1" x14ac:dyDescent="0.2">
      <c r="E55" s="152" t="s">
        <v>983</v>
      </c>
      <c r="F55" s="152"/>
      <c r="G55" s="152"/>
      <c r="H55" s="152"/>
      <c r="I55" s="152"/>
      <c r="J55" s="152"/>
    </row>
    <row r="56" spans="5:12" ht="25.5" customHeight="1" x14ac:dyDescent="0.2">
      <c r="E56" s="172" t="s">
        <v>1843</v>
      </c>
      <c r="F56" s="173"/>
      <c r="G56" s="173"/>
      <c r="H56" s="173"/>
      <c r="I56" s="173"/>
      <c r="J56" s="174"/>
    </row>
    <row r="57" spans="5:12" ht="12.75" customHeight="1" x14ac:dyDescent="0.2"/>
    <row r="58" spans="5:12" ht="12.75" customHeight="1" x14ac:dyDescent="0.2"/>
    <row r="59" spans="5:12" ht="15.75" customHeight="1" x14ac:dyDescent="0.2">
      <c r="E59" s="159" t="s">
        <v>2338</v>
      </c>
      <c r="F59" s="159"/>
      <c r="G59" s="159"/>
      <c r="H59" s="159"/>
      <c r="I59" s="159"/>
      <c r="J59" s="159"/>
      <c r="K59" s="159"/>
      <c r="L59" s="159"/>
    </row>
    <row r="60" spans="5:12" ht="15" customHeight="1" x14ac:dyDescent="0.2">
      <c r="E60" s="152" t="s">
        <v>2339</v>
      </c>
      <c r="F60" s="149"/>
      <c r="G60" s="149"/>
      <c r="H60" s="149"/>
      <c r="I60" s="149"/>
      <c r="J60" s="149"/>
    </row>
    <row r="61" spans="5:12" ht="15" customHeight="1" x14ac:dyDescent="0.2">
      <c r="E61" s="147" t="s">
        <v>984</v>
      </c>
      <c r="F61" s="149"/>
      <c r="G61" s="149"/>
      <c r="H61" s="149"/>
      <c r="I61" s="149"/>
      <c r="J61" s="149"/>
    </row>
    <row r="62" spans="5:12" ht="12.75" customHeight="1" x14ac:dyDescent="0.2"/>
    <row r="63" spans="5:12" ht="12.75" customHeight="1" x14ac:dyDescent="0.2">
      <c r="E63" s="22" t="s">
        <v>2341</v>
      </c>
    </row>
    <row r="64" spans="5:12" ht="12.75" customHeight="1" x14ac:dyDescent="0.2">
      <c r="E64" s="93" t="s">
        <v>2342</v>
      </c>
      <c r="F64" s="93" t="s">
        <v>2343</v>
      </c>
      <c r="G64" s="93" t="s">
        <v>2344</v>
      </c>
    </row>
    <row r="65" spans="5:12" ht="15" customHeight="1" x14ac:dyDescent="0.2">
      <c r="E65" s="94">
        <v>1</v>
      </c>
      <c r="F65" s="94">
        <v>2</v>
      </c>
      <c r="G65" s="94">
        <v>3</v>
      </c>
    </row>
    <row r="66" spans="5:12" ht="15" customHeight="1" x14ac:dyDescent="0.2">
      <c r="E66" s="94">
        <v>4</v>
      </c>
      <c r="F66" s="94">
        <v>5</v>
      </c>
      <c r="G66" s="94">
        <v>6</v>
      </c>
    </row>
    <row r="67" spans="5:12" ht="12.75" customHeight="1" x14ac:dyDescent="0.2"/>
    <row r="68" spans="5:12" ht="12.75" customHeight="1" x14ac:dyDescent="0.2">
      <c r="E68" s="22" t="s">
        <v>2465</v>
      </c>
    </row>
    <row r="69" spans="5:12" ht="15" customHeight="1" x14ac:dyDescent="0.2">
      <c r="E69" s="94">
        <v>1</v>
      </c>
      <c r="F69" s="94">
        <v>3</v>
      </c>
    </row>
    <row r="71" spans="5:12" ht="12.75" customHeight="1" x14ac:dyDescent="0.2">
      <c r="E71" s="22" t="s">
        <v>2334</v>
      </c>
      <c r="K71" s="24" t="s">
        <v>2335</v>
      </c>
      <c r="L71" s="24" t="s">
        <v>2336</v>
      </c>
    </row>
    <row r="72" spans="5:12" ht="15" customHeight="1" x14ac:dyDescent="0.2">
      <c r="E72" s="230" t="s">
        <v>2741</v>
      </c>
      <c r="F72" s="148"/>
      <c r="G72" s="148"/>
      <c r="H72" s="148"/>
      <c r="I72" s="148"/>
      <c r="J72" s="148"/>
      <c r="K72" s="5" t="s">
        <v>2345</v>
      </c>
      <c r="L72" s="77"/>
    </row>
    <row r="73" spans="5:12" ht="15" customHeight="1" x14ac:dyDescent="0.2">
      <c r="E73" s="25" cm="1">
        <f t="array" ref="E73:F74">ExcludeCols_byHadynWiseman($E$65:$G$66,2)</f>
        <v>1</v>
      </c>
      <c r="F73" s="96">
        <v>3</v>
      </c>
      <c r="K73" t="s">
        <v>1981</v>
      </c>
      <c r="L73" s="207" t="s">
        <v>2347</v>
      </c>
    </row>
    <row r="74" spans="5:12" ht="12.75" customHeight="1" x14ac:dyDescent="0.2">
      <c r="E74" s="95">
        <v>4</v>
      </c>
      <c r="F74" s="96">
        <v>6</v>
      </c>
      <c r="L74" s="207"/>
    </row>
    <row r="75" spans="5:12" ht="12.75" customHeight="1" x14ac:dyDescent="0.2">
      <c r="L75" s="87"/>
    </row>
    <row r="76" spans="5:12" ht="15" customHeight="1" x14ac:dyDescent="0.2">
      <c r="E76" s="230" t="s">
        <v>2742</v>
      </c>
      <c r="F76" s="148"/>
      <c r="G76" s="148"/>
      <c r="H76" s="148"/>
      <c r="I76" s="148"/>
      <c r="J76" s="148"/>
      <c r="K76" s="5" t="s">
        <v>2346</v>
      </c>
      <c r="L76" s="77"/>
    </row>
    <row r="77" spans="5:12" ht="15" customHeight="1" x14ac:dyDescent="0.2">
      <c r="E77" s="25" cm="1">
        <f t="array" ref="E77:E78">ExcludeCols_byHadynWiseman($E$65:$G$66,$E$69:$F$69)</f>
        <v>2</v>
      </c>
      <c r="K77" t="s">
        <v>1980</v>
      </c>
      <c r="L77" s="207" t="s">
        <v>2348</v>
      </c>
    </row>
    <row r="78" spans="5:12" ht="12.75" customHeight="1" x14ac:dyDescent="0.2">
      <c r="E78" s="95">
        <v>5</v>
      </c>
      <c r="L78" s="207"/>
    </row>
    <row r="79" spans="5:12" ht="12.75" customHeight="1" x14ac:dyDescent="0.2">
      <c r="L79" s="87"/>
    </row>
    <row r="80" spans="5:12" ht="38.25" customHeight="1" x14ac:dyDescent="0.2">
      <c r="E80" s="152" t="s">
        <v>985</v>
      </c>
      <c r="F80" s="152"/>
      <c r="G80" s="152"/>
      <c r="H80" s="152"/>
      <c r="I80" s="152"/>
      <c r="J80" s="152"/>
    </row>
    <row r="81" spans="5:12" ht="15" customHeight="1" x14ac:dyDescent="0.2">
      <c r="E81" s="172" t="s">
        <v>2340</v>
      </c>
      <c r="F81" s="212"/>
      <c r="G81" s="212"/>
      <c r="H81" s="212"/>
      <c r="I81" s="212"/>
      <c r="J81" s="213"/>
    </row>
    <row r="82" spans="5:12" ht="12.75" customHeight="1" x14ac:dyDescent="0.2"/>
    <row r="83" spans="5:12" ht="12.75" customHeight="1" x14ac:dyDescent="0.2"/>
    <row r="84" spans="5:12" ht="15.75" customHeight="1" x14ac:dyDescent="0.2">
      <c r="E84" s="159" t="s">
        <v>986</v>
      </c>
      <c r="F84" s="159"/>
      <c r="G84" s="159"/>
      <c r="H84" s="159"/>
      <c r="I84" s="159"/>
      <c r="J84" s="159"/>
      <c r="K84" s="159"/>
      <c r="L84" s="159"/>
    </row>
    <row r="85" spans="5:12" ht="38.25" customHeight="1" x14ac:dyDescent="0.2">
      <c r="E85" s="152" t="s">
        <v>1449</v>
      </c>
      <c r="F85" s="152"/>
      <c r="G85" s="152"/>
      <c r="H85" s="152"/>
      <c r="I85" s="152"/>
      <c r="J85" s="152"/>
    </row>
    <row r="86" spans="5:12" ht="21.75" customHeight="1" x14ac:dyDescent="0.2">
      <c r="E86" s="147" t="s">
        <v>987</v>
      </c>
      <c r="F86" s="147"/>
      <c r="G86" s="147"/>
      <c r="H86" s="147"/>
      <c r="I86" s="147"/>
      <c r="J86" s="147"/>
    </row>
    <row r="87" spans="5:12" ht="12.75" customHeight="1" x14ac:dyDescent="0.2"/>
    <row r="88" spans="5:12" ht="12.75" customHeight="1" x14ac:dyDescent="0.2">
      <c r="E88" s="22" t="s">
        <v>988</v>
      </c>
    </row>
    <row r="89" spans="5:12" ht="12.75" customHeight="1" x14ac:dyDescent="0.2">
      <c r="E89" s="94" t="s">
        <v>665</v>
      </c>
      <c r="F89" s="94">
        <v>0</v>
      </c>
      <c r="G89" s="94" t="s">
        <v>666</v>
      </c>
    </row>
    <row r="90" spans="5:12" ht="12.75" customHeight="1" x14ac:dyDescent="0.2">
      <c r="E90" s="94"/>
      <c r="F90" s="94" t="s">
        <v>667</v>
      </c>
      <c r="G90" s="94" t="s">
        <v>588</v>
      </c>
    </row>
    <row r="91" spans="5:12" ht="12.75" customHeight="1" x14ac:dyDescent="0.2"/>
    <row r="92" spans="5:12" ht="12.75" customHeight="1" x14ac:dyDescent="0.2">
      <c r="E92" s="22" t="s">
        <v>2465</v>
      </c>
    </row>
    <row r="93" spans="5:12" ht="15" customHeight="1" x14ac:dyDescent="0.2">
      <c r="E93" s="94" t="s">
        <v>665</v>
      </c>
      <c r="F93" s="94" t="s">
        <v>666</v>
      </c>
    </row>
    <row r="94" spans="5:12" ht="15" customHeight="1" x14ac:dyDescent="0.2">
      <c r="E94" s="94" t="s">
        <v>667</v>
      </c>
      <c r="F94" s="94" t="s">
        <v>588</v>
      </c>
    </row>
    <row r="96" spans="5:12" ht="12.75" customHeight="1" x14ac:dyDescent="0.2">
      <c r="E96" s="22" t="s">
        <v>2334</v>
      </c>
      <c r="K96" s="24" t="s">
        <v>2335</v>
      </c>
      <c r="L96" s="24" t="s">
        <v>2336</v>
      </c>
    </row>
    <row r="97" spans="5:12" ht="63.75" customHeight="1" x14ac:dyDescent="0.2">
      <c r="E97" s="230" t="s">
        <v>2743</v>
      </c>
      <c r="F97" s="230"/>
      <c r="G97" s="230"/>
      <c r="H97" s="230"/>
      <c r="I97" s="230"/>
      <c r="J97" s="230"/>
      <c r="K97" s="5" t="s">
        <v>1450</v>
      </c>
      <c r="L97" s="77"/>
    </row>
    <row r="98" spans="5:12" ht="15" customHeight="1" x14ac:dyDescent="0.2">
      <c r="E98" s="25" t="str" cm="1">
        <f t="array" ref="E98:I103">GridToCol_byLiannaGerrish($E$89:$G$90)</f>
        <v>Items</v>
      </c>
      <c r="F98" s="96" t="str">
        <v>Row #</v>
      </c>
      <c r="G98" s="96" t="str">
        <v>Column #</v>
      </c>
      <c r="H98" s="96" t="str">
        <v>Address</v>
      </c>
      <c r="I98" s="96" t="str">
        <v>RCRef</v>
      </c>
      <c r="K98" s="78" t="s">
        <v>2099</v>
      </c>
      <c r="L98" s="207" t="s">
        <v>2792</v>
      </c>
    </row>
    <row r="99" spans="5:12" ht="12.75" customHeight="1" x14ac:dyDescent="0.2">
      <c r="E99" s="96" t="str">
        <v>a</v>
      </c>
      <c r="F99" s="96">
        <v>89</v>
      </c>
      <c r="G99" s="96">
        <v>5</v>
      </c>
      <c r="H99" s="96" t="str">
        <v>E89</v>
      </c>
      <c r="I99" s="96">
        <v>89000005</v>
      </c>
      <c r="L99" s="207"/>
    </row>
    <row r="100" spans="5:12" ht="12.75" customHeight="1" x14ac:dyDescent="0.2">
      <c r="E100" s="96">
        <v>0</v>
      </c>
      <c r="F100" s="96">
        <v>89</v>
      </c>
      <c r="G100" s="96">
        <v>6</v>
      </c>
      <c r="H100" s="96" t="str">
        <v>F89</v>
      </c>
      <c r="I100" s="96">
        <v>89000006</v>
      </c>
      <c r="L100" s="207"/>
    </row>
    <row r="101" spans="5:12" ht="12.75" customHeight="1" x14ac:dyDescent="0.2">
      <c r="E101" s="96" t="str">
        <v>b</v>
      </c>
      <c r="F101" s="96">
        <v>89</v>
      </c>
      <c r="G101" s="96">
        <v>7</v>
      </c>
      <c r="H101" s="96" t="str">
        <v>G89</v>
      </c>
      <c r="I101" s="96">
        <v>89000007</v>
      </c>
      <c r="L101" s="207"/>
    </row>
    <row r="102" spans="5:12" ht="12.75" customHeight="1" x14ac:dyDescent="0.2">
      <c r="E102" s="96" t="str">
        <v>c</v>
      </c>
      <c r="F102" s="96">
        <v>90</v>
      </c>
      <c r="G102" s="96">
        <v>6</v>
      </c>
      <c r="H102" s="96" t="str">
        <v>F90</v>
      </c>
      <c r="I102" s="96">
        <v>90000006</v>
      </c>
      <c r="L102" s="207"/>
    </row>
    <row r="103" spans="5:12" ht="12.75" customHeight="1" x14ac:dyDescent="0.2">
      <c r="E103" s="96" t="str">
        <v>d</v>
      </c>
      <c r="F103" s="96">
        <v>90</v>
      </c>
      <c r="G103" s="96">
        <v>7</v>
      </c>
      <c r="H103" s="96" t="str">
        <v>G90</v>
      </c>
      <c r="I103" s="96">
        <v>90000007</v>
      </c>
      <c r="L103" s="207"/>
    </row>
    <row r="104" spans="5:12" ht="12.75" customHeight="1" x14ac:dyDescent="0.2">
      <c r="L104" s="87"/>
    </row>
    <row r="105" spans="5:12" ht="32.25" customHeight="1" x14ac:dyDescent="0.2">
      <c r="E105" s="230" t="s">
        <v>2744</v>
      </c>
      <c r="F105" s="230"/>
      <c r="G105" s="230"/>
      <c r="H105" s="230"/>
      <c r="I105" s="230"/>
      <c r="J105" s="230"/>
      <c r="K105" s="5" t="s">
        <v>1451</v>
      </c>
      <c r="L105" s="77"/>
    </row>
    <row r="106" spans="5:12" ht="15" customHeight="1" x14ac:dyDescent="0.2">
      <c r="E106" s="25" t="str" cm="1">
        <f t="array" ref="E106:F111">GridToCol_byLiannaGerrish($E$89:$G$90,1)</f>
        <v>Items</v>
      </c>
      <c r="F106" s="96" t="str">
        <v>Address</v>
      </c>
      <c r="K106" s="78" t="s">
        <v>2100</v>
      </c>
      <c r="L106" s="207" t="s">
        <v>2745</v>
      </c>
    </row>
    <row r="107" spans="5:12" ht="12.75" customHeight="1" x14ac:dyDescent="0.2">
      <c r="E107" s="96" t="str">
        <v>a</v>
      </c>
      <c r="F107" s="96" t="str">
        <v>E89</v>
      </c>
      <c r="L107" s="207"/>
    </row>
    <row r="108" spans="5:12" ht="12.75" customHeight="1" x14ac:dyDescent="0.2">
      <c r="E108" s="96">
        <v>0</v>
      </c>
      <c r="F108" s="96" t="str">
        <v>F89</v>
      </c>
      <c r="L108" s="207"/>
    </row>
    <row r="109" spans="5:12" ht="12.75" customHeight="1" x14ac:dyDescent="0.2">
      <c r="E109" s="96" t="str">
        <v>b</v>
      </c>
      <c r="F109" s="96" t="str">
        <v>G89</v>
      </c>
      <c r="L109" s="207"/>
    </row>
    <row r="110" spans="5:12" ht="12.75" customHeight="1" x14ac:dyDescent="0.2">
      <c r="E110" s="96" t="str">
        <v>c</v>
      </c>
      <c r="F110" s="96" t="str">
        <v>F90</v>
      </c>
      <c r="L110" s="207"/>
    </row>
    <row r="111" spans="5:12" ht="12.75" customHeight="1" x14ac:dyDescent="0.2">
      <c r="E111" s="96" t="str">
        <v>d</v>
      </c>
      <c r="F111" s="96" t="str">
        <v>G90</v>
      </c>
      <c r="L111" s="207"/>
    </row>
    <row r="112" spans="5:12" ht="12.75" customHeight="1" x14ac:dyDescent="0.2">
      <c r="L112" s="87"/>
    </row>
    <row r="113" spans="5:12" ht="32.25" customHeight="1" x14ac:dyDescent="0.2">
      <c r="E113" s="230" t="s">
        <v>2746</v>
      </c>
      <c r="F113" s="230"/>
      <c r="G113" s="230"/>
      <c r="H113" s="230"/>
      <c r="I113" s="230"/>
      <c r="J113" s="230"/>
      <c r="K113" s="5" t="s">
        <v>1452</v>
      </c>
      <c r="L113" s="77"/>
    </row>
    <row r="114" spans="5:12" ht="15" customHeight="1" x14ac:dyDescent="0.2">
      <c r="E114" s="25" t="str" cm="1">
        <f t="array" ref="E114:G119">GridToCol_byLiannaGerrish($E$89:$G$90,,1)</f>
        <v>Items</v>
      </c>
      <c r="F114" s="96" t="str">
        <v>Row #</v>
      </c>
      <c r="G114" s="96" t="str">
        <v>Column #</v>
      </c>
      <c r="K114" s="78" t="s">
        <v>2101</v>
      </c>
      <c r="L114" s="207" t="s">
        <v>2793</v>
      </c>
    </row>
    <row r="115" spans="5:12" ht="12.75" customHeight="1" x14ac:dyDescent="0.2">
      <c r="E115" s="96" t="str">
        <v>a</v>
      </c>
      <c r="F115" s="96">
        <v>89</v>
      </c>
      <c r="G115" s="96">
        <v>5</v>
      </c>
      <c r="L115" s="207"/>
    </row>
    <row r="116" spans="5:12" ht="12.75" customHeight="1" x14ac:dyDescent="0.2">
      <c r="E116" s="96">
        <v>0</v>
      </c>
      <c r="F116" s="96">
        <v>89</v>
      </c>
      <c r="G116" s="96">
        <v>6</v>
      </c>
      <c r="L116" s="207"/>
    </row>
    <row r="117" spans="5:12" ht="12.75" customHeight="1" x14ac:dyDescent="0.2">
      <c r="E117" s="96" t="str">
        <v>b</v>
      </c>
      <c r="F117" s="96">
        <v>89</v>
      </c>
      <c r="G117" s="96">
        <v>7</v>
      </c>
      <c r="L117" s="207"/>
    </row>
    <row r="118" spans="5:12" ht="12.75" customHeight="1" x14ac:dyDescent="0.2">
      <c r="E118" s="96" t="str">
        <v>c</v>
      </c>
      <c r="F118" s="96">
        <v>90</v>
      </c>
      <c r="G118" s="96">
        <v>6</v>
      </c>
      <c r="L118" s="207"/>
    </row>
    <row r="119" spans="5:12" ht="12.75" customHeight="1" x14ac:dyDescent="0.2">
      <c r="E119" s="96" t="str">
        <v>d</v>
      </c>
      <c r="F119" s="96">
        <v>90</v>
      </c>
      <c r="G119" s="96">
        <v>7</v>
      </c>
      <c r="L119" s="207"/>
    </row>
    <row r="120" spans="5:12" ht="12.75" customHeight="1" x14ac:dyDescent="0.2">
      <c r="L120" s="87"/>
    </row>
    <row r="121" spans="5:12" ht="21.75" customHeight="1" x14ac:dyDescent="0.2">
      <c r="E121" s="230" t="s">
        <v>2747</v>
      </c>
      <c r="F121" s="230"/>
      <c r="G121" s="230"/>
      <c r="H121" s="230"/>
      <c r="I121" s="230"/>
      <c r="J121" s="230"/>
      <c r="K121" s="5" t="s">
        <v>1453</v>
      </c>
      <c r="L121" s="77"/>
    </row>
    <row r="122" spans="5:12" ht="15" customHeight="1" x14ac:dyDescent="0.2">
      <c r="E122" s="25" t="str" cm="1">
        <f t="array" ref="E122:F127">GridToCol_byLiannaGerrish($E$89:$G$90,,,1)</f>
        <v>Items</v>
      </c>
      <c r="F122" s="96" t="str">
        <v>RCRef</v>
      </c>
      <c r="K122" s="78" t="s">
        <v>2100</v>
      </c>
      <c r="L122" s="207" t="s">
        <v>2794</v>
      </c>
    </row>
    <row r="123" spans="5:12" ht="12.75" customHeight="1" x14ac:dyDescent="0.2">
      <c r="E123" s="96" t="str">
        <v>a</v>
      </c>
      <c r="F123" s="96">
        <v>89000005</v>
      </c>
      <c r="L123" s="207"/>
    </row>
    <row r="124" spans="5:12" ht="12.75" customHeight="1" x14ac:dyDescent="0.2">
      <c r="E124" s="96">
        <v>0</v>
      </c>
      <c r="F124" s="96">
        <v>89000006</v>
      </c>
      <c r="L124" s="207"/>
    </row>
    <row r="125" spans="5:12" ht="12.75" customHeight="1" x14ac:dyDescent="0.2">
      <c r="E125" s="96" t="str">
        <v>b</v>
      </c>
      <c r="F125" s="96">
        <v>89000007</v>
      </c>
      <c r="L125" s="207"/>
    </row>
    <row r="126" spans="5:12" ht="12.75" customHeight="1" x14ac:dyDescent="0.2">
      <c r="E126" s="96" t="str">
        <v>c</v>
      </c>
      <c r="F126" s="96">
        <v>90000006</v>
      </c>
      <c r="L126" s="207"/>
    </row>
    <row r="127" spans="5:12" ht="12.75" customHeight="1" x14ac:dyDescent="0.2">
      <c r="E127" s="96" t="str">
        <v>d</v>
      </c>
      <c r="F127" s="96">
        <v>90000007</v>
      </c>
      <c r="L127" s="207"/>
    </row>
    <row r="128" spans="5:12" ht="12.75" customHeight="1" x14ac:dyDescent="0.2">
      <c r="L128" s="87"/>
    </row>
    <row r="129" spans="5:12" ht="32.25" customHeight="1" x14ac:dyDescent="0.2">
      <c r="E129" s="230" t="s">
        <v>2748</v>
      </c>
      <c r="F129" s="230"/>
      <c r="G129" s="230"/>
      <c r="H129" s="230"/>
      <c r="I129" s="230"/>
      <c r="J129" s="230"/>
      <c r="K129" s="5" t="s">
        <v>1454</v>
      </c>
      <c r="L129" s="77"/>
    </row>
    <row r="130" spans="5:12" ht="15" customHeight="1" x14ac:dyDescent="0.2">
      <c r="E130" s="25" t="str" cm="1">
        <f t="array" ref="E130:F135">GridToCol_byLiannaGerrish($E$89:$G$90,0,0,1)</f>
        <v>Items</v>
      </c>
      <c r="F130" s="96" t="str">
        <v>RCRef</v>
      </c>
      <c r="K130" s="78" t="s">
        <v>2100</v>
      </c>
      <c r="L130" s="207" t="s">
        <v>2794</v>
      </c>
    </row>
    <row r="131" spans="5:12" ht="12.75" customHeight="1" x14ac:dyDescent="0.2">
      <c r="E131" s="96" t="str">
        <v>a</v>
      </c>
      <c r="F131" s="96">
        <v>89000005</v>
      </c>
      <c r="L131" s="207"/>
    </row>
    <row r="132" spans="5:12" ht="12.75" customHeight="1" x14ac:dyDescent="0.2">
      <c r="E132" s="96">
        <v>0</v>
      </c>
      <c r="F132" s="96">
        <v>89000006</v>
      </c>
      <c r="L132" s="207"/>
    </row>
    <row r="133" spans="5:12" ht="12.75" customHeight="1" x14ac:dyDescent="0.2">
      <c r="E133" s="96" t="str">
        <v>b</v>
      </c>
      <c r="F133" s="96">
        <v>89000007</v>
      </c>
      <c r="L133" s="207"/>
    </row>
    <row r="134" spans="5:12" ht="12.75" customHeight="1" x14ac:dyDescent="0.2">
      <c r="E134" s="96" t="str">
        <v>c</v>
      </c>
      <c r="F134" s="96">
        <v>90000006</v>
      </c>
      <c r="L134" s="207"/>
    </row>
    <row r="135" spans="5:12" ht="12.75" customHeight="1" x14ac:dyDescent="0.2">
      <c r="E135" s="96" t="str">
        <v>d</v>
      </c>
      <c r="F135" s="96">
        <v>90000007</v>
      </c>
      <c r="L135" s="207"/>
    </row>
    <row r="136" spans="5:12" ht="12.75" customHeight="1" x14ac:dyDescent="0.2">
      <c r="L136" s="87"/>
    </row>
    <row r="137" spans="5:12" ht="32.25" customHeight="1" x14ac:dyDescent="0.2">
      <c r="E137" s="230" t="s">
        <v>2749</v>
      </c>
      <c r="F137" s="230"/>
      <c r="G137" s="230"/>
      <c r="H137" s="230"/>
      <c r="I137" s="230"/>
      <c r="J137" s="230"/>
      <c r="K137" s="5" t="s">
        <v>1455</v>
      </c>
      <c r="L137" s="77"/>
    </row>
    <row r="138" spans="5:12" ht="15" customHeight="1" x14ac:dyDescent="0.2">
      <c r="E138" s="25" t="str" cm="1">
        <f t="array" ref="E138:I143">GridToCol_byLiannaGerrish($E$89:$G$90,,,,1)</f>
        <v>Items</v>
      </c>
      <c r="F138" s="96" t="str">
        <v>Row #</v>
      </c>
      <c r="G138" s="96" t="str">
        <v>Column #</v>
      </c>
      <c r="H138" s="96" t="str">
        <v>Address</v>
      </c>
      <c r="I138" s="96" t="str">
        <v>RCRef</v>
      </c>
      <c r="K138" s="78" t="s">
        <v>2099</v>
      </c>
      <c r="L138" s="207" t="s">
        <v>2795</v>
      </c>
    </row>
    <row r="139" spans="5:12" ht="12.75" customHeight="1" x14ac:dyDescent="0.2">
      <c r="E139" s="96" t="str">
        <v>a</v>
      </c>
      <c r="F139" s="96">
        <v>89</v>
      </c>
      <c r="G139" s="96">
        <v>5</v>
      </c>
      <c r="H139" s="96" t="str">
        <v>E89</v>
      </c>
      <c r="I139" s="96">
        <v>89000005</v>
      </c>
      <c r="L139" s="207"/>
    </row>
    <row r="140" spans="5:12" ht="12.75" customHeight="1" x14ac:dyDescent="0.2">
      <c r="E140" s="96">
        <v>0</v>
      </c>
      <c r="F140" s="96">
        <v>89</v>
      </c>
      <c r="G140" s="96">
        <v>6</v>
      </c>
      <c r="H140" s="96" t="str">
        <v>F89</v>
      </c>
      <c r="I140" s="96">
        <v>89000006</v>
      </c>
      <c r="L140" s="207"/>
    </row>
    <row r="141" spans="5:12" ht="12.75" customHeight="1" x14ac:dyDescent="0.2">
      <c r="E141" s="96" t="str">
        <v>c</v>
      </c>
      <c r="F141" s="96">
        <v>90</v>
      </c>
      <c r="G141" s="96">
        <v>6</v>
      </c>
      <c r="H141" s="96" t="str">
        <v>F90</v>
      </c>
      <c r="I141" s="96">
        <v>90000006</v>
      </c>
      <c r="L141" s="207"/>
    </row>
    <row r="142" spans="5:12" ht="12.75" customHeight="1" x14ac:dyDescent="0.2">
      <c r="E142" s="96" t="str">
        <v>b</v>
      </c>
      <c r="F142" s="96">
        <v>89</v>
      </c>
      <c r="G142" s="96">
        <v>7</v>
      </c>
      <c r="H142" s="96" t="str">
        <v>G89</v>
      </c>
      <c r="I142" s="96">
        <v>89000007</v>
      </c>
      <c r="L142" s="207"/>
    </row>
    <row r="143" spans="5:12" ht="12.75" customHeight="1" x14ac:dyDescent="0.2">
      <c r="E143" s="96" t="str">
        <v>d</v>
      </c>
      <c r="F143" s="96">
        <v>90</v>
      </c>
      <c r="G143" s="96">
        <v>7</v>
      </c>
      <c r="H143" s="96" t="str">
        <v>G90</v>
      </c>
      <c r="I143" s="96">
        <v>90000007</v>
      </c>
      <c r="L143" s="207"/>
    </row>
    <row r="144" spans="5:12" ht="12.75" customHeight="1" x14ac:dyDescent="0.2">
      <c r="L144" s="87"/>
    </row>
    <row r="145" spans="5:12" ht="32.25" customHeight="1" x14ac:dyDescent="0.2">
      <c r="E145" s="230" t="s">
        <v>2750</v>
      </c>
      <c r="F145" s="230"/>
      <c r="G145" s="230"/>
      <c r="H145" s="230"/>
      <c r="I145" s="230"/>
      <c r="J145" s="230"/>
      <c r="K145" s="5" t="s">
        <v>1456</v>
      </c>
      <c r="L145" s="77"/>
    </row>
    <row r="146" spans="5:12" ht="15" customHeight="1" x14ac:dyDescent="0.2">
      <c r="E146" s="25" t="str" cm="1">
        <f t="array" ref="E146:I150">GridToCol_byLiannaGerrish($E$89:$G$90,,,,,1)</f>
        <v>Items</v>
      </c>
      <c r="F146" s="96" t="str">
        <v>Row #</v>
      </c>
      <c r="G146" s="96" t="str">
        <v>Column #</v>
      </c>
      <c r="H146" s="96" t="str">
        <v>Address</v>
      </c>
      <c r="I146" s="96" t="str">
        <v>RCRef</v>
      </c>
      <c r="K146" s="78" t="s">
        <v>1988</v>
      </c>
      <c r="L146" s="207" t="s">
        <v>2796</v>
      </c>
    </row>
    <row r="147" spans="5:12" ht="12.75" customHeight="1" x14ac:dyDescent="0.2">
      <c r="E147" s="96" t="str">
        <v>a</v>
      </c>
      <c r="F147" s="96">
        <v>89</v>
      </c>
      <c r="G147" s="96">
        <v>5</v>
      </c>
      <c r="H147" s="96" t="str">
        <v>E89</v>
      </c>
      <c r="I147" s="96">
        <v>89000005</v>
      </c>
      <c r="L147" s="207"/>
    </row>
    <row r="148" spans="5:12" ht="12.75" customHeight="1" x14ac:dyDescent="0.2">
      <c r="E148" s="96" t="str">
        <v>b</v>
      </c>
      <c r="F148" s="96">
        <v>89</v>
      </c>
      <c r="G148" s="96">
        <v>7</v>
      </c>
      <c r="H148" s="96" t="str">
        <v>G89</v>
      </c>
      <c r="I148" s="96">
        <v>89000007</v>
      </c>
      <c r="L148" s="207"/>
    </row>
    <row r="149" spans="5:12" ht="12.75" customHeight="1" x14ac:dyDescent="0.2">
      <c r="E149" s="96" t="str">
        <v>c</v>
      </c>
      <c r="F149" s="96">
        <v>90</v>
      </c>
      <c r="G149" s="96">
        <v>6</v>
      </c>
      <c r="H149" s="96" t="str">
        <v>F90</v>
      </c>
      <c r="I149" s="96">
        <v>90000006</v>
      </c>
      <c r="L149" s="207"/>
    </row>
    <row r="150" spans="5:12" ht="12.75" customHeight="1" x14ac:dyDescent="0.2">
      <c r="E150" s="96" t="str">
        <v>d</v>
      </c>
      <c r="F150" s="96">
        <v>90</v>
      </c>
      <c r="G150" s="96">
        <v>7</v>
      </c>
      <c r="H150" s="96" t="str">
        <v>G90</v>
      </c>
      <c r="I150" s="96">
        <v>90000007</v>
      </c>
      <c r="L150" s="207"/>
    </row>
    <row r="151" spans="5:12" ht="12.75" customHeight="1" x14ac:dyDescent="0.2">
      <c r="L151" s="87"/>
    </row>
    <row r="152" spans="5:12" ht="32.25" customHeight="1" x14ac:dyDescent="0.2">
      <c r="E152" s="230" t="s">
        <v>2751</v>
      </c>
      <c r="F152" s="230"/>
      <c r="G152" s="230"/>
      <c r="H152" s="230"/>
      <c r="I152" s="230"/>
      <c r="J152" s="230"/>
      <c r="K152" s="5" t="s">
        <v>1457</v>
      </c>
      <c r="L152" s="77"/>
    </row>
    <row r="153" spans="5:12" ht="15" customHeight="1" x14ac:dyDescent="0.2">
      <c r="E153" s="25" t="str" cm="1">
        <f t="array" ref="E153:I159">GridToCol_byLiannaGerrish($E$89:$G$90,,,,,,1)</f>
        <v>Items</v>
      </c>
      <c r="F153" s="96" t="str">
        <v>Row #</v>
      </c>
      <c r="G153" s="96" t="str">
        <v>Column #</v>
      </c>
      <c r="H153" s="96" t="str">
        <v>Address</v>
      </c>
      <c r="I153" s="96" t="str">
        <v>RCRef</v>
      </c>
      <c r="K153" s="78" t="s">
        <v>2102</v>
      </c>
      <c r="L153" s="207" t="s">
        <v>2797</v>
      </c>
    </row>
    <row r="154" spans="5:12" ht="12.75" customHeight="1" x14ac:dyDescent="0.2">
      <c r="E154" s="96" t="str">
        <v>a</v>
      </c>
      <c r="F154" s="96">
        <v>89</v>
      </c>
      <c r="G154" s="96">
        <v>5</v>
      </c>
      <c r="H154" s="96" t="str">
        <v>E89</v>
      </c>
      <c r="I154" s="96">
        <v>89000005</v>
      </c>
      <c r="L154" s="207"/>
    </row>
    <row r="155" spans="5:12" ht="12.75" customHeight="1" x14ac:dyDescent="0.2">
      <c r="E155" s="96">
        <v>0</v>
      </c>
      <c r="F155" s="96">
        <v>89</v>
      </c>
      <c r="G155" s="96">
        <v>6</v>
      </c>
      <c r="H155" s="96" t="str">
        <v>F89</v>
      </c>
      <c r="I155" s="96">
        <v>89000006</v>
      </c>
      <c r="L155" s="207"/>
    </row>
    <row r="156" spans="5:12" ht="12.75" customHeight="1" x14ac:dyDescent="0.2">
      <c r="E156" s="96" t="str">
        <v>b</v>
      </c>
      <c r="F156" s="96">
        <v>89</v>
      </c>
      <c r="G156" s="96">
        <v>7</v>
      </c>
      <c r="H156" s="96" t="str">
        <v>G89</v>
      </c>
      <c r="I156" s="96">
        <v>89000007</v>
      </c>
      <c r="L156" s="207"/>
    </row>
    <row r="157" spans="5:12" ht="12.75" customHeight="1" x14ac:dyDescent="0.2">
      <c r="E157" s="96" t="str">
        <v/>
      </c>
      <c r="F157" s="96">
        <v>90</v>
      </c>
      <c r="G157" s="96">
        <v>5</v>
      </c>
      <c r="H157" s="96" t="str">
        <v>E90</v>
      </c>
      <c r="I157" s="96">
        <v>90000005</v>
      </c>
      <c r="L157" s="207"/>
    </row>
    <row r="158" spans="5:12" ht="12.75" customHeight="1" x14ac:dyDescent="0.2">
      <c r="E158" s="96" t="str">
        <v>c</v>
      </c>
      <c r="F158" s="96">
        <v>90</v>
      </c>
      <c r="G158" s="96">
        <v>6</v>
      </c>
      <c r="H158" s="96" t="str">
        <v>F90</v>
      </c>
      <c r="I158" s="96">
        <v>90000006</v>
      </c>
      <c r="L158" s="207"/>
    </row>
    <row r="159" spans="5:12" ht="12.75" customHeight="1" x14ac:dyDescent="0.2">
      <c r="E159" s="96" t="str">
        <v>d</v>
      </c>
      <c r="F159" s="96">
        <v>90</v>
      </c>
      <c r="G159" s="96">
        <v>7</v>
      </c>
      <c r="H159" s="96" t="str">
        <v>G90</v>
      </c>
      <c r="I159" s="96">
        <v>90000007</v>
      </c>
      <c r="L159" s="207"/>
    </row>
    <row r="160" spans="5:12" ht="12.75" customHeight="1" x14ac:dyDescent="0.2">
      <c r="L160" s="87"/>
    </row>
    <row r="161" spans="5:12" ht="53.25" customHeight="1" x14ac:dyDescent="0.2">
      <c r="E161" s="230" t="s">
        <v>2752</v>
      </c>
      <c r="F161" s="209"/>
      <c r="G161" s="209"/>
      <c r="H161" s="209"/>
      <c r="I161" s="209"/>
      <c r="J161" s="209"/>
      <c r="K161" s="5" t="s">
        <v>2471</v>
      </c>
      <c r="L161" s="77"/>
    </row>
    <row r="162" spans="5:12" ht="15" customHeight="1" x14ac:dyDescent="0.2">
      <c r="E162" s="25" t="str" cm="1">
        <f t="array" ref="E162:I166">GridToCol_byLiannaGerrish(_xlfn.VSTACK($E$93:$F$94))</f>
        <v>Items</v>
      </c>
      <c r="F162" s="96" t="str">
        <v>Row #</v>
      </c>
      <c r="G162" s="96" t="str">
        <v>Column #</v>
      </c>
      <c r="H162" s="96" t="str">
        <v>Address</v>
      </c>
      <c r="I162" s="96" t="str">
        <v>RCRef</v>
      </c>
      <c r="K162" s="78" t="s">
        <v>1988</v>
      </c>
      <c r="L162" s="207" t="s">
        <v>2103</v>
      </c>
    </row>
    <row r="163" spans="5:12" ht="12.75" customHeight="1" x14ac:dyDescent="0.2">
      <c r="E163" s="96" t="str">
        <v>a</v>
      </c>
      <c r="F163" s="96">
        <v>1</v>
      </c>
      <c r="G163" s="96">
        <v>1</v>
      </c>
      <c r="H163" s="96" t="str">
        <v>A1</v>
      </c>
      <c r="I163" s="96">
        <v>1000001</v>
      </c>
      <c r="L163" s="207"/>
    </row>
    <row r="164" spans="5:12" ht="12.75" customHeight="1" x14ac:dyDescent="0.2">
      <c r="E164" s="96" t="str">
        <v>b</v>
      </c>
      <c r="F164" s="96">
        <v>1</v>
      </c>
      <c r="G164" s="96">
        <v>2</v>
      </c>
      <c r="H164" s="96" t="str">
        <v>B1</v>
      </c>
      <c r="I164" s="96">
        <v>1000002</v>
      </c>
      <c r="L164" s="207"/>
    </row>
    <row r="165" spans="5:12" ht="12.75" customHeight="1" x14ac:dyDescent="0.2">
      <c r="E165" s="96" t="str">
        <v>c</v>
      </c>
      <c r="F165" s="96">
        <v>2</v>
      </c>
      <c r="G165" s="96">
        <v>1</v>
      </c>
      <c r="H165" s="96" t="str">
        <v>A2</v>
      </c>
      <c r="I165" s="96">
        <v>2000001</v>
      </c>
      <c r="L165" s="207"/>
    </row>
    <row r="166" spans="5:12" ht="12.75" customHeight="1" x14ac:dyDescent="0.2">
      <c r="E166" s="96" t="str">
        <v>d</v>
      </c>
      <c r="F166" s="96">
        <v>2</v>
      </c>
      <c r="G166" s="96">
        <v>2</v>
      </c>
      <c r="H166" s="96" t="str">
        <v>B2</v>
      </c>
      <c r="I166" s="96">
        <v>2000002</v>
      </c>
      <c r="L166" s="207"/>
    </row>
    <row r="167" spans="5:12" ht="12.75" customHeight="1" x14ac:dyDescent="0.2">
      <c r="L167" s="87"/>
    </row>
    <row r="168" spans="5:12" ht="42.75" customHeight="1" x14ac:dyDescent="0.2">
      <c r="E168" s="230" t="s">
        <v>2753</v>
      </c>
      <c r="F168" s="209"/>
      <c r="G168" s="209"/>
      <c r="H168" s="209"/>
      <c r="I168" s="209"/>
      <c r="J168" s="209"/>
      <c r="K168" s="5" t="s">
        <v>1458</v>
      </c>
      <c r="L168" s="77" t="s">
        <v>667</v>
      </c>
    </row>
    <row r="169" spans="5:12" ht="15" customHeight="1" x14ac:dyDescent="0.2">
      <c r="E169" s="25" t="str" cm="1">
        <f t="array" ref="E169">_xlfn.LET(_xlpm.t,GridToCol_byLiannaGerrish(_xlfn.VSTACK($E$93:$F$94)),_xlfn.XLOOKUP(2000001,_xlfn.DROP(_xlfn.CHOOSECOLS(_xlpm.t,5),1),_xlfn.DROP(_xlfn.CHOOSECOLS(_xlpm.t,1),1)))</f>
        <v>c</v>
      </c>
      <c r="L169" s="77"/>
    </row>
    <row r="170" spans="5:12" ht="12.75" customHeight="1" x14ac:dyDescent="0.2">
      <c r="L170" s="87"/>
    </row>
    <row r="171" spans="5:12" ht="38.25" customHeight="1" x14ac:dyDescent="0.2">
      <c r="E171" s="152" t="s">
        <v>1459</v>
      </c>
      <c r="F171" s="152"/>
      <c r="G171" s="152"/>
      <c r="H171" s="152"/>
      <c r="I171" s="152"/>
      <c r="J171" s="152"/>
    </row>
    <row r="172" spans="5:12" ht="25.5" customHeight="1" x14ac:dyDescent="0.2">
      <c r="E172" s="172" t="s">
        <v>1844</v>
      </c>
      <c r="F172" s="173"/>
      <c r="G172" s="173"/>
      <c r="H172" s="173"/>
      <c r="I172" s="173"/>
      <c r="J172" s="174"/>
    </row>
    <row r="173" spans="5:12" ht="21.75" customHeight="1" x14ac:dyDescent="0.2">
      <c r="E173" s="147" t="s">
        <v>1460</v>
      </c>
      <c r="F173" s="147"/>
      <c r="G173" s="147"/>
      <c r="H173" s="147"/>
      <c r="I173" s="147"/>
      <c r="J173" s="147"/>
    </row>
    <row r="174" spans="5:12" ht="12.75" customHeight="1" x14ac:dyDescent="0.2"/>
    <row r="175" spans="5:12" ht="12.75" customHeight="1" x14ac:dyDescent="0.2"/>
    <row r="176" spans="5:12" ht="15.75" customHeight="1" x14ac:dyDescent="0.2">
      <c r="E176" s="159" t="s">
        <v>989</v>
      </c>
      <c r="F176" s="159"/>
      <c r="G176" s="159"/>
      <c r="H176" s="159"/>
      <c r="I176" s="159"/>
      <c r="J176" s="159"/>
      <c r="K176" s="159"/>
      <c r="L176" s="159"/>
    </row>
    <row r="177" spans="5:12" ht="25.5" customHeight="1" x14ac:dyDescent="0.2">
      <c r="E177" s="152" t="s">
        <v>990</v>
      </c>
      <c r="F177" s="152"/>
      <c r="G177" s="152"/>
      <c r="H177" s="152"/>
      <c r="I177" s="152"/>
      <c r="J177" s="152"/>
    </row>
    <row r="178" spans="5:12" ht="21.75" customHeight="1" x14ac:dyDescent="0.2">
      <c r="E178" s="147" t="s">
        <v>1461</v>
      </c>
      <c r="F178" s="147"/>
      <c r="G178" s="147"/>
      <c r="H178" s="147"/>
      <c r="I178" s="147"/>
      <c r="J178" s="147"/>
    </row>
    <row r="179" spans="5:12" ht="12.75" customHeight="1" x14ac:dyDescent="0.2"/>
    <row r="180" spans="5:12" ht="12.75" customHeight="1" x14ac:dyDescent="0.2">
      <c r="E180" s="22" t="s">
        <v>2466</v>
      </c>
    </row>
    <row r="181" spans="5:12" ht="15" customHeight="1" x14ac:dyDescent="0.2">
      <c r="E181" s="94">
        <v>1</v>
      </c>
      <c r="G181" s="94">
        <v>1</v>
      </c>
      <c r="H181" s="94">
        <v>2</v>
      </c>
      <c r="I181" s="94">
        <v>3</v>
      </c>
    </row>
    <row r="182" spans="5:12" ht="15" customHeight="1" x14ac:dyDescent="0.2">
      <c r="E182" s="94">
        <v>2</v>
      </c>
    </row>
    <row r="183" spans="5:12" ht="15" customHeight="1" x14ac:dyDescent="0.2">
      <c r="E183" s="94">
        <v>3</v>
      </c>
    </row>
    <row r="185" spans="5:12" ht="12.75" customHeight="1" x14ac:dyDescent="0.2">
      <c r="E185" s="22" t="s">
        <v>2334</v>
      </c>
      <c r="K185" s="24" t="s">
        <v>2335</v>
      </c>
      <c r="L185" s="24" t="s">
        <v>2336</v>
      </c>
    </row>
    <row r="186" spans="5:12" ht="15" customHeight="1" x14ac:dyDescent="0.2">
      <c r="E186" s="230" t="s">
        <v>2754</v>
      </c>
      <c r="F186" s="209"/>
      <c r="G186" s="209"/>
      <c r="H186" s="209"/>
      <c r="I186" s="209"/>
      <c r="J186" s="209"/>
      <c r="K186" s="5" t="s">
        <v>991</v>
      </c>
      <c r="L186" s="77"/>
    </row>
    <row r="187" spans="5:12" ht="15" customHeight="1" x14ac:dyDescent="0.2">
      <c r="E187" s="25" t="str" cm="1">
        <f t="array" ref="E187:E189">ArrayShift_byHadynWiseman($E$181:$E$183,1,0,"-",0)</f>
        <v>-</v>
      </c>
      <c r="K187" t="s">
        <v>1947</v>
      </c>
      <c r="L187" s="231" t="s">
        <v>2398</v>
      </c>
    </row>
    <row r="188" spans="5:12" ht="12.75" customHeight="1" x14ac:dyDescent="0.2">
      <c r="E188" s="95">
        <v>1</v>
      </c>
      <c r="L188" s="207"/>
    </row>
    <row r="189" spans="5:12" ht="12.75" customHeight="1" x14ac:dyDescent="0.2">
      <c r="E189" s="95">
        <v>2</v>
      </c>
      <c r="L189" s="207"/>
    </row>
    <row r="190" spans="5:12" ht="12.75" customHeight="1" x14ac:dyDescent="0.2">
      <c r="L190" s="87"/>
    </row>
    <row r="191" spans="5:12" ht="32.25" customHeight="1" x14ac:dyDescent="0.2">
      <c r="E191" s="230" t="s">
        <v>2755</v>
      </c>
      <c r="F191" s="209"/>
      <c r="G191" s="209"/>
      <c r="H191" s="209"/>
      <c r="I191" s="209"/>
      <c r="J191" s="209"/>
      <c r="K191" s="5" t="s">
        <v>992</v>
      </c>
      <c r="L191" s="77"/>
    </row>
    <row r="192" spans="5:12" ht="15" customHeight="1" x14ac:dyDescent="0.2">
      <c r="E192" s="25" cm="1">
        <f t="array" ref="E192:E194">ArrayShift_byHadynWiseman($E$181:$E$183,1,0,"-",1)</f>
        <v>3</v>
      </c>
      <c r="K192" t="s">
        <v>1947</v>
      </c>
      <c r="L192" s="207" t="s">
        <v>2399</v>
      </c>
    </row>
    <row r="193" spans="5:12" ht="12.75" customHeight="1" x14ac:dyDescent="0.2">
      <c r="E193" s="95">
        <v>1</v>
      </c>
      <c r="L193" s="207"/>
    </row>
    <row r="194" spans="5:12" ht="12.75" customHeight="1" x14ac:dyDescent="0.2">
      <c r="E194" s="95">
        <v>2</v>
      </c>
      <c r="L194" s="207"/>
    </row>
    <row r="195" spans="5:12" ht="12.75" customHeight="1" x14ac:dyDescent="0.2">
      <c r="L195" s="87"/>
    </row>
    <row r="196" spans="5:12" ht="15" customHeight="1" x14ac:dyDescent="0.2">
      <c r="E196" s="230" t="s">
        <v>2756</v>
      </c>
      <c r="F196" s="209"/>
      <c r="G196" s="209"/>
      <c r="H196" s="209"/>
      <c r="I196" s="209"/>
      <c r="J196" s="209"/>
      <c r="K196" s="5" t="s">
        <v>1462</v>
      </c>
      <c r="L196" s="89" t="s">
        <v>2400</v>
      </c>
    </row>
    <row r="197" spans="5:12" ht="15" customHeight="1" x14ac:dyDescent="0.2">
      <c r="E197" s="25" t="str" cm="1">
        <f t="array" ref="E197:G197">ArrayShift_byHadynWiseman($G$181:$I$181,0,1,"-",0)</f>
        <v>-</v>
      </c>
      <c r="F197" s="96">
        <v>1</v>
      </c>
      <c r="G197" s="96">
        <v>2</v>
      </c>
      <c r="K197" t="s">
        <v>1978</v>
      </c>
      <c r="L197" s="77"/>
    </row>
    <row r="198" spans="5:12" ht="12.75" customHeight="1" x14ac:dyDescent="0.2">
      <c r="L198" s="87"/>
    </row>
    <row r="199" spans="5:12" ht="15" customHeight="1" x14ac:dyDescent="0.2">
      <c r="E199" s="230" t="s">
        <v>2757</v>
      </c>
      <c r="F199" s="209"/>
      <c r="G199" s="209"/>
      <c r="H199" s="209"/>
      <c r="I199" s="209"/>
      <c r="J199" s="209"/>
      <c r="K199" s="5" t="s">
        <v>993</v>
      </c>
      <c r="L199" s="77"/>
    </row>
    <row r="200" spans="5:12" ht="15" customHeight="1" x14ac:dyDescent="0.2">
      <c r="E200" s="25" cm="1">
        <f t="array" ref="E200:E202">ArrayShift_byHadynWiseman($E$181:$E$183,-1,0,"-",0)</f>
        <v>2</v>
      </c>
      <c r="K200" t="s">
        <v>1947</v>
      </c>
      <c r="L200" s="207" t="s">
        <v>2401</v>
      </c>
    </row>
    <row r="201" spans="5:12" ht="12.75" customHeight="1" x14ac:dyDescent="0.2">
      <c r="E201" s="95">
        <v>3</v>
      </c>
      <c r="L201" s="207"/>
    </row>
    <row r="202" spans="5:12" ht="12.75" customHeight="1" x14ac:dyDescent="0.2">
      <c r="E202" s="95" t="str">
        <v>-</v>
      </c>
      <c r="L202" s="207"/>
    </row>
    <row r="203" spans="5:12" ht="12.75" customHeight="1" x14ac:dyDescent="0.2">
      <c r="L203" s="87"/>
    </row>
    <row r="204" spans="5:12" ht="21.75" customHeight="1" x14ac:dyDescent="0.2">
      <c r="E204" s="230" t="s">
        <v>2758</v>
      </c>
      <c r="F204" s="209"/>
      <c r="G204" s="209"/>
      <c r="H204" s="209"/>
      <c r="I204" s="209"/>
      <c r="J204" s="209"/>
      <c r="K204" s="5" t="s">
        <v>1463</v>
      </c>
      <c r="L204" s="77"/>
    </row>
    <row r="205" spans="5:12" ht="15" customHeight="1" x14ac:dyDescent="0.2">
      <c r="E205" s="25" cm="1">
        <f t="array" ref="E205:E207">ArrayShift_byHadynWiseman($E$181:$E$183,1,0,0,0)</f>
        <v>0</v>
      </c>
      <c r="K205" t="s">
        <v>1947</v>
      </c>
      <c r="L205" s="207" t="s">
        <v>2402</v>
      </c>
    </row>
    <row r="206" spans="5:12" ht="12.75" customHeight="1" x14ac:dyDescent="0.2">
      <c r="E206" s="95">
        <v>1</v>
      </c>
      <c r="L206" s="207"/>
    </row>
    <row r="207" spans="5:12" ht="12.75" customHeight="1" x14ac:dyDescent="0.2">
      <c r="E207" s="95">
        <v>2</v>
      </c>
      <c r="L207" s="207"/>
    </row>
    <row r="208" spans="5:12" ht="12.75" customHeight="1" x14ac:dyDescent="0.2">
      <c r="L208" s="87"/>
    </row>
    <row r="209" spans="5:12" ht="25.5" customHeight="1" x14ac:dyDescent="0.2">
      <c r="E209" s="152" t="s">
        <v>994</v>
      </c>
      <c r="F209" s="152"/>
      <c r="G209" s="152"/>
      <c r="H209" s="152"/>
      <c r="I209" s="152"/>
      <c r="J209" s="152"/>
    </row>
    <row r="210" spans="5:12" ht="15" customHeight="1" x14ac:dyDescent="0.2">
      <c r="E210" s="147" t="s">
        <v>1464</v>
      </c>
      <c r="F210" s="149"/>
      <c r="G210" s="149"/>
      <c r="H210" s="149"/>
      <c r="I210" s="149"/>
      <c r="J210" s="149"/>
    </row>
    <row r="211" spans="5:12" ht="12.75" customHeight="1" x14ac:dyDescent="0.2"/>
    <row r="212" spans="5:12" ht="12.75" customHeight="1" x14ac:dyDescent="0.2"/>
    <row r="213" spans="5:12" ht="15.75" customHeight="1" x14ac:dyDescent="0.2">
      <c r="E213" s="159" t="s">
        <v>995</v>
      </c>
      <c r="F213" s="159"/>
      <c r="G213" s="159"/>
      <c r="H213" s="159"/>
      <c r="I213" s="159"/>
      <c r="J213" s="159"/>
      <c r="K213" s="159"/>
      <c r="L213" s="159"/>
    </row>
    <row r="214" spans="5:12" ht="25.5" customHeight="1" x14ac:dyDescent="0.2">
      <c r="E214" s="152" t="s">
        <v>996</v>
      </c>
      <c r="F214" s="152"/>
      <c r="G214" s="152"/>
      <c r="H214" s="152"/>
      <c r="I214" s="152"/>
      <c r="J214" s="152"/>
    </row>
    <row r="215" spans="5:12" ht="15" customHeight="1" x14ac:dyDescent="0.2">
      <c r="E215" s="147" t="s">
        <v>1465</v>
      </c>
      <c r="F215" s="149"/>
      <c r="G215" s="149"/>
      <c r="H215" s="149"/>
      <c r="I215" s="149"/>
      <c r="J215" s="149"/>
    </row>
    <row r="216" spans="5:12" ht="12.75" customHeight="1" x14ac:dyDescent="0.2"/>
    <row r="217" spans="5:12" ht="12.75" customHeight="1" x14ac:dyDescent="0.2">
      <c r="E217" s="22" t="s">
        <v>2363</v>
      </c>
    </row>
    <row r="218" spans="5:12" ht="15" customHeight="1" x14ac:dyDescent="0.2">
      <c r="E218" s="94" t="s">
        <v>997</v>
      </c>
      <c r="F218" s="94" t="s">
        <v>998</v>
      </c>
      <c r="G218" s="94">
        <v>1996</v>
      </c>
    </row>
    <row r="219" spans="5:12" ht="15" customHeight="1" x14ac:dyDescent="0.2">
      <c r="E219" s="94" t="s">
        <v>999</v>
      </c>
      <c r="F219" s="94" t="s">
        <v>1000</v>
      </c>
      <c r="G219" s="94">
        <v>1993</v>
      </c>
    </row>
    <row r="220" spans="5:12" ht="12.75" customHeight="1" x14ac:dyDescent="0.2"/>
    <row r="221" spans="5:12" ht="12.75" customHeight="1" x14ac:dyDescent="0.2">
      <c r="E221" s="22" t="s">
        <v>2334</v>
      </c>
      <c r="K221" s="24" t="s">
        <v>2335</v>
      </c>
      <c r="L221" s="24" t="s">
        <v>2336</v>
      </c>
    </row>
    <row r="222" spans="5:12" ht="21.75" customHeight="1" x14ac:dyDescent="0.2">
      <c r="E222" s="230" t="s">
        <v>2759</v>
      </c>
      <c r="F222" s="209"/>
      <c r="G222" s="209"/>
      <c r="H222" s="209"/>
      <c r="I222" s="209"/>
      <c r="J222" s="209"/>
      <c r="K222" s="5" t="s">
        <v>2364</v>
      </c>
      <c r="L222" s="77"/>
    </row>
    <row r="223" spans="5:12" ht="15" customHeight="1" x14ac:dyDescent="0.2">
      <c r="E223" s="25" t="str" cm="1">
        <f t="array" ref="E223:G226">UnSplivot_byJJ($E$218:$G$219,"/")</f>
        <v>A</v>
      </c>
      <c r="F223" s="96" t="str">
        <v>Gaming</v>
      </c>
      <c r="G223" s="96">
        <v>1996</v>
      </c>
      <c r="K223" t="s">
        <v>1992</v>
      </c>
      <c r="L223" s="207" t="s">
        <v>2366</v>
      </c>
    </row>
    <row r="224" spans="5:12" ht="12.75" customHeight="1" x14ac:dyDescent="0.2">
      <c r="E224" s="95" t="str">
        <v>B</v>
      </c>
      <c r="F224" s="96" t="str">
        <v>Gaming</v>
      </c>
      <c r="G224" s="96">
        <v>1996</v>
      </c>
      <c r="L224" s="207"/>
    </row>
    <row r="225" spans="5:12" ht="12.75" customHeight="1" x14ac:dyDescent="0.2">
      <c r="E225" s="95" t="str">
        <v>C</v>
      </c>
      <c r="F225" s="96" t="str">
        <v>Gaming</v>
      </c>
      <c r="G225" s="96">
        <v>1996</v>
      </c>
      <c r="L225" s="207"/>
    </row>
    <row r="226" spans="5:12" ht="12.75" customHeight="1" x14ac:dyDescent="0.2">
      <c r="E226" s="95" t="str">
        <v>D</v>
      </c>
      <c r="F226" s="96" t="str">
        <v>Writing</v>
      </c>
      <c r="G226" s="96">
        <v>1993</v>
      </c>
      <c r="L226" s="207"/>
    </row>
    <row r="227" spans="5:12" ht="12.75" customHeight="1" x14ac:dyDescent="0.2">
      <c r="L227" s="87"/>
    </row>
    <row r="228" spans="5:12" ht="21.75" customHeight="1" x14ac:dyDescent="0.2">
      <c r="E228" s="230" t="s">
        <v>2760</v>
      </c>
      <c r="F228" s="209"/>
      <c r="G228" s="209"/>
      <c r="H228" s="209"/>
      <c r="I228" s="209"/>
      <c r="J228" s="209"/>
      <c r="K228" s="5" t="s">
        <v>2365</v>
      </c>
      <c r="L228" s="77"/>
    </row>
    <row r="229" spans="5:12" ht="15" customHeight="1" x14ac:dyDescent="0.2">
      <c r="E229" s="25" t="str" cm="1">
        <f t="array" ref="E229:F232">UnSplivot_byJJ(_xlfn.CHOOSECOLS($E$218:$G$219,1,3),"/")</f>
        <v>A</v>
      </c>
      <c r="F229" s="96">
        <v>1996</v>
      </c>
      <c r="K229" t="s">
        <v>2367</v>
      </c>
      <c r="L229" s="207" t="s">
        <v>2368</v>
      </c>
    </row>
    <row r="230" spans="5:12" ht="12.75" customHeight="1" x14ac:dyDescent="0.2">
      <c r="E230" s="95" t="str">
        <v>B</v>
      </c>
      <c r="F230" s="96">
        <v>1996</v>
      </c>
      <c r="L230" s="207"/>
    </row>
    <row r="231" spans="5:12" ht="12.75" customHeight="1" x14ac:dyDescent="0.2">
      <c r="E231" s="95" t="str">
        <v>C</v>
      </c>
      <c r="F231" s="96">
        <v>1996</v>
      </c>
      <c r="L231" s="207"/>
    </row>
    <row r="232" spans="5:12" ht="12.75" customHeight="1" x14ac:dyDescent="0.2">
      <c r="E232" s="95" t="str">
        <v>D</v>
      </c>
      <c r="F232" s="96">
        <v>1993</v>
      </c>
      <c r="L232" s="207"/>
    </row>
    <row r="233" spans="5:12" ht="12.75" customHeight="1" x14ac:dyDescent="0.2">
      <c r="L233" s="87"/>
    </row>
    <row r="234" spans="5:12" ht="25.5" customHeight="1" x14ac:dyDescent="0.2">
      <c r="E234" s="152" t="s">
        <v>1001</v>
      </c>
      <c r="F234" s="152"/>
      <c r="G234" s="152"/>
      <c r="H234" s="152"/>
      <c r="I234" s="152"/>
      <c r="J234" s="152"/>
    </row>
    <row r="235" spans="5:12" ht="15" customHeight="1" x14ac:dyDescent="0.2">
      <c r="E235" s="156" t="s">
        <v>1845</v>
      </c>
      <c r="F235" s="157"/>
      <c r="G235" s="157"/>
      <c r="H235" s="157"/>
      <c r="I235" s="157"/>
      <c r="J235" s="158"/>
    </row>
    <row r="236" spans="5:12" ht="12.75" customHeight="1" x14ac:dyDescent="0.2"/>
    <row r="237" spans="5:12" ht="12.75" customHeight="1" x14ac:dyDescent="0.2"/>
    <row r="238" spans="5:12" ht="15.75" customHeight="1" x14ac:dyDescent="0.2">
      <c r="E238" s="159" t="s">
        <v>1002</v>
      </c>
      <c r="F238" s="159"/>
      <c r="G238" s="159"/>
      <c r="H238" s="159"/>
      <c r="I238" s="159"/>
      <c r="J238" s="159"/>
      <c r="K238" s="159"/>
      <c r="L238" s="159"/>
    </row>
    <row r="239" spans="5:12" ht="15" customHeight="1" x14ac:dyDescent="0.2">
      <c r="E239" s="152" t="s">
        <v>1003</v>
      </c>
      <c r="F239" s="149"/>
      <c r="G239" s="149"/>
      <c r="H239" s="149"/>
      <c r="I239" s="149"/>
      <c r="J239" s="149"/>
    </row>
    <row r="240" spans="5:12" ht="15" customHeight="1" x14ac:dyDescent="0.2">
      <c r="E240" s="147" t="s">
        <v>1004</v>
      </c>
      <c r="F240" s="149"/>
      <c r="G240" s="149"/>
      <c r="H240" s="149"/>
      <c r="I240" s="149"/>
      <c r="J240" s="149"/>
    </row>
    <row r="241" spans="5:12" ht="12.75" customHeight="1" x14ac:dyDescent="0.2"/>
    <row r="242" spans="5:12" ht="12.75" customHeight="1" x14ac:dyDescent="0.2">
      <c r="E242" s="22" t="s">
        <v>1466</v>
      </c>
    </row>
    <row r="243" spans="5:12" ht="12.75" customHeight="1" x14ac:dyDescent="0.2">
      <c r="E243" s="94">
        <v>1</v>
      </c>
      <c r="F243" s="94">
        <v>1</v>
      </c>
      <c r="G243" s="94">
        <v>1</v>
      </c>
      <c r="H243" s="94">
        <v>1</v>
      </c>
      <c r="I243" s="94">
        <v>1</v>
      </c>
    </row>
    <row r="244" spans="5:12" ht="12.75" customHeight="1" x14ac:dyDescent="0.2">
      <c r="E244" s="94">
        <v>0</v>
      </c>
      <c r="F244" s="94">
        <v>0</v>
      </c>
      <c r="G244" s="94">
        <v>0</v>
      </c>
      <c r="H244" s="94">
        <v>0</v>
      </c>
      <c r="I244" s="94">
        <v>1</v>
      </c>
    </row>
    <row r="245" spans="5:12" ht="12.75" customHeight="1" x14ac:dyDescent="0.2">
      <c r="E245" s="94">
        <v>1</v>
      </c>
      <c r="F245" s="94">
        <v>1</v>
      </c>
      <c r="G245" s="94">
        <v>1</v>
      </c>
      <c r="H245" s="94">
        <v>1</v>
      </c>
      <c r="I245" s="94">
        <v>1</v>
      </c>
    </row>
    <row r="246" spans="5:12" ht="12.75" customHeight="1" x14ac:dyDescent="0.2">
      <c r="E246" s="94">
        <v>1</v>
      </c>
      <c r="F246" s="94">
        <v>0</v>
      </c>
      <c r="G246" s="94">
        <v>0</v>
      </c>
      <c r="H246" s="94">
        <v>0</v>
      </c>
      <c r="I246" s="94">
        <v>0</v>
      </c>
    </row>
    <row r="247" spans="5:12" ht="12.75" customHeight="1" x14ac:dyDescent="0.2">
      <c r="E247" s="94">
        <v>1</v>
      </c>
      <c r="F247" s="94">
        <v>1</v>
      </c>
      <c r="G247" s="94">
        <v>1</v>
      </c>
      <c r="H247" s="94">
        <v>1</v>
      </c>
      <c r="I247" s="94">
        <v>1</v>
      </c>
    </row>
    <row r="248" spans="5:12" ht="12.75" customHeight="1" x14ac:dyDescent="0.2"/>
    <row r="249" spans="5:12" ht="12.75" customHeight="1" x14ac:dyDescent="0.2">
      <c r="E249" s="22" t="s">
        <v>2334</v>
      </c>
      <c r="K249" s="24" t="s">
        <v>2335</v>
      </c>
      <c r="L249" s="24" t="s">
        <v>2336</v>
      </c>
    </row>
    <row r="250" spans="5:12" ht="21.75" customHeight="1" x14ac:dyDescent="0.2">
      <c r="E250" s="230" t="s">
        <v>2761</v>
      </c>
      <c r="F250" s="230"/>
      <c r="G250" s="230"/>
      <c r="H250" s="230"/>
      <c r="I250" s="230"/>
      <c r="J250" s="230"/>
      <c r="K250" s="5" t="s">
        <v>1005</v>
      </c>
      <c r="L250" s="77"/>
    </row>
    <row r="251" spans="5:12" ht="15" customHeight="1" x14ac:dyDescent="0.2">
      <c r="E251" s="25" cm="1">
        <f t="array" ref="E251:H254">ByRectangle_byBoRydobon($E$243:$I$247,_xlfn.LAMBDA(_xlpm.a,SUM(_xlpm.a)),2)</f>
        <v>2</v>
      </c>
      <c r="F251" s="96">
        <v>2</v>
      </c>
      <c r="G251" s="96">
        <v>2</v>
      </c>
      <c r="H251" s="96">
        <v>3</v>
      </c>
      <c r="K251" s="78" t="s">
        <v>2104</v>
      </c>
      <c r="L251" s="207" t="s">
        <v>2105</v>
      </c>
    </row>
    <row r="252" spans="5:12" ht="12.75" customHeight="1" x14ac:dyDescent="0.2">
      <c r="E252" s="96">
        <v>2</v>
      </c>
      <c r="F252" s="96">
        <v>2</v>
      </c>
      <c r="G252" s="96">
        <v>2</v>
      </c>
      <c r="H252" s="96">
        <v>3</v>
      </c>
      <c r="L252" s="207"/>
    </row>
    <row r="253" spans="5:12" ht="12.75" customHeight="1" x14ac:dyDescent="0.2">
      <c r="E253" s="96">
        <v>3</v>
      </c>
      <c r="F253" s="96">
        <v>2</v>
      </c>
      <c r="G253" s="96">
        <v>2</v>
      </c>
      <c r="H253" s="96">
        <v>2</v>
      </c>
      <c r="L253" s="207"/>
    </row>
    <row r="254" spans="5:12" ht="12.75" customHeight="1" x14ac:dyDescent="0.2">
      <c r="E254" s="96">
        <v>3</v>
      </c>
      <c r="F254" s="96">
        <v>2</v>
      </c>
      <c r="G254" s="96">
        <v>2</v>
      </c>
      <c r="H254" s="96">
        <v>2</v>
      </c>
      <c r="L254" s="207"/>
    </row>
    <row r="255" spans="5:12" ht="12.75" customHeight="1" x14ac:dyDescent="0.2">
      <c r="L255" s="87"/>
    </row>
    <row r="256" spans="5:12" ht="21.75" customHeight="1" x14ac:dyDescent="0.2">
      <c r="E256" s="230" t="s">
        <v>2762</v>
      </c>
      <c r="F256" s="230"/>
      <c r="G256" s="230"/>
      <c r="H256" s="230"/>
      <c r="I256" s="230"/>
      <c r="J256" s="230"/>
      <c r="K256" s="5" t="s">
        <v>1467</v>
      </c>
      <c r="L256" s="77"/>
    </row>
    <row r="257" spans="5:12" ht="15" customHeight="1" x14ac:dyDescent="0.2">
      <c r="E257" s="25" cm="1">
        <f t="array" ref="E257:H260">ByRectangle_byBoRydobon($E$243:$I$247,_xlfn.LAMBDA(_xlpm.a,MAX(_xlpm.a)),2)</f>
        <v>1</v>
      </c>
      <c r="F257" s="96">
        <v>1</v>
      </c>
      <c r="G257" s="96">
        <v>1</v>
      </c>
      <c r="H257" s="96">
        <v>1</v>
      </c>
      <c r="K257" s="78" t="s">
        <v>2104</v>
      </c>
      <c r="L257" s="207" t="s">
        <v>2106</v>
      </c>
    </row>
    <row r="258" spans="5:12" ht="12.75" customHeight="1" x14ac:dyDescent="0.2">
      <c r="E258" s="96">
        <v>1</v>
      </c>
      <c r="F258" s="96">
        <v>1</v>
      </c>
      <c r="G258" s="96">
        <v>1</v>
      </c>
      <c r="H258" s="96">
        <v>1</v>
      </c>
      <c r="L258" s="207"/>
    </row>
    <row r="259" spans="5:12" ht="12.75" customHeight="1" x14ac:dyDescent="0.2">
      <c r="E259" s="96">
        <v>1</v>
      </c>
      <c r="F259" s="96">
        <v>1</v>
      </c>
      <c r="G259" s="96">
        <v>1</v>
      </c>
      <c r="H259" s="96">
        <v>1</v>
      </c>
      <c r="L259" s="207"/>
    </row>
    <row r="260" spans="5:12" ht="12.75" customHeight="1" x14ac:dyDescent="0.2">
      <c r="E260" s="96">
        <v>1</v>
      </c>
      <c r="F260" s="96">
        <v>1</v>
      </c>
      <c r="G260" s="96">
        <v>1</v>
      </c>
      <c r="H260" s="96">
        <v>1</v>
      </c>
      <c r="L260" s="207"/>
    </row>
    <row r="261" spans="5:12" ht="12.75" customHeight="1" x14ac:dyDescent="0.2">
      <c r="L261" s="87"/>
    </row>
    <row r="262" spans="5:12" ht="21.75" customHeight="1" x14ac:dyDescent="0.2">
      <c r="E262" s="230" t="s">
        <v>2763</v>
      </c>
      <c r="F262" s="230"/>
      <c r="G262" s="230"/>
      <c r="H262" s="230"/>
      <c r="I262" s="230"/>
      <c r="J262" s="230"/>
      <c r="K262" s="5" t="s">
        <v>1468</v>
      </c>
      <c r="L262" s="77"/>
    </row>
    <row r="263" spans="5:12" ht="15" customHeight="1" x14ac:dyDescent="0.2">
      <c r="E263" s="25" cm="1">
        <f t="array" ref="E263:G267">ByRectangle_byBoRydobon($E$243:$I$247,_xlfn.LAMBDA(_xlpm.a,SUM(_xlpm.a)),1,3)</f>
        <v>3</v>
      </c>
      <c r="F263" s="96">
        <v>3</v>
      </c>
      <c r="G263" s="96">
        <v>3</v>
      </c>
      <c r="K263" s="78" t="s">
        <v>1950</v>
      </c>
      <c r="L263" s="207" t="s">
        <v>2107</v>
      </c>
    </row>
    <row r="264" spans="5:12" ht="12.75" customHeight="1" x14ac:dyDescent="0.2">
      <c r="E264" s="96">
        <v>0</v>
      </c>
      <c r="F264" s="96">
        <v>0</v>
      </c>
      <c r="G264" s="96">
        <v>1</v>
      </c>
      <c r="L264" s="207"/>
    </row>
    <row r="265" spans="5:12" ht="12.75" customHeight="1" x14ac:dyDescent="0.2">
      <c r="E265" s="96">
        <v>3</v>
      </c>
      <c r="F265" s="96">
        <v>3</v>
      </c>
      <c r="G265" s="96">
        <v>3</v>
      </c>
      <c r="L265" s="207"/>
    </row>
    <row r="266" spans="5:12" ht="12.75" customHeight="1" x14ac:dyDescent="0.2">
      <c r="E266" s="96">
        <v>1</v>
      </c>
      <c r="F266" s="96">
        <v>0</v>
      </c>
      <c r="G266" s="96">
        <v>0</v>
      </c>
      <c r="L266" s="207"/>
    </row>
    <row r="267" spans="5:12" ht="12.75" customHeight="1" x14ac:dyDescent="0.2">
      <c r="E267" s="96">
        <v>3</v>
      </c>
      <c r="F267" s="96">
        <v>3</v>
      </c>
      <c r="G267" s="96">
        <v>3</v>
      </c>
      <c r="L267" s="207"/>
    </row>
    <row r="268" spans="5:12" ht="12.75" customHeight="1" x14ac:dyDescent="0.2">
      <c r="L268" s="87"/>
    </row>
    <row r="269" spans="5:12" ht="21.75" customHeight="1" x14ac:dyDescent="0.2">
      <c r="E269" s="230" t="s">
        <v>2764</v>
      </c>
      <c r="F269" s="230"/>
      <c r="G269" s="230"/>
      <c r="H269" s="230"/>
      <c r="I269" s="230"/>
      <c r="J269" s="230"/>
      <c r="K269" s="5" t="s">
        <v>1006</v>
      </c>
      <c r="L269" s="77">
        <v>3</v>
      </c>
    </row>
    <row r="270" spans="5:12" ht="15" customHeight="1" x14ac:dyDescent="0.2">
      <c r="E270" s="25">
        <f>MAX(ByRectangle_byBoRydobon($E$243:$I$247,_xlfn.LAMBDA(_xlpm.a,SUM(_xlpm.a)),2))</f>
        <v>3</v>
      </c>
      <c r="L270" s="5"/>
    </row>
    <row r="271" spans="5:12" ht="12.75" customHeight="1" x14ac:dyDescent="0.2"/>
    <row r="272" spans="5:12" ht="25.5" customHeight="1" x14ac:dyDescent="0.2">
      <c r="E272" s="152" t="s">
        <v>1007</v>
      </c>
      <c r="F272" s="152"/>
      <c r="G272" s="152"/>
      <c r="H272" s="152"/>
      <c r="I272" s="152"/>
      <c r="J272" s="152"/>
    </row>
    <row r="273" spans="5:12" ht="15" customHeight="1" x14ac:dyDescent="0.2">
      <c r="E273" s="172" t="s">
        <v>1846</v>
      </c>
      <c r="F273" s="173"/>
      <c r="G273" s="173"/>
      <c r="H273" s="173"/>
      <c r="I273" s="173"/>
      <c r="J273" s="174"/>
    </row>
    <row r="274" spans="5:12" ht="21.75" customHeight="1" x14ac:dyDescent="0.2">
      <c r="E274" s="147" t="s">
        <v>1469</v>
      </c>
      <c r="F274" s="147"/>
      <c r="G274" s="147"/>
      <c r="H274" s="147"/>
      <c r="I274" s="147"/>
      <c r="J274" s="147"/>
    </row>
    <row r="275" spans="5:12" ht="12.75" customHeight="1" x14ac:dyDescent="0.2"/>
    <row r="276" spans="5:12" ht="12.75" customHeight="1" x14ac:dyDescent="0.2"/>
    <row r="277" spans="5:12" ht="15.75" customHeight="1" x14ac:dyDescent="0.2">
      <c r="E277" s="159" t="s">
        <v>1008</v>
      </c>
      <c r="F277" s="159"/>
      <c r="G277" s="159"/>
      <c r="H277" s="159"/>
      <c r="I277" s="159"/>
      <c r="J277" s="159"/>
      <c r="K277" s="159"/>
      <c r="L277" s="159"/>
    </row>
    <row r="278" spans="5:12" ht="15" customHeight="1" x14ac:dyDescent="0.2">
      <c r="E278" s="152" t="s">
        <v>1009</v>
      </c>
      <c r="F278" s="149"/>
      <c r="G278" s="149"/>
      <c r="H278" s="149"/>
      <c r="I278" s="149"/>
      <c r="J278" s="149"/>
    </row>
    <row r="279" spans="5:12" ht="15" customHeight="1" x14ac:dyDescent="0.2">
      <c r="E279" s="147" t="s">
        <v>1010</v>
      </c>
      <c r="F279" s="149"/>
      <c r="G279" s="149"/>
      <c r="H279" s="149"/>
      <c r="I279" s="149"/>
      <c r="J279" s="149"/>
    </row>
    <row r="280" spans="5:12" ht="12.75" customHeight="1" x14ac:dyDescent="0.2"/>
    <row r="281" spans="5:12" ht="12.75" customHeight="1" x14ac:dyDescent="0.2">
      <c r="E281" s="22" t="s">
        <v>2358</v>
      </c>
    </row>
    <row r="282" spans="5:12" ht="15" customHeight="1" x14ac:dyDescent="0.2">
      <c r="E282" s="94">
        <v>1</v>
      </c>
      <c r="F282" s="94">
        <v>2</v>
      </c>
      <c r="G282" s="94">
        <v>3</v>
      </c>
    </row>
    <row r="283" spans="5:12" ht="15" customHeight="1" x14ac:dyDescent="0.2">
      <c r="E283" s="94">
        <v>4</v>
      </c>
      <c r="F283" s="94">
        <v>5</v>
      </c>
      <c r="G283" s="94">
        <v>6</v>
      </c>
    </row>
    <row r="284" spans="5:12" ht="12.75" customHeight="1" x14ac:dyDescent="0.2"/>
    <row r="285" spans="5:12" ht="12.75" customHeight="1" x14ac:dyDescent="0.2">
      <c r="E285" s="22" t="s">
        <v>2334</v>
      </c>
      <c r="K285" s="24" t="s">
        <v>2335</v>
      </c>
      <c r="L285" s="24" t="s">
        <v>2336</v>
      </c>
    </row>
    <row r="286" spans="5:12" ht="15" customHeight="1" x14ac:dyDescent="0.2">
      <c r="E286" s="230" t="s">
        <v>2765</v>
      </c>
      <c r="F286" s="148"/>
      <c r="G286" s="148"/>
      <c r="H286" s="148"/>
      <c r="I286" s="148"/>
      <c r="J286" s="148"/>
      <c r="K286" s="5" t="s">
        <v>2359</v>
      </c>
      <c r="L286" s="77"/>
    </row>
    <row r="287" spans="5:12" ht="15" customHeight="1" x14ac:dyDescent="0.2">
      <c r="E287" s="25" cm="1">
        <f t="array" ref="E287:F289">Rotate_byHadynWiseman($E$282:$G$283)</f>
        <v>4</v>
      </c>
      <c r="F287" s="96">
        <v>1</v>
      </c>
      <c r="K287" t="s">
        <v>1970</v>
      </c>
      <c r="L287" s="207" t="s">
        <v>2360</v>
      </c>
    </row>
    <row r="288" spans="5:12" ht="12.75" customHeight="1" x14ac:dyDescent="0.2">
      <c r="E288" s="95">
        <v>5</v>
      </c>
      <c r="F288" s="96">
        <v>2</v>
      </c>
      <c r="L288" s="207"/>
    </row>
    <row r="289" spans="5:12" ht="12.75" customHeight="1" x14ac:dyDescent="0.2">
      <c r="E289" s="95">
        <v>6</v>
      </c>
      <c r="F289" s="96">
        <v>3</v>
      </c>
      <c r="L289" s="207"/>
    </row>
    <row r="290" spans="5:12" ht="12.75" customHeight="1" x14ac:dyDescent="0.2">
      <c r="L290" s="87"/>
    </row>
    <row r="291" spans="5:12" ht="15" customHeight="1" x14ac:dyDescent="0.2">
      <c r="E291" s="230" t="s">
        <v>2766</v>
      </c>
      <c r="F291" s="148"/>
      <c r="G291" s="148"/>
      <c r="H291" s="148"/>
      <c r="I291" s="148"/>
      <c r="J291" s="148"/>
      <c r="K291" s="5" t="s">
        <v>1011</v>
      </c>
      <c r="L291" s="77"/>
    </row>
    <row r="292" spans="5:12" ht="15" customHeight="1" x14ac:dyDescent="0.2">
      <c r="E292" s="25" cm="1">
        <f t="array" ref="E292:G293">Rotate_byHadynWiseman($E$282:$G$283,2)</f>
        <v>6</v>
      </c>
      <c r="F292" s="96">
        <v>5</v>
      </c>
      <c r="G292" s="96">
        <v>4</v>
      </c>
      <c r="K292" t="s">
        <v>2001</v>
      </c>
      <c r="L292" s="207" t="s">
        <v>2361</v>
      </c>
    </row>
    <row r="293" spans="5:12" ht="12.75" customHeight="1" x14ac:dyDescent="0.2">
      <c r="E293" s="95">
        <v>3</v>
      </c>
      <c r="F293" s="96">
        <v>2</v>
      </c>
      <c r="G293" s="96">
        <v>1</v>
      </c>
      <c r="L293" s="207"/>
    </row>
    <row r="294" spans="5:12" ht="12.75" customHeight="1" x14ac:dyDescent="0.2">
      <c r="L294" s="87"/>
    </row>
    <row r="295" spans="5:12" ht="15" customHeight="1" x14ac:dyDescent="0.2">
      <c r="E295" s="230" t="s">
        <v>2767</v>
      </c>
      <c r="F295" s="148"/>
      <c r="G295" s="148"/>
      <c r="H295" s="148"/>
      <c r="I295" s="148"/>
      <c r="J295" s="148"/>
      <c r="K295" s="5" t="s">
        <v>1012</v>
      </c>
      <c r="L295" s="77"/>
    </row>
    <row r="296" spans="5:12" ht="15" customHeight="1" x14ac:dyDescent="0.2">
      <c r="E296" s="25" cm="1">
        <f t="array" ref="E296:F298">Rotate_byHadynWiseman($E$282:$G$283,3)</f>
        <v>3</v>
      </c>
      <c r="F296" s="96">
        <v>6</v>
      </c>
      <c r="K296" t="s">
        <v>1970</v>
      </c>
      <c r="L296" s="207" t="s">
        <v>2362</v>
      </c>
    </row>
    <row r="297" spans="5:12" ht="12.75" customHeight="1" x14ac:dyDescent="0.2">
      <c r="E297" s="95">
        <v>2</v>
      </c>
      <c r="F297" s="96">
        <v>5</v>
      </c>
      <c r="L297" s="207"/>
    </row>
    <row r="298" spans="5:12" ht="12.75" customHeight="1" x14ac:dyDescent="0.2">
      <c r="E298" s="95">
        <v>1</v>
      </c>
      <c r="F298" s="96">
        <v>4</v>
      </c>
      <c r="L298" s="207"/>
    </row>
    <row r="299" spans="5:12" ht="12.75" customHeight="1" x14ac:dyDescent="0.2">
      <c r="L299" s="87"/>
    </row>
    <row r="300" spans="5:12" ht="25.5" customHeight="1" x14ac:dyDescent="0.2">
      <c r="E300" s="152" t="s">
        <v>1013</v>
      </c>
      <c r="F300" s="152"/>
      <c r="G300" s="152"/>
      <c r="H300" s="152"/>
      <c r="I300" s="152"/>
      <c r="J300" s="152"/>
    </row>
    <row r="301" spans="5:12" ht="15" customHeight="1" x14ac:dyDescent="0.2">
      <c r="E301" s="147" t="s">
        <v>1470</v>
      </c>
      <c r="F301" s="149"/>
      <c r="G301" s="149"/>
      <c r="H301" s="149"/>
      <c r="I301" s="149"/>
      <c r="J301" s="149"/>
    </row>
    <row r="302" spans="5:12" ht="12.75" customHeight="1" x14ac:dyDescent="0.2"/>
    <row r="303" spans="5:12" ht="12.75" customHeight="1" x14ac:dyDescent="0.2"/>
    <row r="304" spans="5:12" ht="15.75" customHeight="1" x14ac:dyDescent="0.2">
      <c r="E304" s="159" t="s">
        <v>1014</v>
      </c>
      <c r="F304" s="159"/>
      <c r="G304" s="159"/>
      <c r="H304" s="159"/>
      <c r="I304" s="159"/>
      <c r="J304" s="159"/>
      <c r="K304" s="159"/>
      <c r="L304" s="159"/>
    </row>
    <row r="305" spans="5:12" ht="15" customHeight="1" x14ac:dyDescent="0.2">
      <c r="E305" s="152" t="s">
        <v>1471</v>
      </c>
      <c r="F305" s="149"/>
      <c r="G305" s="149"/>
      <c r="H305" s="149"/>
      <c r="I305" s="149"/>
      <c r="J305" s="149"/>
    </row>
    <row r="306" spans="5:12" ht="15" customHeight="1" x14ac:dyDescent="0.2">
      <c r="E306" s="147" t="s">
        <v>1015</v>
      </c>
      <c r="F306" s="149"/>
      <c r="G306" s="149"/>
      <c r="H306" s="149"/>
      <c r="I306" s="149"/>
      <c r="J306" s="149"/>
    </row>
    <row r="307" spans="5:12" ht="12.75" customHeight="1" x14ac:dyDescent="0.2"/>
    <row r="308" spans="5:12" ht="12.75" customHeight="1" x14ac:dyDescent="0.2">
      <c r="E308" s="22" t="s">
        <v>2350</v>
      </c>
    </row>
    <row r="309" spans="5:12" ht="15" customHeight="1" x14ac:dyDescent="0.2">
      <c r="E309" s="94">
        <v>1</v>
      </c>
      <c r="F309" s="94">
        <v>2</v>
      </c>
      <c r="G309" s="94">
        <v>3</v>
      </c>
    </row>
    <row r="310" spans="5:12" ht="15" customHeight="1" x14ac:dyDescent="0.2">
      <c r="E310" s="94">
        <v>4</v>
      </c>
      <c r="F310" s="94">
        <v>5</v>
      </c>
      <c r="G310" s="94">
        <v>6</v>
      </c>
    </row>
    <row r="311" spans="5:12" ht="12.75" customHeight="1" x14ac:dyDescent="0.2"/>
    <row r="312" spans="5:12" ht="12.75" customHeight="1" x14ac:dyDescent="0.2">
      <c r="E312" s="22" t="s">
        <v>2334</v>
      </c>
      <c r="K312" s="24" t="s">
        <v>2335</v>
      </c>
      <c r="L312" s="24" t="s">
        <v>2336</v>
      </c>
    </row>
    <row r="313" spans="5:12" ht="15" customHeight="1" x14ac:dyDescent="0.2">
      <c r="E313" s="230" t="s">
        <v>2768</v>
      </c>
      <c r="F313" s="209"/>
      <c r="G313" s="209"/>
      <c r="H313" s="209"/>
      <c r="I313" s="209"/>
      <c r="J313" s="209"/>
      <c r="K313" s="5" t="s">
        <v>1472</v>
      </c>
      <c r="L313" s="77"/>
    </row>
    <row r="314" spans="5:12" ht="15" customHeight="1" x14ac:dyDescent="0.2">
      <c r="E314" s="25" cm="1">
        <f t="array" ref="E314:G315">Flip_byHadynWiseman($E$309:$G$310,1)</f>
        <v>3</v>
      </c>
      <c r="F314" s="96">
        <v>2</v>
      </c>
      <c r="G314" s="96">
        <v>1</v>
      </c>
      <c r="K314" t="s">
        <v>2001</v>
      </c>
      <c r="L314" s="207" t="s">
        <v>2354</v>
      </c>
    </row>
    <row r="315" spans="5:12" ht="12.75" customHeight="1" x14ac:dyDescent="0.2">
      <c r="E315" s="95">
        <v>6</v>
      </c>
      <c r="F315" s="96">
        <v>5</v>
      </c>
      <c r="G315" s="96">
        <v>4</v>
      </c>
      <c r="L315" s="207"/>
    </row>
    <row r="316" spans="5:12" ht="12.75" customHeight="1" x14ac:dyDescent="0.2">
      <c r="L316" s="87"/>
    </row>
    <row r="317" spans="5:12" ht="15" customHeight="1" x14ac:dyDescent="0.2">
      <c r="E317" s="230" t="s">
        <v>2769</v>
      </c>
      <c r="F317" s="209"/>
      <c r="G317" s="209"/>
      <c r="H317" s="209"/>
      <c r="I317" s="209"/>
      <c r="J317" s="209"/>
      <c r="K317" s="5" t="s">
        <v>2351</v>
      </c>
      <c r="L317" s="77"/>
    </row>
    <row r="318" spans="5:12" ht="15" customHeight="1" x14ac:dyDescent="0.2">
      <c r="E318" s="25" cm="1">
        <f t="array" ref="E318:G319">Flip_byHadynWiseman($E$309:$G$310,0,1)</f>
        <v>4</v>
      </c>
      <c r="F318" s="96">
        <v>5</v>
      </c>
      <c r="G318" s="96">
        <v>6</v>
      </c>
      <c r="K318" t="s">
        <v>2001</v>
      </c>
      <c r="L318" s="207" t="s">
        <v>2355</v>
      </c>
    </row>
    <row r="319" spans="5:12" ht="12.75" customHeight="1" x14ac:dyDescent="0.2">
      <c r="E319" s="95">
        <v>1</v>
      </c>
      <c r="F319" s="96">
        <v>2</v>
      </c>
      <c r="G319" s="96">
        <v>3</v>
      </c>
      <c r="L319" s="207"/>
    </row>
    <row r="320" spans="5:12" ht="12.75" customHeight="1" x14ac:dyDescent="0.2">
      <c r="L320" s="87"/>
    </row>
    <row r="321" spans="5:12" ht="21.75" customHeight="1" x14ac:dyDescent="0.2">
      <c r="E321" s="230" t="s">
        <v>2770</v>
      </c>
      <c r="F321" s="209"/>
      <c r="G321" s="209"/>
      <c r="H321" s="209"/>
      <c r="I321" s="209"/>
      <c r="J321" s="209"/>
      <c r="K321" s="5" t="s">
        <v>2352</v>
      </c>
      <c r="L321" s="77"/>
    </row>
    <row r="322" spans="5:12" ht="15" customHeight="1" x14ac:dyDescent="0.2">
      <c r="E322" s="25" cm="1">
        <f t="array" ref="E322:F324">Flip_byHadynWiseman($E$309:$G$310,0,0,1)</f>
        <v>1</v>
      </c>
      <c r="F322" s="96">
        <v>4</v>
      </c>
      <c r="K322" t="s">
        <v>1970</v>
      </c>
      <c r="L322" s="207" t="s">
        <v>2356</v>
      </c>
    </row>
    <row r="323" spans="5:12" ht="12.75" customHeight="1" x14ac:dyDescent="0.2">
      <c r="E323" s="95">
        <v>2</v>
      </c>
      <c r="F323" s="96">
        <v>5</v>
      </c>
      <c r="L323" s="207"/>
    </row>
    <row r="324" spans="5:12" ht="12.75" customHeight="1" x14ac:dyDescent="0.2">
      <c r="E324" s="95">
        <v>3</v>
      </c>
      <c r="F324" s="96">
        <v>6</v>
      </c>
      <c r="L324" s="207"/>
    </row>
    <row r="325" spans="5:12" ht="12.75" customHeight="1" x14ac:dyDescent="0.2">
      <c r="L325" s="87"/>
    </row>
    <row r="326" spans="5:12" ht="15" customHeight="1" x14ac:dyDescent="0.2">
      <c r="E326" s="230" t="s">
        <v>2771</v>
      </c>
      <c r="F326" s="209"/>
      <c r="G326" s="209"/>
      <c r="H326" s="209"/>
      <c r="I326" s="209"/>
      <c r="J326" s="209"/>
      <c r="K326" s="5" t="s">
        <v>1473</v>
      </c>
      <c r="L326" s="77"/>
    </row>
    <row r="327" spans="5:12" ht="15" customHeight="1" x14ac:dyDescent="0.2">
      <c r="E327" s="25" cm="1">
        <f t="array" ref="E327:F329">Flip_byHadynWiseman($E$309:$G$310,0,0,0,1)</f>
        <v>6</v>
      </c>
      <c r="F327" s="96">
        <v>3</v>
      </c>
      <c r="K327" t="s">
        <v>1970</v>
      </c>
      <c r="L327" s="207" t="s">
        <v>2357</v>
      </c>
    </row>
    <row r="328" spans="5:12" ht="12.75" customHeight="1" x14ac:dyDescent="0.2">
      <c r="E328" s="95">
        <v>5</v>
      </c>
      <c r="F328" s="96">
        <v>2</v>
      </c>
      <c r="L328" s="207"/>
    </row>
    <row r="329" spans="5:12" ht="12.75" customHeight="1" x14ac:dyDescent="0.2">
      <c r="E329" s="95">
        <v>4</v>
      </c>
      <c r="F329" s="96">
        <v>1</v>
      </c>
      <c r="L329" s="207"/>
    </row>
    <row r="330" spans="5:12" ht="12.75" customHeight="1" x14ac:dyDescent="0.2">
      <c r="L330" s="87"/>
    </row>
    <row r="331" spans="5:12" ht="32.25" customHeight="1" x14ac:dyDescent="0.2">
      <c r="E331" s="230" t="s">
        <v>2772</v>
      </c>
      <c r="F331" s="209"/>
      <c r="G331" s="209"/>
      <c r="H331" s="209"/>
      <c r="I331" s="209"/>
      <c r="J331" s="209"/>
      <c r="K331" s="5" t="s">
        <v>2369</v>
      </c>
      <c r="L331" s="77"/>
    </row>
    <row r="332" spans="5:12" ht="15" customHeight="1" x14ac:dyDescent="0.2">
      <c r="E332" s="25" cm="1">
        <f t="array" ref="E332:G333">Flip_byHadynWiseman($E$309:$G$310,1,1)</f>
        <v>3</v>
      </c>
      <c r="F332" s="96">
        <v>2</v>
      </c>
      <c r="G332" s="96">
        <v>1</v>
      </c>
      <c r="K332" t="s">
        <v>2001</v>
      </c>
      <c r="L332" s="207" t="s">
        <v>2354</v>
      </c>
    </row>
    <row r="333" spans="5:12" ht="12.75" customHeight="1" x14ac:dyDescent="0.2">
      <c r="E333" s="95">
        <v>6</v>
      </c>
      <c r="F333" s="96">
        <v>5</v>
      </c>
      <c r="G333" s="96">
        <v>4</v>
      </c>
      <c r="L333" s="207"/>
    </row>
    <row r="334" spans="5:12" ht="12.75" customHeight="1" x14ac:dyDescent="0.2">
      <c r="L334" s="87"/>
    </row>
    <row r="335" spans="5:12" ht="21.75" customHeight="1" x14ac:dyDescent="0.2">
      <c r="E335" s="230" t="s">
        <v>2773</v>
      </c>
      <c r="F335" s="230"/>
      <c r="G335" s="230"/>
      <c r="H335" s="230"/>
      <c r="I335" s="230"/>
      <c r="J335" s="230"/>
      <c r="K335" s="5" t="s">
        <v>2353</v>
      </c>
      <c r="L335" s="89" t="s">
        <v>2774</v>
      </c>
    </row>
    <row r="336" spans="5:12" ht="15" customHeight="1" x14ac:dyDescent="0.2">
      <c r="E336" s="25" t="str" cm="1">
        <f t="array" ref="E336">Flip_byHadynWiseman($E$309:$G$310,1,0,0,0,"E309")</f>
        <v>G309</v>
      </c>
      <c r="L336" s="77"/>
    </row>
    <row r="337" spans="5:12" ht="12.75" customHeight="1" x14ac:dyDescent="0.2">
      <c r="L337" s="87"/>
    </row>
    <row r="338" spans="5:12" ht="25.5" customHeight="1" x14ac:dyDescent="0.2">
      <c r="E338" s="152" t="s">
        <v>1016</v>
      </c>
      <c r="F338" s="152"/>
      <c r="G338" s="152"/>
      <c r="H338" s="152"/>
      <c r="I338" s="152"/>
      <c r="J338" s="152"/>
    </row>
    <row r="339" spans="5:12" ht="15" customHeight="1" x14ac:dyDescent="0.2">
      <c r="E339" s="172" t="s">
        <v>1847</v>
      </c>
      <c r="F339" s="173"/>
      <c r="G339" s="173"/>
      <c r="H339" s="173"/>
      <c r="I339" s="173"/>
      <c r="J339" s="174"/>
    </row>
    <row r="340" spans="5:12" ht="12.75" customHeight="1" x14ac:dyDescent="0.2"/>
    <row r="341" spans="5:12" ht="12.75" customHeight="1" x14ac:dyDescent="0.2"/>
    <row r="342" spans="5:12" ht="15.75" customHeight="1" x14ac:dyDescent="0.2">
      <c r="E342" s="159" t="s">
        <v>1017</v>
      </c>
      <c r="F342" s="159"/>
      <c r="G342" s="159"/>
      <c r="H342" s="159"/>
      <c r="I342" s="159"/>
      <c r="J342" s="159"/>
      <c r="K342" s="159"/>
      <c r="L342" s="159"/>
    </row>
    <row r="343" spans="5:12" ht="15" customHeight="1" x14ac:dyDescent="0.2">
      <c r="E343" s="152" t="s">
        <v>2349</v>
      </c>
      <c r="F343" s="152"/>
      <c r="G343" s="152"/>
      <c r="H343" s="152"/>
      <c r="I343" s="152"/>
      <c r="J343" s="152"/>
    </row>
    <row r="344" spans="5:12" ht="15" customHeight="1" x14ac:dyDescent="0.2">
      <c r="E344" s="147" t="s">
        <v>1018</v>
      </c>
      <c r="F344" s="149"/>
      <c r="G344" s="149"/>
      <c r="H344" s="149"/>
      <c r="I344" s="149"/>
      <c r="J344" s="149"/>
    </row>
    <row r="345" spans="5:12" ht="12.75" customHeight="1" x14ac:dyDescent="0.2"/>
    <row r="346" spans="5:12" ht="12.75" customHeight="1" x14ac:dyDescent="0.2">
      <c r="E346" s="22" t="s">
        <v>2466</v>
      </c>
    </row>
    <row r="347" spans="5:12" ht="15" customHeight="1" x14ac:dyDescent="0.2">
      <c r="E347" s="94">
        <v>1</v>
      </c>
      <c r="G347" s="94">
        <v>1</v>
      </c>
      <c r="H347" s="94">
        <v>2</v>
      </c>
      <c r="I347" s="94">
        <v>3</v>
      </c>
    </row>
    <row r="348" spans="5:12" ht="15" customHeight="1" x14ac:dyDescent="0.2">
      <c r="E348" s="94">
        <v>2</v>
      </c>
    </row>
    <row r="349" spans="5:12" ht="15" customHeight="1" x14ac:dyDescent="0.2">
      <c r="E349" s="94">
        <v>3</v>
      </c>
    </row>
    <row r="351" spans="5:12" ht="12.75" customHeight="1" x14ac:dyDescent="0.2">
      <c r="E351" s="22" t="s">
        <v>2334</v>
      </c>
      <c r="K351" s="24" t="s">
        <v>2335</v>
      </c>
      <c r="L351" s="24" t="s">
        <v>2336</v>
      </c>
    </row>
    <row r="352" spans="5:12" ht="15" customHeight="1" x14ac:dyDescent="0.2">
      <c r="E352" s="230" t="s">
        <v>2775</v>
      </c>
      <c r="F352" s="209"/>
      <c r="G352" s="209"/>
      <c r="H352" s="209"/>
      <c r="I352" s="209"/>
      <c r="J352" s="209"/>
      <c r="K352" s="5" t="s">
        <v>1474</v>
      </c>
      <c r="L352" s="77"/>
    </row>
    <row r="353" spans="5:12" ht="15" customHeight="1" x14ac:dyDescent="0.2">
      <c r="E353" s="25" cm="1">
        <f t="array" ref="E353:E355">OffsetA_byPeterScharl($E$347:$E$349,1,0,,,"-")</f>
        <v>2</v>
      </c>
      <c r="K353" t="s">
        <v>1947</v>
      </c>
      <c r="L353" s="207" t="s">
        <v>2401</v>
      </c>
    </row>
    <row r="354" spans="5:12" ht="12.75" customHeight="1" x14ac:dyDescent="0.2">
      <c r="E354" s="95">
        <v>3</v>
      </c>
      <c r="L354" s="207"/>
    </row>
    <row r="355" spans="5:12" ht="12.75" customHeight="1" x14ac:dyDescent="0.2">
      <c r="E355" s="95" t="str">
        <v>-</v>
      </c>
      <c r="L355" s="207"/>
    </row>
    <row r="356" spans="5:12" ht="12.75" customHeight="1" x14ac:dyDescent="0.2">
      <c r="L356" s="87"/>
    </row>
    <row r="357" spans="5:12" ht="15" customHeight="1" x14ac:dyDescent="0.2">
      <c r="E357" s="230" t="s">
        <v>2776</v>
      </c>
      <c r="F357" s="209"/>
      <c r="G357" s="209"/>
      <c r="H357" s="209"/>
      <c r="I357" s="209"/>
      <c r="J357" s="209"/>
      <c r="K357" s="5" t="s">
        <v>1019</v>
      </c>
      <c r="L357" s="77"/>
    </row>
    <row r="358" spans="5:12" ht="15" customHeight="1" x14ac:dyDescent="0.2">
      <c r="E358" s="25" cm="1">
        <f t="array" ref="E358:E359">OffsetA_byPeterScharl($E$347:$E$349,0,0,2,,"-")</f>
        <v>1</v>
      </c>
      <c r="K358" t="s">
        <v>1980</v>
      </c>
      <c r="L358" s="207" t="s">
        <v>2383</v>
      </c>
    </row>
    <row r="359" spans="5:12" ht="12.75" customHeight="1" x14ac:dyDescent="0.2">
      <c r="E359" s="95">
        <v>2</v>
      </c>
      <c r="L359" s="207"/>
    </row>
    <row r="360" spans="5:12" ht="12.75" customHeight="1" x14ac:dyDescent="0.2">
      <c r="L360" s="87"/>
    </row>
    <row r="361" spans="5:12" ht="15" customHeight="1" x14ac:dyDescent="0.2">
      <c r="E361" s="230" t="s">
        <v>2777</v>
      </c>
      <c r="F361" s="209"/>
      <c r="G361" s="209"/>
      <c r="H361" s="209"/>
      <c r="I361" s="209"/>
      <c r="J361" s="209"/>
      <c r="K361" s="5" t="s">
        <v>1020</v>
      </c>
      <c r="L361" s="77" t="s">
        <v>2403</v>
      </c>
    </row>
    <row r="362" spans="5:12" ht="15" customHeight="1" x14ac:dyDescent="0.2">
      <c r="E362" s="25" cm="1">
        <f t="array" ref="E362:G362">OffsetA_byPeterScharl($G$347:$I$347,0,1,,,"-")</f>
        <v>2</v>
      </c>
      <c r="F362" s="96">
        <v>3</v>
      </c>
      <c r="G362" s="96" t="str">
        <v>-</v>
      </c>
      <c r="K362" t="s">
        <v>1978</v>
      </c>
      <c r="L362" s="77"/>
    </row>
    <row r="363" spans="5:12" ht="12.75" customHeight="1" x14ac:dyDescent="0.2">
      <c r="L363" s="87"/>
    </row>
    <row r="364" spans="5:12" ht="32.25" customHeight="1" x14ac:dyDescent="0.2">
      <c r="E364" s="230" t="s">
        <v>2778</v>
      </c>
      <c r="F364" s="209"/>
      <c r="G364" s="209"/>
      <c r="H364" s="209"/>
      <c r="I364" s="209"/>
      <c r="J364" s="209"/>
      <c r="K364" s="5" t="s">
        <v>1475</v>
      </c>
      <c r="L364" s="77"/>
    </row>
    <row r="365" spans="5:12" ht="15" customHeight="1" x14ac:dyDescent="0.2">
      <c r="E365" s="25" cm="1">
        <f t="array" ref="E365:E367">OffsetA_byPeterScharl($E$347:$E$349,2,0,,,"-")</f>
        <v>3</v>
      </c>
      <c r="K365" t="s">
        <v>1947</v>
      </c>
      <c r="L365" s="207" t="s">
        <v>2404</v>
      </c>
    </row>
    <row r="366" spans="5:12" ht="12.75" customHeight="1" x14ac:dyDescent="0.2">
      <c r="E366" s="95" t="str">
        <v>-</v>
      </c>
      <c r="L366" s="207"/>
    </row>
    <row r="367" spans="5:12" ht="12.75" customHeight="1" x14ac:dyDescent="0.2">
      <c r="E367" s="95" t="str">
        <v>-</v>
      </c>
      <c r="L367" s="207"/>
    </row>
    <row r="368" spans="5:12" ht="12.75" customHeight="1" x14ac:dyDescent="0.2">
      <c r="L368" s="87"/>
    </row>
    <row r="369" spans="5:12" ht="21.75" customHeight="1" x14ac:dyDescent="0.2">
      <c r="E369" s="230" t="s">
        <v>2779</v>
      </c>
      <c r="F369" s="209"/>
      <c r="G369" s="209"/>
      <c r="H369" s="209"/>
      <c r="I369" s="209"/>
      <c r="J369" s="209"/>
      <c r="K369" s="5" t="s">
        <v>1021</v>
      </c>
      <c r="L369" s="77" t="s">
        <v>2405</v>
      </c>
    </row>
    <row r="370" spans="5:12" ht="15" customHeight="1" x14ac:dyDescent="0.2">
      <c r="E370" s="25" cm="1">
        <f t="array" ref="E370:F370">OffsetA_byPeterScharl($G$347:$I$347,0,0,,2,"-")</f>
        <v>1</v>
      </c>
      <c r="F370" s="96">
        <v>2</v>
      </c>
      <c r="K370" t="s">
        <v>2093</v>
      </c>
      <c r="L370" s="77"/>
    </row>
    <row r="371" spans="5:12" ht="12.75" customHeight="1" x14ac:dyDescent="0.2">
      <c r="L371" s="87"/>
    </row>
    <row r="372" spans="5:12" ht="25.5" customHeight="1" x14ac:dyDescent="0.2">
      <c r="E372" s="152" t="s">
        <v>2463</v>
      </c>
      <c r="F372" s="152"/>
      <c r="G372" s="152"/>
      <c r="H372" s="152"/>
      <c r="I372" s="152"/>
      <c r="J372" s="152"/>
    </row>
    <row r="373" spans="5:12" ht="15" customHeight="1" x14ac:dyDescent="0.2">
      <c r="E373" s="172" t="s">
        <v>1848</v>
      </c>
      <c r="F373" s="173"/>
      <c r="G373" s="173"/>
      <c r="H373" s="173"/>
      <c r="I373" s="173"/>
      <c r="J373" s="174"/>
    </row>
    <row r="374" spans="5:12" ht="12.75" customHeight="1" x14ac:dyDescent="0.2"/>
    <row r="375" spans="5:12" ht="12.75" customHeight="1" x14ac:dyDescent="0.2"/>
    <row r="376" spans="5:12" ht="15.75" customHeight="1" x14ac:dyDescent="0.2">
      <c r="E376" s="159" t="s">
        <v>1022</v>
      </c>
      <c r="F376" s="159"/>
      <c r="G376" s="159"/>
      <c r="H376" s="159"/>
      <c r="I376" s="159"/>
      <c r="J376" s="159"/>
      <c r="K376" s="159"/>
      <c r="L376" s="159"/>
    </row>
    <row r="377" spans="5:12" ht="15" customHeight="1" x14ac:dyDescent="0.2">
      <c r="E377" s="152" t="s">
        <v>1023</v>
      </c>
      <c r="F377" s="149"/>
      <c r="G377" s="149"/>
      <c r="H377" s="149"/>
      <c r="I377" s="149"/>
      <c r="J377" s="149"/>
    </row>
    <row r="378" spans="5:12" ht="15" customHeight="1" x14ac:dyDescent="0.2">
      <c r="E378" s="147" t="s">
        <v>1024</v>
      </c>
      <c r="F378" s="149"/>
      <c r="G378" s="149"/>
      <c r="H378" s="149"/>
      <c r="I378" s="149"/>
      <c r="J378" s="149"/>
    </row>
    <row r="379" spans="5:12" ht="12.75" customHeight="1" x14ac:dyDescent="0.2"/>
    <row r="380" spans="5:12" ht="12.75" customHeight="1" x14ac:dyDescent="0.2">
      <c r="E380" s="22" t="s">
        <v>2452</v>
      </c>
    </row>
    <row r="381" spans="5:12" ht="15" customHeight="1" x14ac:dyDescent="0.2">
      <c r="E381" s="94" t="s">
        <v>2453</v>
      </c>
      <c r="F381" s="94" t="s">
        <v>2454</v>
      </c>
      <c r="G381" s="94" t="s">
        <v>2455</v>
      </c>
    </row>
    <row r="382" spans="5:12" ht="15" customHeight="1" x14ac:dyDescent="0.2">
      <c r="E382" s="94" t="s">
        <v>2456</v>
      </c>
      <c r="F382" s="94">
        <v>10</v>
      </c>
      <c r="G382" s="94">
        <v>20</v>
      </c>
    </row>
    <row r="383" spans="5:12" ht="15" customHeight="1" x14ac:dyDescent="0.2">
      <c r="E383" s="94" t="s">
        <v>2457</v>
      </c>
      <c r="F383" s="94">
        <v>30</v>
      </c>
      <c r="G383" s="94"/>
    </row>
    <row r="384" spans="5:12" ht="12.75" customHeight="1" x14ac:dyDescent="0.2"/>
    <row r="385" spans="5:12" ht="12.75" customHeight="1" x14ac:dyDescent="0.2">
      <c r="E385" s="22" t="s">
        <v>2334</v>
      </c>
      <c r="K385" s="24" t="s">
        <v>2335</v>
      </c>
      <c r="L385" s="24" t="s">
        <v>2336</v>
      </c>
    </row>
    <row r="386" spans="5:12" ht="21.75" customHeight="1" x14ac:dyDescent="0.2">
      <c r="E386" s="230" t="s">
        <v>2780</v>
      </c>
      <c r="F386" s="209"/>
      <c r="G386" s="209"/>
      <c r="H386" s="209"/>
      <c r="I386" s="209"/>
      <c r="J386" s="209"/>
      <c r="K386" s="5" t="s">
        <v>2464</v>
      </c>
      <c r="L386" s="77"/>
    </row>
    <row r="387" spans="5:12" ht="15" customHeight="1" x14ac:dyDescent="0.2">
      <c r="E387" s="25" t="str" cm="1">
        <f t="array" ref="E387:F390">UnPivot_byHadynWiseman($E$382:$E$383,$F$382:$G$383,0,0)</f>
        <v>Red</v>
      </c>
      <c r="F387" s="96">
        <v>10</v>
      </c>
      <c r="K387" t="s">
        <v>2367</v>
      </c>
      <c r="L387" s="207" t="s">
        <v>2460</v>
      </c>
    </row>
    <row r="388" spans="5:12" ht="12.75" customHeight="1" x14ac:dyDescent="0.2">
      <c r="E388" s="95" t="str">
        <v>Red</v>
      </c>
      <c r="F388" s="96">
        <v>20</v>
      </c>
      <c r="L388" s="207"/>
    </row>
    <row r="389" spans="5:12" ht="12.75" customHeight="1" x14ac:dyDescent="0.2">
      <c r="E389" s="95" t="str">
        <v>Blue</v>
      </c>
      <c r="F389" s="96">
        <v>30</v>
      </c>
      <c r="L389" s="207"/>
    </row>
    <row r="390" spans="5:12" ht="12.75" customHeight="1" x14ac:dyDescent="0.2">
      <c r="E390" s="95" t="str">
        <v>Blue</v>
      </c>
      <c r="F390" s="96">
        <v>0</v>
      </c>
      <c r="L390" s="207"/>
    </row>
    <row r="391" spans="5:12" ht="12.75" customHeight="1" x14ac:dyDescent="0.2">
      <c r="L391" s="87"/>
    </row>
    <row r="392" spans="5:12" ht="21.75" customHeight="1" x14ac:dyDescent="0.2">
      <c r="E392" s="230" t="s">
        <v>2781</v>
      </c>
      <c r="F392" s="209"/>
      <c r="G392" s="209"/>
      <c r="H392" s="209"/>
      <c r="I392" s="209"/>
      <c r="J392" s="209"/>
      <c r="K392" s="5" t="s">
        <v>2458</v>
      </c>
      <c r="L392" s="77"/>
    </row>
    <row r="393" spans="5:12" ht="15" customHeight="1" x14ac:dyDescent="0.2">
      <c r="E393" s="25" t="str" cm="1">
        <f t="array" ref="E393:F395">UnPivot_byHadynWiseman($E$382:$E$383,$F$382:$G$383,0,1)</f>
        <v>Red</v>
      </c>
      <c r="F393" s="96">
        <v>10</v>
      </c>
      <c r="K393" t="s">
        <v>1970</v>
      </c>
      <c r="L393" s="207" t="s">
        <v>2461</v>
      </c>
    </row>
    <row r="394" spans="5:12" ht="12.75" customHeight="1" x14ac:dyDescent="0.2">
      <c r="E394" s="95" t="str">
        <v>Red</v>
      </c>
      <c r="F394" s="96">
        <v>20</v>
      </c>
      <c r="L394" s="207"/>
    </row>
    <row r="395" spans="5:12" ht="12.75" customHeight="1" x14ac:dyDescent="0.2">
      <c r="E395" s="95" t="str">
        <v>Blue</v>
      </c>
      <c r="F395" s="96">
        <v>30</v>
      </c>
      <c r="L395" s="207"/>
    </row>
    <row r="396" spans="5:12" ht="12.75" customHeight="1" x14ac:dyDescent="0.2">
      <c r="L396" s="87"/>
    </row>
    <row r="397" spans="5:12" ht="21.75" customHeight="1" x14ac:dyDescent="0.2">
      <c r="E397" s="230" t="s">
        <v>2782</v>
      </c>
      <c r="F397" s="209"/>
      <c r="G397" s="209"/>
      <c r="H397" s="209"/>
      <c r="I397" s="209"/>
      <c r="J397" s="209"/>
      <c r="K397" s="5" t="s">
        <v>2459</v>
      </c>
      <c r="L397" s="77"/>
    </row>
    <row r="398" spans="5:12" ht="15" customHeight="1" x14ac:dyDescent="0.2">
      <c r="E398" s="25" t="str" cm="1">
        <f t="array" ref="E398:G401">UnPivot_byHadynWiseman($E$381:$E$383,$F$381:$G$383,1,0)</f>
        <v>Red</v>
      </c>
      <c r="F398" s="96" t="str">
        <v>Jan</v>
      </c>
      <c r="G398" s="96">
        <v>10</v>
      </c>
      <c r="K398" t="s">
        <v>1992</v>
      </c>
      <c r="L398" s="207" t="s">
        <v>2462</v>
      </c>
    </row>
    <row r="399" spans="5:12" ht="12.75" customHeight="1" x14ac:dyDescent="0.2">
      <c r="E399" s="95" t="str">
        <v>Red</v>
      </c>
      <c r="F399" s="96" t="str">
        <v>Feb</v>
      </c>
      <c r="G399" s="96">
        <v>20</v>
      </c>
      <c r="L399" s="207"/>
    </row>
    <row r="400" spans="5:12" ht="12.75" customHeight="1" x14ac:dyDescent="0.2">
      <c r="E400" s="95" t="str">
        <v>Blue</v>
      </c>
      <c r="F400" s="96" t="str">
        <v>Jan</v>
      </c>
      <c r="G400" s="96">
        <v>30</v>
      </c>
      <c r="L400" s="207"/>
    </row>
    <row r="401" spans="5:12" ht="12.75" customHeight="1" x14ac:dyDescent="0.2">
      <c r="E401" s="95" t="str">
        <v>Blue</v>
      </c>
      <c r="F401" s="96" t="str">
        <v>Feb</v>
      </c>
      <c r="G401" s="96">
        <v>0</v>
      </c>
      <c r="L401" s="207"/>
    </row>
    <row r="402" spans="5:12" ht="12.75" customHeight="1" x14ac:dyDescent="0.2">
      <c r="L402" s="87"/>
    </row>
    <row r="403" spans="5:12" ht="25.5" customHeight="1" x14ac:dyDescent="0.2">
      <c r="E403" s="152" t="s">
        <v>1476</v>
      </c>
      <c r="F403" s="152"/>
      <c r="G403" s="152"/>
      <c r="H403" s="152"/>
      <c r="I403" s="152"/>
      <c r="J403" s="152"/>
    </row>
    <row r="404" spans="5:12" ht="15" customHeight="1" x14ac:dyDescent="0.2">
      <c r="E404" s="172" t="s">
        <v>1849</v>
      </c>
      <c r="F404" s="212"/>
      <c r="G404" s="212"/>
      <c r="H404" s="212"/>
      <c r="I404" s="212"/>
      <c r="J404" s="213"/>
    </row>
    <row r="405" spans="5:12" ht="21.75" customHeight="1" x14ac:dyDescent="0.2">
      <c r="E405" s="147" t="s">
        <v>1477</v>
      </c>
      <c r="F405" s="147"/>
      <c r="G405" s="147"/>
      <c r="H405" s="147"/>
      <c r="I405" s="147"/>
      <c r="J405" s="147"/>
    </row>
    <row r="406" spans="5:12" ht="12.75" customHeight="1" x14ac:dyDescent="0.2"/>
    <row r="407" spans="5:12" ht="12.75" customHeight="1" x14ac:dyDescent="0.2"/>
    <row r="408" spans="5:12" ht="15.75" customHeight="1" x14ac:dyDescent="0.2">
      <c r="E408" s="159" t="s">
        <v>1025</v>
      </c>
      <c r="F408" s="159"/>
      <c r="G408" s="159"/>
      <c r="H408" s="159"/>
      <c r="I408" s="159"/>
      <c r="J408" s="159"/>
      <c r="K408" s="159"/>
      <c r="L408" s="159"/>
    </row>
    <row r="409" spans="5:12" ht="15" customHeight="1" x14ac:dyDescent="0.2">
      <c r="E409" s="152" t="s">
        <v>1026</v>
      </c>
      <c r="F409" s="149"/>
      <c r="G409" s="149"/>
      <c r="H409" s="149"/>
      <c r="I409" s="149"/>
      <c r="J409" s="149"/>
    </row>
    <row r="410" spans="5:12" ht="15" customHeight="1" x14ac:dyDescent="0.2">
      <c r="E410" s="147" t="s">
        <v>1027</v>
      </c>
      <c r="F410" s="149"/>
      <c r="G410" s="149"/>
      <c r="H410" s="149"/>
      <c r="I410" s="149"/>
      <c r="J410" s="149"/>
    </row>
    <row r="411" spans="5:12" ht="12.75" customHeight="1" x14ac:dyDescent="0.2"/>
    <row r="412" spans="5:12" ht="12.75" customHeight="1" x14ac:dyDescent="0.2">
      <c r="E412" s="22" t="s">
        <v>2441</v>
      </c>
    </row>
    <row r="413" spans="5:12" ht="15" customHeight="1" x14ac:dyDescent="0.2">
      <c r="E413" s="94">
        <v>1</v>
      </c>
      <c r="F413" s="94">
        <v>2</v>
      </c>
      <c r="G413" s="94" t="s">
        <v>688</v>
      </c>
    </row>
    <row r="414" spans="5:12" ht="15" customHeight="1" x14ac:dyDescent="0.2">
      <c r="E414" s="94">
        <v>4</v>
      </c>
      <c r="F414" s="94">
        <v>5</v>
      </c>
      <c r="G414" s="94">
        <v>6</v>
      </c>
    </row>
    <row r="415" spans="5:12" ht="12.75" customHeight="1" x14ac:dyDescent="0.2"/>
    <row r="416" spans="5:12" ht="12.75" customHeight="1" x14ac:dyDescent="0.2">
      <c r="E416" s="22" t="s">
        <v>2334</v>
      </c>
      <c r="K416" s="24" t="s">
        <v>2335</v>
      </c>
      <c r="L416" s="24" t="s">
        <v>2336</v>
      </c>
    </row>
    <row r="417" spans="5:12" ht="21.75" customHeight="1" x14ac:dyDescent="0.2">
      <c r="E417" s="230" t="s">
        <v>2783</v>
      </c>
      <c r="F417" s="209"/>
      <c r="G417" s="209"/>
      <c r="H417" s="209"/>
      <c r="I417" s="209"/>
      <c r="J417" s="209"/>
      <c r="K417" s="5" t="s">
        <v>2442</v>
      </c>
      <c r="L417" s="77"/>
    </row>
    <row r="418" spans="5:12" ht="15" customHeight="1" x14ac:dyDescent="0.2">
      <c r="E418" s="25" t="str" cm="1">
        <f t="array" ref="E418:G419">Fold_byHadynWiseman($E$413:$G$414,"←")</f>
        <v>.</v>
      </c>
      <c r="F418" s="96">
        <v>2</v>
      </c>
      <c r="G418" s="96" t="str">
        <v/>
      </c>
      <c r="K418" t="s">
        <v>2001</v>
      </c>
      <c r="L418" s="207" t="s">
        <v>2447</v>
      </c>
    </row>
    <row r="419" spans="5:12" ht="12.75" customHeight="1" x14ac:dyDescent="0.2">
      <c r="E419" s="95">
        <v>6</v>
      </c>
      <c r="F419" s="96">
        <v>5</v>
      </c>
      <c r="G419" s="96" t="str">
        <v/>
      </c>
      <c r="L419" s="207"/>
    </row>
    <row r="420" spans="5:12" ht="12.75" customHeight="1" x14ac:dyDescent="0.2">
      <c r="L420" s="87"/>
    </row>
    <row r="421" spans="5:12" ht="15" customHeight="1" x14ac:dyDescent="0.2">
      <c r="E421" s="230" t="s">
        <v>2784</v>
      </c>
      <c r="F421" s="209"/>
      <c r="G421" s="209"/>
      <c r="H421" s="209"/>
      <c r="I421" s="209"/>
      <c r="J421" s="209"/>
      <c r="K421" s="5" t="s">
        <v>2443</v>
      </c>
      <c r="L421" s="77"/>
    </row>
    <row r="422" spans="5:12" ht="15" customHeight="1" x14ac:dyDescent="0.2">
      <c r="E422" s="25" t="str" cm="1">
        <f t="array" ref="E422:G423">Fold_byHadynWiseman($E$413:$G$414,"→")</f>
        <v/>
      </c>
      <c r="F422" s="96">
        <v>2</v>
      </c>
      <c r="G422" s="96">
        <v>1</v>
      </c>
      <c r="K422" t="s">
        <v>2001</v>
      </c>
      <c r="L422" s="207" t="s">
        <v>2448</v>
      </c>
    </row>
    <row r="423" spans="5:12" ht="12.75" customHeight="1" x14ac:dyDescent="0.2">
      <c r="E423" s="95" t="str">
        <v/>
      </c>
      <c r="F423" s="96">
        <v>5</v>
      </c>
      <c r="G423" s="96">
        <v>4</v>
      </c>
      <c r="L423" s="207"/>
    </row>
    <row r="424" spans="5:12" ht="12.75" customHeight="1" x14ac:dyDescent="0.2">
      <c r="L424" s="87"/>
    </row>
    <row r="425" spans="5:12" ht="21.75" customHeight="1" x14ac:dyDescent="0.2">
      <c r="E425" s="230" t="s">
        <v>2785</v>
      </c>
      <c r="F425" s="209"/>
      <c r="G425" s="209"/>
      <c r="H425" s="209"/>
      <c r="I425" s="209"/>
      <c r="J425" s="209"/>
      <c r="K425" s="5" t="s">
        <v>2444</v>
      </c>
      <c r="L425" s="77"/>
    </row>
    <row r="426" spans="5:12" ht="15" customHeight="1" x14ac:dyDescent="0.2">
      <c r="E426" s="25" cm="1">
        <f t="array" ref="E426:G427">Fold_byHadynWiseman($E$413:$G$414,"↑")</f>
        <v>4</v>
      </c>
      <c r="F426" s="96">
        <v>5</v>
      </c>
      <c r="G426" s="96">
        <v>6</v>
      </c>
      <c r="K426" t="s">
        <v>2001</v>
      </c>
      <c r="L426" s="207" t="s">
        <v>2449</v>
      </c>
    </row>
    <row r="427" spans="5:12" ht="12.75" customHeight="1" x14ac:dyDescent="0.2">
      <c r="E427" s="95" t="str">
        <v/>
      </c>
      <c r="F427" s="96" t="str">
        <v/>
      </c>
      <c r="G427" s="96" t="str">
        <v/>
      </c>
      <c r="L427" s="207"/>
    </row>
    <row r="428" spans="5:12" ht="12.75" customHeight="1" x14ac:dyDescent="0.2">
      <c r="L428" s="87"/>
    </row>
    <row r="429" spans="5:12" ht="21.75" customHeight="1" x14ac:dyDescent="0.2">
      <c r="E429" s="230" t="s">
        <v>2786</v>
      </c>
      <c r="F429" s="209"/>
      <c r="G429" s="209"/>
      <c r="H429" s="209"/>
      <c r="I429" s="209"/>
      <c r="J429" s="209"/>
      <c r="K429" s="5" t="s">
        <v>2445</v>
      </c>
      <c r="L429" s="77"/>
    </row>
    <row r="430" spans="5:12" ht="15" customHeight="1" x14ac:dyDescent="0.2">
      <c r="E430" s="25" cm="1">
        <f t="array" ref="E430:G431">Fold_byHadynWiseman($E$413:$G$414,"←",,1)</f>
        <v>1</v>
      </c>
      <c r="F430" s="96" t="str">
        <v>.</v>
      </c>
      <c r="G430" s="96" t="str">
        <v/>
      </c>
      <c r="K430" t="s">
        <v>2001</v>
      </c>
      <c r="L430" s="207" t="s">
        <v>2450</v>
      </c>
    </row>
    <row r="431" spans="5:12" ht="12.75" customHeight="1" x14ac:dyDescent="0.2">
      <c r="E431" s="95">
        <v>4</v>
      </c>
      <c r="F431" s="96">
        <v>6</v>
      </c>
      <c r="G431" s="96" t="str">
        <v/>
      </c>
      <c r="L431" s="207"/>
    </row>
    <row r="432" spans="5:12" ht="12.75" customHeight="1" x14ac:dyDescent="0.2">
      <c r="L432" s="87"/>
    </row>
    <row r="433" spans="5:12" ht="32.25" customHeight="1" x14ac:dyDescent="0.2">
      <c r="E433" s="230" t="s">
        <v>2787</v>
      </c>
      <c r="F433" s="209"/>
      <c r="G433" s="209"/>
      <c r="H433" s="209"/>
      <c r="I433" s="209"/>
      <c r="J433" s="209"/>
      <c r="K433" s="5" t="s">
        <v>2446</v>
      </c>
      <c r="L433" s="77"/>
    </row>
    <row r="434" spans="5:12" ht="15" customHeight="1" x14ac:dyDescent="0.2">
      <c r="E434" s="25" cm="1">
        <f t="array" ref="E434:G435">Fold_byHadynWiseman($E$413:$G$414,"←",".")</f>
        <v>1</v>
      </c>
      <c r="F434" s="96">
        <v>2</v>
      </c>
      <c r="G434" s="96" t="str">
        <v/>
      </c>
      <c r="K434" t="s">
        <v>2001</v>
      </c>
      <c r="L434" s="207" t="s">
        <v>2451</v>
      </c>
    </row>
    <row r="435" spans="5:12" ht="12.75" customHeight="1" x14ac:dyDescent="0.2">
      <c r="E435" s="95">
        <v>6</v>
      </c>
      <c r="F435" s="96">
        <v>5</v>
      </c>
      <c r="G435" s="96" t="str">
        <v/>
      </c>
      <c r="L435" s="207"/>
    </row>
    <row r="436" spans="5:12" ht="12.75" customHeight="1" x14ac:dyDescent="0.2"/>
    <row r="437" spans="5:12" ht="15" customHeight="1" x14ac:dyDescent="0.2">
      <c r="E437" s="152" t="s">
        <v>1028</v>
      </c>
      <c r="F437" s="152"/>
      <c r="G437" s="152"/>
      <c r="H437" s="152"/>
      <c r="I437" s="152"/>
      <c r="J437" s="152"/>
    </row>
    <row r="438" spans="5:12" ht="15" customHeight="1" x14ac:dyDescent="0.2">
      <c r="E438" s="147" t="s">
        <v>1478</v>
      </c>
      <c r="F438" s="149"/>
      <c r="G438" s="149"/>
      <c r="H438" s="149"/>
      <c r="I438" s="149"/>
      <c r="J438" s="149"/>
    </row>
    <row r="439" spans="5:12" ht="12.75" customHeight="1" x14ac:dyDescent="0.2"/>
    <row r="440" spans="5:12" ht="12.75" customHeight="1" x14ac:dyDescent="0.2"/>
    <row r="441" spans="5:12" ht="15.75" customHeight="1" x14ac:dyDescent="0.2">
      <c r="E441" s="159" t="s">
        <v>2016</v>
      </c>
      <c r="F441" s="159"/>
      <c r="G441" s="159"/>
      <c r="H441" s="159"/>
      <c r="I441" s="159"/>
      <c r="J441" s="159"/>
      <c r="K441" s="159"/>
      <c r="L441" s="159"/>
    </row>
    <row r="442" spans="5:12" ht="25.5" customHeight="1" x14ac:dyDescent="0.2">
      <c r="E442" s="152" t="s">
        <v>2020</v>
      </c>
      <c r="F442" s="152"/>
      <c r="G442" s="152"/>
      <c r="H442" s="152"/>
      <c r="I442" s="152"/>
      <c r="J442" s="152"/>
    </row>
    <row r="443" spans="5:12" ht="21.75" customHeight="1" x14ac:dyDescent="0.2">
      <c r="E443" s="147" t="s">
        <v>2018</v>
      </c>
      <c r="F443" s="149"/>
      <c r="G443" s="149"/>
      <c r="H443" s="149"/>
      <c r="I443" s="149"/>
      <c r="J443" s="149"/>
    </row>
    <row r="444" spans="5:12" ht="12.75" customHeight="1" x14ac:dyDescent="0.2"/>
    <row r="445" spans="5:12" ht="12.75" customHeight="1" x14ac:dyDescent="0.2">
      <c r="E445" s="22" t="s">
        <v>1029</v>
      </c>
    </row>
    <row r="446" spans="5:12" ht="12.75" customHeight="1" x14ac:dyDescent="0.2">
      <c r="E446" s="94">
        <v>800</v>
      </c>
      <c r="F446" s="94">
        <v>0</v>
      </c>
    </row>
    <row r="447" spans="5:12" ht="12.75" customHeight="1" x14ac:dyDescent="0.2">
      <c r="E447" s="94">
        <v>800</v>
      </c>
      <c r="F447" s="94">
        <v>0</v>
      </c>
    </row>
    <row r="448" spans="5:12" ht="12.75" customHeight="1" x14ac:dyDescent="0.2">
      <c r="E448" s="94">
        <v>800</v>
      </c>
      <c r="F448" s="94">
        <v>1</v>
      </c>
    </row>
    <row r="449" spans="5:12" ht="12.75" customHeight="1" x14ac:dyDescent="0.2">
      <c r="E449" s="94">
        <v>800</v>
      </c>
      <c r="F449" s="94">
        <v>0</v>
      </c>
    </row>
    <row r="450" spans="5:12" ht="12.75" customHeight="1" x14ac:dyDescent="0.2">
      <c r="E450" s="94">
        <v>800</v>
      </c>
      <c r="F450" s="94">
        <v>0</v>
      </c>
    </row>
    <row r="451" spans="5:12" ht="12.75" customHeight="1" x14ac:dyDescent="0.2"/>
    <row r="452" spans="5:12" ht="12.75" customHeight="1" x14ac:dyDescent="0.2">
      <c r="E452" s="22" t="s">
        <v>2334</v>
      </c>
      <c r="K452" s="24" t="s">
        <v>2335</v>
      </c>
      <c r="L452" s="24" t="s">
        <v>2336</v>
      </c>
    </row>
    <row r="453" spans="5:12" ht="15" customHeight="1" x14ac:dyDescent="0.2">
      <c r="E453" s="230" t="s">
        <v>2788</v>
      </c>
      <c r="F453" s="148"/>
      <c r="G453" s="148"/>
      <c r="H453" s="148"/>
      <c r="I453" s="148"/>
      <c r="J453" s="148"/>
      <c r="K453" s="5" t="s">
        <v>1479</v>
      </c>
      <c r="L453" s="77"/>
    </row>
    <row r="454" spans="5:12" ht="15" customHeight="1" x14ac:dyDescent="0.2">
      <c r="E454" s="25" cm="1">
        <f t="array" ref="E454:E458">RunningTotal_byJaqKennedy($E$446:$E$450)</f>
        <v>800</v>
      </c>
      <c r="K454" s="78" t="s">
        <v>1944</v>
      </c>
      <c r="L454" s="207" t="s">
        <v>2061</v>
      </c>
    </row>
    <row r="455" spans="5:12" ht="12.75" customHeight="1" x14ac:dyDescent="0.2">
      <c r="E455" s="96">
        <v>1600</v>
      </c>
      <c r="L455" s="207"/>
    </row>
    <row r="456" spans="5:12" ht="12.75" customHeight="1" x14ac:dyDescent="0.2">
      <c r="E456" s="96">
        <v>2400</v>
      </c>
      <c r="L456" s="207"/>
    </row>
    <row r="457" spans="5:12" ht="12.75" customHeight="1" x14ac:dyDescent="0.2">
      <c r="E457" s="96">
        <v>3200</v>
      </c>
      <c r="L457" s="207"/>
    </row>
    <row r="458" spans="5:12" ht="12.75" customHeight="1" x14ac:dyDescent="0.2">
      <c r="E458" s="96">
        <v>4000</v>
      </c>
      <c r="L458" s="207"/>
    </row>
    <row r="459" spans="5:12" ht="12.75" customHeight="1" x14ac:dyDescent="0.2">
      <c r="L459" s="87"/>
    </row>
    <row r="460" spans="5:12" ht="21.75" customHeight="1" x14ac:dyDescent="0.2">
      <c r="E460" s="230" t="s">
        <v>2789</v>
      </c>
      <c r="F460" s="148"/>
      <c r="G460" s="148"/>
      <c r="H460" s="148"/>
      <c r="I460" s="148"/>
      <c r="J460" s="148"/>
      <c r="K460" s="5" t="s">
        <v>2021</v>
      </c>
      <c r="L460" s="77"/>
    </row>
    <row r="461" spans="5:12" ht="15" customHeight="1" x14ac:dyDescent="0.2">
      <c r="E461" s="25" cm="1">
        <f t="array" ref="E461:E465">RunningTotal_byJaqKennedy($E$446:$E$450,$F$446:$F$450,0)</f>
        <v>800</v>
      </c>
      <c r="K461" s="78" t="s">
        <v>1944</v>
      </c>
      <c r="L461" s="207" t="s">
        <v>2024</v>
      </c>
    </row>
    <row r="462" spans="5:12" ht="12.75" customHeight="1" x14ac:dyDescent="0.2">
      <c r="E462" s="96">
        <v>1600</v>
      </c>
      <c r="L462" s="207"/>
    </row>
    <row r="463" spans="5:12" ht="12.75" customHeight="1" x14ac:dyDescent="0.2">
      <c r="E463" s="96">
        <v>800</v>
      </c>
      <c r="L463" s="207"/>
    </row>
    <row r="464" spans="5:12" ht="12.75" customHeight="1" x14ac:dyDescent="0.2">
      <c r="E464" s="96">
        <v>1600</v>
      </c>
      <c r="L464" s="207"/>
    </row>
    <row r="465" spans="5:12" ht="12.75" customHeight="1" x14ac:dyDescent="0.2">
      <c r="E465" s="96">
        <v>2400</v>
      </c>
      <c r="L465" s="207"/>
    </row>
    <row r="466" spans="5:12" ht="12.75" customHeight="1" x14ac:dyDescent="0.2">
      <c r="L466" s="87"/>
    </row>
    <row r="467" spans="5:12" ht="15" customHeight="1" x14ac:dyDescent="0.2">
      <c r="E467" s="230" t="s">
        <v>2790</v>
      </c>
      <c r="F467" s="148"/>
      <c r="G467" s="148"/>
      <c r="H467" s="148"/>
      <c r="I467" s="148"/>
      <c r="J467" s="148"/>
      <c r="K467" s="5" t="s">
        <v>2022</v>
      </c>
      <c r="L467" s="77"/>
    </row>
    <row r="468" spans="5:12" ht="15" customHeight="1" x14ac:dyDescent="0.2">
      <c r="E468" s="25" cm="1">
        <f t="array" ref="E468:E472">RunningTotal_byJaqKennedy($E$446:$E$450,$F$446:$F$450,2400)</f>
        <v>800</v>
      </c>
      <c r="K468" s="78" t="s">
        <v>1944</v>
      </c>
      <c r="L468" s="207" t="s">
        <v>2108</v>
      </c>
    </row>
    <row r="469" spans="5:12" ht="12.75" customHeight="1" x14ac:dyDescent="0.2">
      <c r="E469" s="96">
        <v>1600</v>
      </c>
      <c r="L469" s="207"/>
    </row>
    <row r="470" spans="5:12" ht="12.75" customHeight="1" x14ac:dyDescent="0.2">
      <c r="E470" s="96">
        <v>3200</v>
      </c>
      <c r="L470" s="207"/>
    </row>
    <row r="471" spans="5:12" ht="12.75" customHeight="1" x14ac:dyDescent="0.2">
      <c r="E471" s="96">
        <v>4000</v>
      </c>
      <c r="L471" s="207"/>
    </row>
    <row r="472" spans="5:12" ht="12.75" customHeight="1" x14ac:dyDescent="0.2">
      <c r="E472" s="96">
        <v>4800</v>
      </c>
      <c r="L472" s="207"/>
    </row>
    <row r="473" spans="5:12" ht="12.75" customHeight="1" x14ac:dyDescent="0.2">
      <c r="L473" s="87"/>
    </row>
    <row r="474" spans="5:12" ht="15" customHeight="1" x14ac:dyDescent="0.2">
      <c r="E474" s="230" t="s">
        <v>2791</v>
      </c>
      <c r="F474" s="148"/>
      <c r="G474" s="148"/>
      <c r="H474" s="148"/>
      <c r="I474" s="148"/>
      <c r="J474" s="148"/>
      <c r="K474" s="5" t="s">
        <v>2023</v>
      </c>
      <c r="L474" s="77"/>
    </row>
    <row r="475" spans="5:12" ht="15" customHeight="1" x14ac:dyDescent="0.2">
      <c r="E475" s="25" cm="1">
        <f t="array" ref="E475:E479">RunningTotal_byJaqKennedy($E$446:$E$450,,,2000)</f>
        <v>800</v>
      </c>
      <c r="K475" s="78" t="s">
        <v>1944</v>
      </c>
      <c r="L475" s="207" t="s">
        <v>2062</v>
      </c>
    </row>
    <row r="476" spans="5:12" ht="12.75" customHeight="1" x14ac:dyDescent="0.2">
      <c r="E476" s="96">
        <v>1600</v>
      </c>
      <c r="L476" s="207"/>
    </row>
    <row r="477" spans="5:12" ht="12.75" customHeight="1" x14ac:dyDescent="0.2">
      <c r="E477" s="96">
        <v>2000</v>
      </c>
      <c r="L477" s="207"/>
    </row>
    <row r="478" spans="5:12" ht="12.75" customHeight="1" x14ac:dyDescent="0.2">
      <c r="E478" s="96">
        <v>2000</v>
      </c>
      <c r="L478" s="207"/>
    </row>
    <row r="479" spans="5:12" ht="12.75" customHeight="1" x14ac:dyDescent="0.2">
      <c r="E479" s="96">
        <v>2000</v>
      </c>
      <c r="L479" s="207"/>
    </row>
    <row r="480" spans="5:12" ht="12.75" customHeight="1" x14ac:dyDescent="0.2">
      <c r="L480" s="87"/>
    </row>
    <row r="481" spans="5:10" ht="38.25" customHeight="1" x14ac:dyDescent="0.2">
      <c r="E481" s="152" t="s">
        <v>1030</v>
      </c>
      <c r="F481" s="152"/>
      <c r="G481" s="152"/>
      <c r="H481" s="152"/>
      <c r="I481" s="152"/>
      <c r="J481" s="152"/>
    </row>
    <row r="482" spans="5:10" ht="38.25" customHeight="1" x14ac:dyDescent="0.2">
      <c r="E482" s="172" t="s">
        <v>2019</v>
      </c>
      <c r="F482" s="173"/>
      <c r="G482" s="173"/>
      <c r="H482" s="173"/>
      <c r="I482" s="173"/>
      <c r="J482" s="174"/>
    </row>
    <row r="483" spans="5:10" ht="21.75" customHeight="1" x14ac:dyDescent="0.2">
      <c r="E483" s="147" t="s">
        <v>1480</v>
      </c>
      <c r="F483" s="147"/>
      <c r="G483" s="147"/>
      <c r="H483" s="147"/>
      <c r="I483" s="147"/>
      <c r="J483" s="147"/>
    </row>
    <row r="484" spans="5:10" ht="12.75" customHeight="1" x14ac:dyDescent="0.2"/>
    <row r="486" spans="5:10" ht="38.25" customHeight="1" x14ac:dyDescent="0.2"/>
    <row r="487" spans="5:10" ht="21.75" customHeight="1" x14ac:dyDescent="0.2"/>
    <row r="488" spans="5:10" ht="12.75" customHeight="1" x14ac:dyDescent="0.2"/>
    <row r="490" spans="5:10" ht="21.75" customHeight="1" x14ac:dyDescent="0.2"/>
    <row r="491" spans="5:10" ht="12.75" customHeight="1" x14ac:dyDescent="0.2"/>
  </sheetData>
  <mergeCells count="170">
    <mergeCell ref="L130:L135"/>
    <mergeCell ref="L138:L143"/>
    <mergeCell ref="L146:L150"/>
    <mergeCell ref="L153:L159"/>
    <mergeCell ref="L162:L166"/>
    <mergeCell ref="E239:J239"/>
    <mergeCell ref="E279:J279"/>
    <mergeCell ref="E176:L176"/>
    <mergeCell ref="E173:J173"/>
    <mergeCell ref="E172:J172"/>
    <mergeCell ref="E171:J171"/>
    <mergeCell ref="L353:L355"/>
    <mergeCell ref="L358:L359"/>
    <mergeCell ref="L365:L367"/>
    <mergeCell ref="L387:L390"/>
    <mergeCell ref="L393:L395"/>
    <mergeCell ref="E6:L6"/>
    <mergeCell ref="E17:J17"/>
    <mergeCell ref="L73:L74"/>
    <mergeCell ref="L77:L78"/>
    <mergeCell ref="L314:L315"/>
    <mergeCell ref="L318:L319"/>
    <mergeCell ref="L322:L324"/>
    <mergeCell ref="L327:L329"/>
    <mergeCell ref="L332:L333"/>
    <mergeCell ref="L287:L289"/>
    <mergeCell ref="L292:L293"/>
    <mergeCell ref="L296:L298"/>
    <mergeCell ref="L223:L226"/>
    <mergeCell ref="L229:L232"/>
    <mergeCell ref="L18:L20"/>
    <mergeCell ref="L23:L24"/>
    <mergeCell ref="L98:L103"/>
    <mergeCell ref="L106:L111"/>
    <mergeCell ref="L114:L119"/>
    <mergeCell ref="E392:J392"/>
    <mergeCell ref="E397:J397"/>
    <mergeCell ref="E417:J417"/>
    <mergeCell ref="E421:J421"/>
    <mergeCell ref="E425:J425"/>
    <mergeCell ref="E429:J429"/>
    <mergeCell ref="E433:J433"/>
    <mergeCell ref="E80:J80"/>
    <mergeCell ref="E59:L59"/>
    <mergeCell ref="E352:J352"/>
    <mergeCell ref="E357:J357"/>
    <mergeCell ref="E361:J361"/>
    <mergeCell ref="E364:J364"/>
    <mergeCell ref="E369:J369"/>
    <mergeCell ref="E386:J386"/>
    <mergeCell ref="E222:J222"/>
    <mergeCell ref="E228:J228"/>
    <mergeCell ref="E250:J250"/>
    <mergeCell ref="E256:J256"/>
    <mergeCell ref="E262:J262"/>
    <mergeCell ref="E269:J269"/>
    <mergeCell ref="E313:J313"/>
    <mergeCell ref="E317:J317"/>
    <mergeCell ref="E321:J321"/>
    <mergeCell ref="E343:J343"/>
    <mergeCell ref="E342:L342"/>
    <mergeCell ref="E339:J339"/>
    <mergeCell ref="E338:J338"/>
    <mergeCell ref="E304:L304"/>
    <mergeCell ref="E300:J300"/>
    <mergeCell ref="E335:J335"/>
    <mergeCell ref="E186:J186"/>
    <mergeCell ref="E191:J191"/>
    <mergeCell ref="E196:J196"/>
    <mergeCell ref="E199:J199"/>
    <mergeCell ref="L187:L189"/>
    <mergeCell ref="L192:L194"/>
    <mergeCell ref="L200:L202"/>
    <mergeCell ref="L205:L207"/>
    <mergeCell ref="E326:J326"/>
    <mergeCell ref="E331:J331"/>
    <mergeCell ref="L251:L254"/>
    <mergeCell ref="L257:L260"/>
    <mergeCell ref="L263:L267"/>
    <mergeCell ref="E22:J22"/>
    <mergeCell ref="E26:J26"/>
    <mergeCell ref="E43:J43"/>
    <mergeCell ref="E49:J49"/>
    <mergeCell ref="E97:J97"/>
    <mergeCell ref="E105:J105"/>
    <mergeCell ref="E113:J113"/>
    <mergeCell ref="E121:J121"/>
    <mergeCell ref="E129:J129"/>
    <mergeCell ref="E56:J56"/>
    <mergeCell ref="E55:J55"/>
    <mergeCell ref="E32:L32"/>
    <mergeCell ref="E29:J29"/>
    <mergeCell ref="E86:J86"/>
    <mergeCell ref="E85:J85"/>
    <mergeCell ref="E84:L84"/>
    <mergeCell ref="L44:L47"/>
    <mergeCell ref="L50:L53"/>
    <mergeCell ref="L122:L127"/>
    <mergeCell ref="E483:J483"/>
    <mergeCell ref="E482:J482"/>
    <mergeCell ref="E481:J481"/>
    <mergeCell ref="E442:J442"/>
    <mergeCell ref="E441:L441"/>
    <mergeCell ref="E437:J437"/>
    <mergeCell ref="E408:L408"/>
    <mergeCell ref="E405:J405"/>
    <mergeCell ref="E460:J460"/>
    <mergeCell ref="E474:J474"/>
    <mergeCell ref="E453:J453"/>
    <mergeCell ref="E467:J467"/>
    <mergeCell ref="L475:L479"/>
    <mergeCell ref="L418:L419"/>
    <mergeCell ref="L422:L423"/>
    <mergeCell ref="L426:L427"/>
    <mergeCell ref="L430:L431"/>
    <mergeCell ref="L434:L435"/>
    <mergeCell ref="L454:L458"/>
    <mergeCell ref="L461:L465"/>
    <mergeCell ref="L468:L472"/>
    <mergeCell ref="E443:J443"/>
    <mergeCell ref="E410:J410"/>
    <mergeCell ref="E438:J438"/>
    <mergeCell ref="E409:J409"/>
    <mergeCell ref="E344:J344"/>
    <mergeCell ref="E301:J301"/>
    <mergeCell ref="E210:J210"/>
    <mergeCell ref="E378:J378"/>
    <mergeCell ref="E33:J33"/>
    <mergeCell ref="E76:J76"/>
    <mergeCell ref="E404:J404"/>
    <mergeCell ref="E286:J286"/>
    <mergeCell ref="E278:J278"/>
    <mergeCell ref="E305:J305"/>
    <mergeCell ref="E291:J291"/>
    <mergeCell ref="E295:J295"/>
    <mergeCell ref="E34:J34"/>
    <mergeCell ref="E215:J215"/>
    <mergeCell ref="E240:J240"/>
    <mergeCell ref="E81:J81"/>
    <mergeCell ref="E60:J60"/>
    <mergeCell ref="E235:J235"/>
    <mergeCell ref="E306:J306"/>
    <mergeCell ref="E277:L277"/>
    <mergeCell ref="E274:J274"/>
    <mergeCell ref="E273:J273"/>
    <mergeCell ref="E72:J72"/>
    <mergeCell ref="E377:J377"/>
    <mergeCell ref="E376:L376"/>
    <mergeCell ref="E373:J373"/>
    <mergeCell ref="E372:J372"/>
    <mergeCell ref="L398:L401"/>
    <mergeCell ref="E403:J403"/>
    <mergeCell ref="E137:J137"/>
    <mergeCell ref="E145:J145"/>
    <mergeCell ref="E3:L4"/>
    <mergeCell ref="E61:J61"/>
    <mergeCell ref="E7:J7"/>
    <mergeCell ref="E8:J8"/>
    <mergeCell ref="E272:J272"/>
    <mergeCell ref="E238:L238"/>
    <mergeCell ref="E234:J234"/>
    <mergeCell ref="E214:J214"/>
    <mergeCell ref="E213:L213"/>
    <mergeCell ref="E209:J209"/>
    <mergeCell ref="E178:J178"/>
    <mergeCell ref="E177:J177"/>
    <mergeCell ref="E204:J204"/>
    <mergeCell ref="E152:J152"/>
    <mergeCell ref="E161:J161"/>
    <mergeCell ref="E168:J168"/>
  </mergeCells>
  <hyperlinks>
    <hyperlink ref="B2" location="'Start here'!E6" tooltip="back to Start here" display="⌂  CompBot Tutorial" xr:uid="{00000000-0004-0000-1200-000000000000}"/>
    <hyperlink ref="B6" location="'Start here'!E6" display="▸  START" xr:uid="{FE51F928-A588-409B-86AC-054815E567F2}"/>
    <hyperlink ref="B7" location="'C1 Your machine'!E6" display="▸  COMMANDS" xr:uid="{B8683C38-D7D6-4743-9545-5AFC242B8E12}"/>
    <hyperlink ref="B8" location="'Demo maps'!E6" display="▸  DEMO SHEETS" xr:uid="{2FFA22B7-AE48-4BAD-B0AF-E3255EE14902}"/>
    <hyperlink ref="B9" location="'Level 1 Basics'!E6" display="▾  LAMBDAS" xr:uid="{294EC2BC-EBC4-44AB-AAD4-C2DA24F22316}"/>
    <hyperlink ref="B10" location="'Level 1 Basics'!E6" display="Level 1 Basics" xr:uid="{1AE6462F-A452-498A-A889-4BFFEA3023B9}"/>
    <hyperlink ref="B12" location="'Level 3 Text'!E6" display="Level 3 Text" xr:uid="{B5BD80AF-5C7C-418C-BFC6-0B6E3741301D}"/>
    <hyperlink ref="B13" location="'Level 4 Lookup'!E6" display="Level 4 Lookup" xr:uid="{F70AEB30-261A-4D60-85BA-3E304A77B3CA}"/>
    <hyperlink ref="B14" location="'Level 5 Maps'!E6" display="Level 5 Maps" xr:uid="{C2CA67E9-94B5-4022-9960-E533CC072447}"/>
    <hyperlink ref="B15" location="'Level 6 Engines'!E6" display="Level 6 Engines" xr:uid="{96E3CE56-6986-46AC-938A-DFBA125B1CAC}"/>
    <hyperlink ref="B16" location="'Words'!E6" display="Words" xr:uid="{248C9E3C-02AB-40F9-9344-9C0721A3DFE0}"/>
    <hyperlink ref="B18" location="'Command cheat sheet'!E6" display="▸  REFERENCE" xr:uid="{4CAC7112-F8F5-408D-9B82-BAE4CFF7D41F}"/>
    <hyperlink ref="B17" location="'I1 The Alves Method'!E6" display="▸  INSIDER" xr:uid="{766FB22E-16DA-4B50-B49D-63B87164638B}"/>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0B6E4F"/>
  </sheetPr>
  <dimension ref="A1:L210"/>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44" customWidth="1"/>
    <col min="2" max="2" width="27" style="44" customWidth="1"/>
    <col min="3" max="3" width="1.5" style="44" customWidth="1"/>
    <col min="4" max="4" width="2.5" customWidth="1"/>
    <col min="5" max="10" width="14.5" customWidth="1"/>
    <col min="11" max="11" width="44" customWidth="1"/>
    <col min="12" max="12" width="46" customWidth="1"/>
  </cols>
  <sheetData>
    <row r="1" spans="2:12" ht="12.75" x14ac:dyDescent="0.2"/>
    <row r="2" spans="2:12" ht="30" customHeight="1" x14ac:dyDescent="0.3">
      <c r="B2" s="45" t="s">
        <v>0</v>
      </c>
      <c r="E2" s="3" t="s">
        <v>3175</v>
      </c>
    </row>
    <row r="3" spans="2:12" ht="15" customHeight="1" x14ac:dyDescent="0.2">
      <c r="B3" s="46" t="s">
        <v>2</v>
      </c>
      <c r="E3" s="147" t="s">
        <v>2798</v>
      </c>
      <c r="F3" s="148"/>
      <c r="G3" s="148"/>
      <c r="H3" s="148"/>
      <c r="I3" s="148"/>
      <c r="J3" s="148"/>
      <c r="K3" s="148"/>
      <c r="L3" s="148"/>
    </row>
    <row r="4" spans="2:12" ht="15" customHeight="1" x14ac:dyDescent="0.2">
      <c r="E4" s="148"/>
      <c r="F4" s="148"/>
      <c r="G4" s="148"/>
      <c r="H4" s="148"/>
      <c r="I4" s="148"/>
      <c r="J4" s="148"/>
      <c r="K4" s="148"/>
      <c r="L4" s="148"/>
    </row>
    <row r="5" spans="2:12" ht="12.75" x14ac:dyDescent="0.2"/>
    <row r="6" spans="2:12" ht="15.75" customHeight="1" x14ac:dyDescent="0.2">
      <c r="B6" s="112" t="s">
        <v>315</v>
      </c>
      <c r="E6" s="159" t="s">
        <v>1078</v>
      </c>
      <c r="F6" s="159"/>
      <c r="G6" s="159"/>
      <c r="H6" s="159"/>
      <c r="I6" s="159"/>
      <c r="J6" s="159"/>
      <c r="K6" s="159"/>
      <c r="L6" s="159"/>
    </row>
    <row r="7" spans="2:12" ht="15" customHeight="1" x14ac:dyDescent="0.2">
      <c r="B7" s="112" t="s">
        <v>10</v>
      </c>
      <c r="E7" s="152" t="s">
        <v>2857</v>
      </c>
      <c r="F7" s="149"/>
      <c r="G7" s="149"/>
      <c r="H7" s="149"/>
      <c r="I7" s="149"/>
      <c r="J7" s="149"/>
    </row>
    <row r="8" spans="2:12" ht="15" customHeight="1" x14ac:dyDescent="0.2">
      <c r="B8" s="112" t="s">
        <v>11</v>
      </c>
      <c r="E8" s="147" t="s">
        <v>2858</v>
      </c>
      <c r="F8" s="147"/>
      <c r="G8" s="147"/>
      <c r="H8" s="147"/>
      <c r="I8" s="147"/>
      <c r="J8" s="147"/>
    </row>
    <row r="9" spans="2:12" ht="12.75" customHeight="1" x14ac:dyDescent="0.2">
      <c r="B9" s="112" t="s">
        <v>856</v>
      </c>
    </row>
    <row r="10" spans="2:12" ht="12.75" customHeight="1" x14ac:dyDescent="0.2">
      <c r="B10" s="91" t="s">
        <v>56</v>
      </c>
      <c r="E10" s="22" t="s">
        <v>2334</v>
      </c>
      <c r="K10" s="24" t="s">
        <v>2335</v>
      </c>
      <c r="L10" s="24" t="s">
        <v>2336</v>
      </c>
    </row>
    <row r="11" spans="2:12" ht="15" customHeight="1" x14ac:dyDescent="0.2">
      <c r="B11" s="91" t="s">
        <v>58</v>
      </c>
      <c r="E11" s="230" t="s">
        <v>2409</v>
      </c>
      <c r="F11" s="230"/>
      <c r="G11" s="230"/>
      <c r="H11" s="230"/>
      <c r="I11" s="230"/>
      <c r="J11" s="230"/>
      <c r="K11" s="5" t="s">
        <v>2859</v>
      </c>
    </row>
    <row r="12" spans="2:12" ht="15" customHeight="1" x14ac:dyDescent="0.2">
      <c r="B12" s="90" t="s">
        <v>3181</v>
      </c>
      <c r="E12" s="25" t="str" cm="1">
        <f t="array" ref="E12:E14">SplitText_byHadynWiseman("abc")</f>
        <v>a</v>
      </c>
      <c r="K12" s="78" t="s">
        <v>1947</v>
      </c>
      <c r="L12" s="231" t="s">
        <v>2393</v>
      </c>
    </row>
    <row r="13" spans="2:12" ht="15" customHeight="1" x14ac:dyDescent="0.2">
      <c r="B13" s="91" t="s">
        <v>3182</v>
      </c>
      <c r="E13" s="96" t="str">
        <v>b</v>
      </c>
      <c r="L13" s="231"/>
    </row>
    <row r="14" spans="2:12" ht="15" customHeight="1" x14ac:dyDescent="0.2">
      <c r="B14" s="91" t="s">
        <v>3179</v>
      </c>
      <c r="E14" s="96" t="str">
        <v>c</v>
      </c>
      <c r="L14" s="231"/>
    </row>
    <row r="15" spans="2:12" ht="15" customHeight="1" x14ac:dyDescent="0.2">
      <c r="B15" s="91" t="s">
        <v>3180</v>
      </c>
    </row>
    <row r="16" spans="2:12" ht="15" customHeight="1" x14ac:dyDescent="0.2">
      <c r="B16" s="91" t="s">
        <v>54</v>
      </c>
      <c r="E16" s="230" t="s">
        <v>2410</v>
      </c>
      <c r="F16" s="230"/>
      <c r="G16" s="230"/>
      <c r="H16" s="230"/>
      <c r="I16" s="230"/>
      <c r="J16" s="230"/>
      <c r="K16" s="5" t="s">
        <v>2860</v>
      </c>
    </row>
    <row r="17" spans="2:12" ht="15" customHeight="1" x14ac:dyDescent="0.2">
      <c r="B17" s="112" t="s">
        <v>3407</v>
      </c>
      <c r="E17" s="25" t="str" cm="1">
        <f t="array" ref="E17:E19">SplitText_byHadynWiseman("abcdef",2)</f>
        <v>ab</v>
      </c>
      <c r="K17" s="78" t="s">
        <v>1947</v>
      </c>
      <c r="L17" s="231" t="s">
        <v>2415</v>
      </c>
    </row>
    <row r="18" spans="2:12" ht="15" customHeight="1" x14ac:dyDescent="0.2">
      <c r="B18" s="112" t="s">
        <v>14</v>
      </c>
      <c r="E18" s="96" t="str">
        <v>cd</v>
      </c>
      <c r="L18" s="231"/>
    </row>
    <row r="19" spans="2:12" ht="15" customHeight="1" x14ac:dyDescent="0.2">
      <c r="B19" s="110"/>
      <c r="E19" s="96" t="str">
        <v>ef</v>
      </c>
      <c r="L19" s="231"/>
    </row>
    <row r="20" spans="2:12" ht="15" customHeight="1" x14ac:dyDescent="0.2">
      <c r="B20" s="110"/>
    </row>
    <row r="21" spans="2:12" ht="21.75" customHeight="1" x14ac:dyDescent="0.2">
      <c r="B21" s="110"/>
      <c r="E21" s="230" t="s">
        <v>2411</v>
      </c>
      <c r="F21" s="230"/>
      <c r="G21" s="230"/>
      <c r="H21" s="230"/>
      <c r="I21" s="230"/>
      <c r="J21" s="230"/>
      <c r="K21" s="5" t="s">
        <v>2861</v>
      </c>
    </row>
    <row r="22" spans="2:12" ht="15" customHeight="1" x14ac:dyDescent="0.2">
      <c r="B22" s="110"/>
      <c r="E22" s="25" t="str" cm="1">
        <f t="array" ref="E22:E24">SplitText_byHadynWiseman("abcd",2,1)</f>
        <v>ab</v>
      </c>
      <c r="K22" s="78" t="s">
        <v>1947</v>
      </c>
      <c r="L22" s="231" t="s">
        <v>2416</v>
      </c>
    </row>
    <row r="23" spans="2:12" ht="15" customHeight="1" x14ac:dyDescent="0.2">
      <c r="B23" s="110"/>
      <c r="E23" s="96" t="str">
        <v>bc</v>
      </c>
      <c r="L23" s="231"/>
    </row>
    <row r="24" spans="2:12" ht="15" customHeight="1" x14ac:dyDescent="0.2">
      <c r="B24" s="110"/>
      <c r="E24" s="96" t="str">
        <v>cd</v>
      </c>
      <c r="L24" s="231"/>
    </row>
    <row r="25" spans="2:12" ht="15" customHeight="1" x14ac:dyDescent="0.2">
      <c r="B25" s="110"/>
    </row>
    <row r="26" spans="2:12" ht="15" customHeight="1" x14ac:dyDescent="0.2">
      <c r="B26" s="110"/>
      <c r="E26" s="152" t="s">
        <v>2799</v>
      </c>
      <c r="F26" s="152"/>
      <c r="G26" s="152"/>
      <c r="H26" s="152"/>
      <c r="I26" s="152"/>
      <c r="J26" s="152"/>
    </row>
    <row r="27" spans="2:12" ht="15" customHeight="1" x14ac:dyDescent="0.2">
      <c r="B27" s="110"/>
    </row>
    <row r="28" spans="2:12" ht="12.75" customHeight="1" x14ac:dyDescent="0.2">
      <c r="B28" s="110"/>
    </row>
    <row r="29" spans="2:12" ht="15.75" customHeight="1" x14ac:dyDescent="0.2">
      <c r="B29" s="110"/>
      <c r="E29" s="159" t="s">
        <v>1079</v>
      </c>
      <c r="F29" s="159"/>
      <c r="G29" s="159"/>
      <c r="H29" s="159"/>
      <c r="I29" s="159"/>
      <c r="J29" s="159"/>
      <c r="K29" s="159"/>
      <c r="L29" s="159"/>
    </row>
    <row r="30" spans="2:12" ht="15" customHeight="1" x14ac:dyDescent="0.2">
      <c r="B30" s="110"/>
      <c r="E30" s="152" t="s">
        <v>1080</v>
      </c>
      <c r="F30" s="149"/>
      <c r="G30" s="149"/>
      <c r="H30" s="149"/>
      <c r="I30" s="149"/>
      <c r="J30" s="149"/>
    </row>
    <row r="31" spans="2:12" ht="15" customHeight="1" x14ac:dyDescent="0.2">
      <c r="B31" s="110"/>
      <c r="E31" s="147" t="s">
        <v>2862</v>
      </c>
      <c r="F31" s="147"/>
      <c r="G31" s="147"/>
      <c r="H31" s="147"/>
      <c r="I31" s="147"/>
      <c r="J31" s="147"/>
    </row>
    <row r="32" spans="2:12" ht="21.75" customHeight="1" x14ac:dyDescent="0.2">
      <c r="B32" s="110"/>
    </row>
    <row r="33" spans="2:12" ht="12.75" customHeight="1" x14ac:dyDescent="0.2">
      <c r="B33" s="110"/>
      <c r="E33" s="22" t="s">
        <v>2334</v>
      </c>
      <c r="K33" s="24" t="s">
        <v>2335</v>
      </c>
      <c r="L33" s="24" t="s">
        <v>2336</v>
      </c>
    </row>
    <row r="34" spans="2:12" ht="15" customHeight="1" x14ac:dyDescent="0.2">
      <c r="B34" s="110"/>
      <c r="E34" s="230" t="s">
        <v>2412</v>
      </c>
      <c r="F34" s="230"/>
      <c r="G34" s="230"/>
      <c r="H34" s="230"/>
      <c r="I34" s="230"/>
      <c r="J34" s="230"/>
      <c r="K34" s="5" t="s">
        <v>1081</v>
      </c>
      <c r="L34" s="89" t="s">
        <v>2417</v>
      </c>
    </row>
    <row r="35" spans="2:12" ht="15" customHeight="1" x14ac:dyDescent="0.2">
      <c r="B35" s="110"/>
      <c r="E35" s="25" cm="1">
        <f t="array" ref="E35:F35">ExtractNumbers_byHadynWiseman("a12b3")</f>
        <v>12</v>
      </c>
      <c r="F35" s="96">
        <v>3</v>
      </c>
      <c r="K35" s="78" t="s">
        <v>2093</v>
      </c>
    </row>
    <row r="36" spans="2:12" ht="15" customHeight="1" x14ac:dyDescent="0.2">
      <c r="B36" s="110"/>
    </row>
    <row r="37" spans="2:12" ht="15" customHeight="1" x14ac:dyDescent="0.2">
      <c r="B37" s="110"/>
      <c r="E37" s="230" t="s">
        <v>2413</v>
      </c>
      <c r="F37" s="230"/>
      <c r="G37" s="230"/>
      <c r="H37" s="230"/>
      <c r="I37" s="230"/>
      <c r="J37" s="230"/>
      <c r="K37" s="5" t="s">
        <v>2863</v>
      </c>
      <c r="L37" s="89" t="s">
        <v>2418</v>
      </c>
    </row>
    <row r="38" spans="2:12" ht="15" customHeight="1" x14ac:dyDescent="0.2">
      <c r="B38" s="110"/>
      <c r="E38" s="25" cm="1">
        <f t="array" ref="E38:F38">ExtractNumbers_byHadynWiseman("a12.5b3",1)</f>
        <v>12.5</v>
      </c>
      <c r="F38" s="96">
        <v>3</v>
      </c>
      <c r="K38" s="78" t="s">
        <v>2093</v>
      </c>
    </row>
    <row r="39" spans="2:12" ht="15" customHeight="1" x14ac:dyDescent="0.2">
      <c r="B39" s="110"/>
    </row>
    <row r="40" spans="2:12" ht="15" customHeight="1" x14ac:dyDescent="0.2">
      <c r="B40" s="110"/>
      <c r="E40" s="152" t="s">
        <v>1491</v>
      </c>
      <c r="F40" s="152"/>
      <c r="G40" s="152"/>
      <c r="H40" s="152"/>
      <c r="I40" s="152"/>
      <c r="J40" s="152"/>
    </row>
    <row r="41" spans="2:12" ht="15" customHeight="1" x14ac:dyDescent="0.2">
      <c r="B41" s="110"/>
      <c r="E41" s="147" t="s">
        <v>1492</v>
      </c>
      <c r="F41" s="147"/>
      <c r="G41" s="147"/>
      <c r="H41" s="147"/>
      <c r="I41" s="147"/>
      <c r="J41" s="147"/>
    </row>
    <row r="42" spans="2:12" ht="15" customHeight="1" x14ac:dyDescent="0.2">
      <c r="B42" s="110"/>
    </row>
    <row r="43" spans="2:12" ht="15" customHeight="1" x14ac:dyDescent="0.2">
      <c r="B43" s="110"/>
    </row>
    <row r="44" spans="2:12" ht="15.75" customHeight="1" x14ac:dyDescent="0.2">
      <c r="B44" s="110"/>
      <c r="E44" s="159" t="s">
        <v>2864</v>
      </c>
      <c r="F44" s="159"/>
      <c r="G44" s="159"/>
      <c r="H44" s="159"/>
      <c r="I44" s="159"/>
      <c r="J44" s="159"/>
      <c r="K44" s="159"/>
      <c r="L44" s="159"/>
    </row>
    <row r="45" spans="2:12" ht="25.5" customHeight="1" x14ac:dyDescent="0.2">
      <c r="B45" s="110"/>
      <c r="E45" s="152" t="s">
        <v>2865</v>
      </c>
      <c r="F45" s="149"/>
      <c r="G45" s="149"/>
      <c r="H45" s="149"/>
      <c r="I45" s="149"/>
      <c r="J45" s="149"/>
    </row>
    <row r="46" spans="2:12" ht="21.75" customHeight="1" x14ac:dyDescent="0.2">
      <c r="B46" s="110"/>
      <c r="E46" s="147" t="s">
        <v>2866</v>
      </c>
      <c r="F46" s="147"/>
      <c r="G46" s="147"/>
      <c r="H46" s="147"/>
      <c r="I46" s="147"/>
      <c r="J46" s="147"/>
    </row>
    <row r="47" spans="2:12" ht="12.75" customHeight="1" x14ac:dyDescent="0.2"/>
    <row r="48" spans="2:12" ht="12.75" customHeight="1" x14ac:dyDescent="0.2">
      <c r="E48" s="22" t="s">
        <v>2867</v>
      </c>
    </row>
    <row r="49" spans="5:12" ht="15" customHeight="1" x14ac:dyDescent="0.2">
      <c r="E49" s="125" t="s">
        <v>2868</v>
      </c>
    </row>
    <row r="51" spans="5:12" ht="12.75" customHeight="1" x14ac:dyDescent="0.2">
      <c r="E51" s="22" t="s">
        <v>2334</v>
      </c>
      <c r="K51" s="24" t="s">
        <v>2335</v>
      </c>
      <c r="L51" s="24" t="s">
        <v>2336</v>
      </c>
    </row>
    <row r="52" spans="5:12" ht="15" customHeight="1" x14ac:dyDescent="0.2">
      <c r="E52" s="230" t="s">
        <v>2869</v>
      </c>
      <c r="F52" s="230"/>
      <c r="G52" s="230"/>
      <c r="H52" s="230"/>
      <c r="I52" s="230"/>
      <c r="J52" s="230"/>
      <c r="K52" s="5" t="s">
        <v>2870</v>
      </c>
      <c r="L52" s="89" t="s">
        <v>2871</v>
      </c>
    </row>
    <row r="53" spans="5:12" ht="15" customHeight="1" x14ac:dyDescent="0.2">
      <c r="E53" s="25" t="str" cm="1">
        <f t="array" ref="E53">ExtractLetters_byJaqKennedy($E$49:$E$49)</f>
        <v>TheCatsatONtheMat</v>
      </c>
      <c r="K53" s="78"/>
    </row>
    <row r="55" spans="5:12" ht="15" customHeight="1" x14ac:dyDescent="0.2">
      <c r="E55" s="230" t="s">
        <v>2872</v>
      </c>
      <c r="F55" s="230"/>
      <c r="G55" s="230"/>
      <c r="H55" s="230"/>
      <c r="I55" s="230"/>
      <c r="J55" s="230"/>
      <c r="K55" s="5" t="s">
        <v>2873</v>
      </c>
      <c r="L55" s="89" t="s">
        <v>2875</v>
      </c>
    </row>
    <row r="56" spans="5:12" ht="15" customHeight="1" x14ac:dyDescent="0.2">
      <c r="E56" s="25" t="str" cm="1">
        <f t="array" ref="E56:H56">ExtractUpperLetters_byJaqKennedy($E$49:$E$49,TRUE)</f>
        <v>T</v>
      </c>
      <c r="F56" s="96" t="str">
        <v>C</v>
      </c>
      <c r="G56" s="96" t="str">
        <v>ON</v>
      </c>
      <c r="H56" s="96" t="str">
        <v>M</v>
      </c>
      <c r="K56" s="78" t="s">
        <v>2874</v>
      </c>
    </row>
    <row r="58" spans="5:12" ht="15" customHeight="1" x14ac:dyDescent="0.2">
      <c r="E58" s="230" t="s">
        <v>2876</v>
      </c>
      <c r="F58" s="230"/>
      <c r="G58" s="230"/>
      <c r="H58" s="230"/>
      <c r="I58" s="230"/>
      <c r="J58" s="230"/>
      <c r="K58" s="5" t="s">
        <v>2877</v>
      </c>
      <c r="L58" s="89" t="s">
        <v>2878</v>
      </c>
    </row>
    <row r="59" spans="5:12" ht="15" customHeight="1" x14ac:dyDescent="0.2">
      <c r="E59" s="25" t="str" cm="1">
        <f t="array" ref="E59">ExtractLowerLetters_byJaqKennedy($E$49:$E$49)</f>
        <v>heatsattheat</v>
      </c>
      <c r="K59" s="78"/>
    </row>
    <row r="61" spans="5:12" ht="25.5" customHeight="1" x14ac:dyDescent="0.2">
      <c r="E61" s="152" t="s">
        <v>2879</v>
      </c>
      <c r="F61" s="152"/>
      <c r="G61" s="152"/>
      <c r="H61" s="152"/>
      <c r="I61" s="152"/>
      <c r="J61" s="152"/>
    </row>
    <row r="62" spans="5:12" ht="12.75" customHeight="1" x14ac:dyDescent="0.2"/>
    <row r="63" spans="5:12" ht="21.75" customHeight="1" x14ac:dyDescent="0.2"/>
    <row r="64" spans="5:12" ht="15.75" customHeight="1" x14ac:dyDescent="0.2">
      <c r="E64" s="159" t="s">
        <v>1082</v>
      </c>
      <c r="F64" s="159"/>
      <c r="G64" s="159"/>
      <c r="H64" s="159"/>
      <c r="I64" s="159"/>
      <c r="J64" s="159"/>
      <c r="K64" s="159"/>
      <c r="L64" s="159"/>
    </row>
    <row r="65" spans="5:12" ht="25.5" customHeight="1" x14ac:dyDescent="0.2">
      <c r="E65" s="152" t="s">
        <v>3160</v>
      </c>
      <c r="F65" s="149"/>
      <c r="G65" s="149"/>
      <c r="H65" s="149"/>
      <c r="I65" s="149"/>
      <c r="J65" s="149"/>
    </row>
    <row r="66" spans="5:12" ht="15" customHeight="1" x14ac:dyDescent="0.2">
      <c r="E66" s="147" t="s">
        <v>3161</v>
      </c>
      <c r="F66" s="147"/>
      <c r="G66" s="147"/>
      <c r="H66" s="147"/>
      <c r="I66" s="147"/>
      <c r="J66" s="147"/>
    </row>
    <row r="67" spans="5:12" ht="12.75" customHeight="1" x14ac:dyDescent="0.2"/>
    <row r="68" spans="5:12" ht="12.75" customHeight="1" x14ac:dyDescent="0.2">
      <c r="E68" s="22" t="s">
        <v>2334</v>
      </c>
      <c r="K68" s="24" t="s">
        <v>2335</v>
      </c>
      <c r="L68" s="24" t="s">
        <v>2336</v>
      </c>
    </row>
    <row r="69" spans="5:12" ht="21.75" customHeight="1" x14ac:dyDescent="0.2">
      <c r="E69" s="230" t="s">
        <v>2414</v>
      </c>
      <c r="F69" s="230"/>
      <c r="G69" s="230"/>
      <c r="H69" s="230"/>
      <c r="I69" s="230"/>
      <c r="J69" s="230"/>
      <c r="K69" s="5" t="s">
        <v>2880</v>
      </c>
    </row>
    <row r="70" spans="5:12" ht="15" customHeight="1" x14ac:dyDescent="0.2">
      <c r="E70" s="25" t="str" cm="1">
        <f t="array" ref="E70:E75">LetterType_byHadynWiseman("aZ9 .x")</f>
        <v>L</v>
      </c>
      <c r="K70" s="78" t="s">
        <v>1942</v>
      </c>
      <c r="L70" s="231" t="s">
        <v>2419</v>
      </c>
    </row>
    <row r="71" spans="5:12" ht="15" customHeight="1" x14ac:dyDescent="0.2">
      <c r="E71" s="96" t="str">
        <v>U</v>
      </c>
      <c r="L71" s="231"/>
    </row>
    <row r="72" spans="5:12" ht="15" customHeight="1" x14ac:dyDescent="0.2">
      <c r="E72" s="96" t="str">
        <v>S</v>
      </c>
      <c r="L72" s="231"/>
    </row>
    <row r="73" spans="5:12" ht="15" customHeight="1" x14ac:dyDescent="0.2">
      <c r="E73" s="96" t="str">
        <v>S</v>
      </c>
      <c r="L73" s="231"/>
    </row>
    <row r="74" spans="5:12" ht="15" customHeight="1" x14ac:dyDescent="0.2">
      <c r="E74" s="96" t="str">
        <v>S</v>
      </c>
      <c r="L74" s="231"/>
    </row>
    <row r="75" spans="5:12" ht="15" customHeight="1" x14ac:dyDescent="0.2">
      <c r="E75" s="96" t="str">
        <v>L</v>
      </c>
      <c r="L75" s="231"/>
    </row>
    <row r="77" spans="5:12" ht="15" customHeight="1" x14ac:dyDescent="0.2">
      <c r="E77" s="230" t="s">
        <v>2881</v>
      </c>
      <c r="F77" s="230"/>
      <c r="G77" s="230"/>
      <c r="H77" s="230"/>
      <c r="I77" s="230"/>
      <c r="J77" s="230"/>
      <c r="K77" s="5" t="s">
        <v>2882</v>
      </c>
    </row>
    <row r="78" spans="5:12" ht="15" customHeight="1" x14ac:dyDescent="0.2">
      <c r="E78" s="25" t="str" cm="1">
        <f t="array" ref="E78:E83">LetterType_byHadynWiseman("Excel!",1)</f>
        <v>V</v>
      </c>
      <c r="K78" s="78" t="s">
        <v>1942</v>
      </c>
      <c r="L78" s="231" t="s">
        <v>2883</v>
      </c>
    </row>
    <row r="79" spans="5:12" ht="15" customHeight="1" x14ac:dyDescent="0.2">
      <c r="E79" s="96" t="str">
        <v>C</v>
      </c>
      <c r="L79" s="231"/>
    </row>
    <row r="80" spans="5:12" ht="15" customHeight="1" x14ac:dyDescent="0.2">
      <c r="E80" s="96" t="str">
        <v>C</v>
      </c>
      <c r="L80" s="231"/>
    </row>
    <row r="81" spans="5:12" ht="15" customHeight="1" x14ac:dyDescent="0.2">
      <c r="E81" s="96" t="str">
        <v>V</v>
      </c>
      <c r="L81" s="231"/>
    </row>
    <row r="82" spans="5:12" ht="15" customHeight="1" x14ac:dyDescent="0.2">
      <c r="E82" s="96" t="str">
        <v>C</v>
      </c>
      <c r="L82" s="231"/>
    </row>
    <row r="83" spans="5:12" ht="15" customHeight="1" x14ac:dyDescent="0.2">
      <c r="E83" s="96" t="str">
        <v>S</v>
      </c>
      <c r="L83" s="231"/>
    </row>
    <row r="85" spans="5:12" ht="15" customHeight="1" x14ac:dyDescent="0.2">
      <c r="E85" s="230" t="s">
        <v>3162</v>
      </c>
      <c r="F85" s="230"/>
      <c r="G85" s="230"/>
      <c r="H85" s="230"/>
      <c r="I85" s="230"/>
      <c r="J85" s="230"/>
      <c r="K85" s="5" t="s">
        <v>3163</v>
      </c>
    </row>
    <row r="86" spans="5:12" ht="15" customHeight="1" x14ac:dyDescent="0.2">
      <c r="E86" s="25" t="str" cm="1">
        <f t="array" ref="E86:E90">LetterType_byHadynWiseman("R2-D2",,1)</f>
        <v>L</v>
      </c>
      <c r="K86" s="78" t="s">
        <v>1944</v>
      </c>
      <c r="L86" s="231" t="s">
        <v>3164</v>
      </c>
    </row>
    <row r="87" spans="5:12" ht="15" customHeight="1" x14ac:dyDescent="0.2">
      <c r="E87" s="96" t="str">
        <v>D</v>
      </c>
      <c r="L87" s="231"/>
    </row>
    <row r="88" spans="5:12" ht="15" customHeight="1" x14ac:dyDescent="0.2">
      <c r="E88" s="96" t="str">
        <v>S</v>
      </c>
      <c r="L88" s="231"/>
    </row>
    <row r="89" spans="5:12" ht="15" customHeight="1" x14ac:dyDescent="0.2">
      <c r="E89" s="96" t="str">
        <v>L</v>
      </c>
      <c r="L89" s="231"/>
    </row>
    <row r="90" spans="5:12" ht="15" customHeight="1" x14ac:dyDescent="0.2">
      <c r="E90" s="96" t="str">
        <v>D</v>
      </c>
      <c r="L90" s="231"/>
    </row>
    <row r="92" spans="5:12" ht="25.5" customHeight="1" x14ac:dyDescent="0.2">
      <c r="E92" s="152" t="s">
        <v>2884</v>
      </c>
      <c r="F92" s="152"/>
      <c r="G92" s="152"/>
      <c r="H92" s="152"/>
      <c r="I92" s="152"/>
      <c r="J92" s="152"/>
    </row>
    <row r="94" spans="5:12" ht="12.75" customHeight="1" x14ac:dyDescent="0.2"/>
    <row r="95" spans="5:12" ht="15.75" customHeight="1" x14ac:dyDescent="0.2">
      <c r="E95" s="159" t="s">
        <v>1090</v>
      </c>
      <c r="F95" s="159"/>
      <c r="G95" s="159"/>
      <c r="H95" s="159"/>
      <c r="I95" s="159"/>
      <c r="J95" s="159"/>
      <c r="K95" s="159"/>
      <c r="L95" s="159"/>
    </row>
    <row r="96" spans="5:12" ht="25.5" customHeight="1" x14ac:dyDescent="0.2">
      <c r="E96" s="152" t="s">
        <v>2885</v>
      </c>
      <c r="F96" s="149"/>
      <c r="G96" s="149"/>
      <c r="H96" s="149"/>
      <c r="I96" s="149"/>
      <c r="J96" s="149"/>
    </row>
    <row r="97" spans="5:12" ht="15" customHeight="1" x14ac:dyDescent="0.2">
      <c r="E97" s="147" t="s">
        <v>2886</v>
      </c>
      <c r="F97" s="147"/>
      <c r="G97" s="147"/>
      <c r="H97" s="147"/>
      <c r="I97" s="147"/>
      <c r="J97" s="147"/>
    </row>
    <row r="99" spans="5:12" ht="12.75" customHeight="1" x14ac:dyDescent="0.2">
      <c r="E99" s="22" t="s">
        <v>2887</v>
      </c>
    </row>
    <row r="100" spans="5:12" ht="15" customHeight="1" x14ac:dyDescent="0.2">
      <c r="E100" s="125" t="s">
        <v>2888</v>
      </c>
    </row>
    <row r="102" spans="5:12" ht="12.75" customHeight="1" x14ac:dyDescent="0.2">
      <c r="E102" s="22" t="s">
        <v>2334</v>
      </c>
      <c r="K102" s="24" t="s">
        <v>2335</v>
      </c>
      <c r="L102" s="24" t="s">
        <v>2336</v>
      </c>
    </row>
    <row r="103" spans="5:12" ht="21.75" customHeight="1" x14ac:dyDescent="0.2">
      <c r="E103" s="230" t="s">
        <v>3165</v>
      </c>
      <c r="F103" s="230"/>
      <c r="G103" s="230"/>
      <c r="H103" s="230"/>
      <c r="I103" s="230"/>
      <c r="J103" s="230"/>
      <c r="K103" s="5" t="s">
        <v>2889</v>
      </c>
      <c r="L103" s="89" t="s">
        <v>2890</v>
      </c>
    </row>
    <row r="104" spans="5:12" ht="15" customHeight="1" x14ac:dyDescent="0.2">
      <c r="E104" s="25" t="str">
        <f>_xlfn.TEXTJOIN(",",1,Consecutives_byHadynWiseman($E$100:$E$100))</f>
        <v>1,2,3,1,1,1,2,3,4,1,1,1,1,1,1,2,3,4,5,6,7,8,1,1,1,2,3,4,5,6,7,8,9,10,11,12,13,14,1,2,1,1,1,1,1,1,1,2,3,4,5,6</v>
      </c>
      <c r="K104" s="78"/>
    </row>
    <row r="106" spans="5:12" ht="15" customHeight="1" x14ac:dyDescent="0.2">
      <c r="E106" s="230" t="s">
        <v>3166</v>
      </c>
      <c r="F106" s="230"/>
      <c r="G106" s="230"/>
      <c r="H106" s="230"/>
      <c r="I106" s="230"/>
      <c r="J106" s="230"/>
      <c r="K106" s="5" t="s">
        <v>2891</v>
      </c>
      <c r="L106" s="89" t="s">
        <v>2668</v>
      </c>
    </row>
    <row r="107" spans="5:12" ht="15" customHeight="1" x14ac:dyDescent="0.2">
      <c r="E107" s="25">
        <f>MAX(Consecutives_byHadynWiseman($E$100:$E$100))</f>
        <v>14</v>
      </c>
      <c r="K107" s="78"/>
    </row>
    <row r="109" spans="5:12" ht="15" customHeight="1" x14ac:dyDescent="0.2">
      <c r="E109" s="152" t="s">
        <v>2892</v>
      </c>
      <c r="F109" s="152"/>
      <c r="G109" s="152"/>
      <c r="H109" s="152"/>
      <c r="I109" s="152"/>
      <c r="J109" s="152"/>
    </row>
    <row r="112" spans="5:12" ht="15.75" customHeight="1" x14ac:dyDescent="0.2">
      <c r="E112" s="159" t="s">
        <v>2723</v>
      </c>
      <c r="F112" s="159"/>
      <c r="G112" s="159"/>
      <c r="H112" s="159"/>
      <c r="I112" s="159"/>
      <c r="J112" s="159"/>
      <c r="K112" s="159"/>
      <c r="L112" s="159"/>
    </row>
    <row r="113" spans="5:12" ht="15" customHeight="1" x14ac:dyDescent="0.2">
      <c r="E113" s="152" t="s">
        <v>2724</v>
      </c>
      <c r="F113" s="149"/>
      <c r="G113" s="149"/>
      <c r="H113" s="149"/>
      <c r="I113" s="149"/>
      <c r="J113" s="149"/>
    </row>
    <row r="114" spans="5:12" ht="15" customHeight="1" x14ac:dyDescent="0.2">
      <c r="E114" s="147" t="s">
        <v>2725</v>
      </c>
      <c r="F114" s="147"/>
      <c r="G114" s="147"/>
      <c r="H114" s="147"/>
      <c r="I114" s="147"/>
      <c r="J114" s="147"/>
    </row>
    <row r="116" spans="5:12" ht="12.75" customHeight="1" x14ac:dyDescent="0.2">
      <c r="E116" s="22" t="s">
        <v>2334</v>
      </c>
      <c r="K116" s="24" t="s">
        <v>2335</v>
      </c>
      <c r="L116" s="24" t="s">
        <v>2336</v>
      </c>
    </row>
    <row r="117" spans="5:12" ht="15" customHeight="1" x14ac:dyDescent="0.2">
      <c r="E117" s="230" t="s">
        <v>1061</v>
      </c>
      <c r="F117" s="230"/>
      <c r="G117" s="230"/>
      <c r="H117" s="230"/>
      <c r="I117" s="230"/>
      <c r="J117" s="230"/>
      <c r="K117" s="5" t="s">
        <v>2726</v>
      </c>
      <c r="L117" s="89" t="s">
        <v>1363</v>
      </c>
    </row>
    <row r="118" spans="5:12" ht="15" customHeight="1" x14ac:dyDescent="0.2">
      <c r="E118" s="25" t="str">
        <f>_xlfn.TEXTJOIN("",1,Alphabet_byHadynWiseman())</f>
        <v>ABCDEFGHIJKLMNOPQRSTUVWXYZ</v>
      </c>
      <c r="K118" s="78"/>
    </row>
    <row r="120" spans="5:12" ht="15" customHeight="1" x14ac:dyDescent="0.2">
      <c r="E120" s="230" t="s">
        <v>1062</v>
      </c>
      <c r="F120" s="230"/>
      <c r="G120" s="230"/>
      <c r="H120" s="230"/>
      <c r="I120" s="230"/>
      <c r="J120" s="230"/>
      <c r="K120" s="5" t="s">
        <v>2727</v>
      </c>
      <c r="L120" s="89" t="s">
        <v>584</v>
      </c>
    </row>
    <row r="121" spans="5:12" ht="15" customHeight="1" x14ac:dyDescent="0.2">
      <c r="E121" s="25" t="str" cm="1">
        <f t="array" ref="E121">INDEX(Alphabet_byHadynWiseman(),3)</f>
        <v>C</v>
      </c>
      <c r="K121" s="78"/>
    </row>
    <row r="123" spans="5:12" ht="15" customHeight="1" x14ac:dyDescent="0.2">
      <c r="E123" s="152" t="s">
        <v>2728</v>
      </c>
      <c r="F123" s="152"/>
      <c r="G123" s="152"/>
      <c r="H123" s="152"/>
      <c r="I123" s="152"/>
      <c r="J123" s="152"/>
    </row>
    <row r="126" spans="5:12" ht="15.75" customHeight="1" x14ac:dyDescent="0.2">
      <c r="E126" s="159" t="s">
        <v>1063</v>
      </c>
      <c r="F126" s="159"/>
      <c r="G126" s="159"/>
      <c r="H126" s="159"/>
      <c r="I126" s="159"/>
      <c r="J126" s="159"/>
      <c r="K126" s="159"/>
      <c r="L126" s="159"/>
    </row>
    <row r="127" spans="5:12" ht="25.5" customHeight="1" x14ac:dyDescent="0.2">
      <c r="E127" s="152" t="s">
        <v>2729</v>
      </c>
      <c r="F127" s="149"/>
      <c r="G127" s="149"/>
      <c r="H127" s="149"/>
      <c r="I127" s="149"/>
      <c r="J127" s="149"/>
    </row>
    <row r="128" spans="5:12" ht="15" customHeight="1" x14ac:dyDescent="0.2">
      <c r="E128" s="147" t="s">
        <v>2730</v>
      </c>
      <c r="F128" s="147"/>
      <c r="G128" s="147"/>
      <c r="H128" s="147"/>
      <c r="I128" s="147"/>
      <c r="J128" s="147"/>
    </row>
    <row r="130" spans="5:12" ht="12.75" customHeight="1" x14ac:dyDescent="0.2">
      <c r="E130" s="22" t="s">
        <v>2893</v>
      </c>
    </row>
    <row r="131" spans="5:12" ht="15" customHeight="1" x14ac:dyDescent="0.2">
      <c r="E131" s="94" t="s">
        <v>2894</v>
      </c>
      <c r="F131" s="94" t="s">
        <v>2895</v>
      </c>
      <c r="G131" s="94" t="s">
        <v>2896</v>
      </c>
      <c r="H131" s="94" t="s">
        <v>2897</v>
      </c>
      <c r="I131" s="94" t="s">
        <v>2898</v>
      </c>
    </row>
    <row r="132" spans="5:12" ht="25.5" customHeight="1" x14ac:dyDescent="0.2"/>
    <row r="133" spans="5:12" ht="12.75" customHeight="1" x14ac:dyDescent="0.2">
      <c r="E133" s="22" t="s">
        <v>2334</v>
      </c>
      <c r="K133" s="24" t="s">
        <v>2335</v>
      </c>
      <c r="L133" s="24" t="s">
        <v>2336</v>
      </c>
    </row>
    <row r="134" spans="5:12" ht="21.75" customHeight="1" x14ac:dyDescent="0.2">
      <c r="E134" s="230" t="s">
        <v>3167</v>
      </c>
      <c r="F134" s="230"/>
      <c r="G134" s="230"/>
      <c r="H134" s="230"/>
      <c r="I134" s="230"/>
      <c r="J134" s="230"/>
      <c r="K134" s="5" t="s">
        <v>2899</v>
      </c>
    </row>
    <row r="135" spans="5:12" ht="15" customHeight="1" x14ac:dyDescent="0.2">
      <c r="E135" s="25" t="str" cm="1">
        <f t="array" ref="E135:E137">MissingLetters_byJaqKennedy(SplitText_byHadynWiseman($E$131:$I$131))</f>
        <v>J</v>
      </c>
      <c r="K135" s="78" t="s">
        <v>1947</v>
      </c>
      <c r="L135" s="231" t="s">
        <v>2900</v>
      </c>
    </row>
    <row r="136" spans="5:12" ht="15" customHeight="1" x14ac:dyDescent="0.2">
      <c r="E136" s="96" t="str">
        <v>Q</v>
      </c>
      <c r="L136" s="231"/>
    </row>
    <row r="137" spans="5:12" ht="15" customHeight="1" x14ac:dyDescent="0.2">
      <c r="E137" s="96" t="str">
        <v>Z</v>
      </c>
      <c r="L137" s="231"/>
    </row>
    <row r="139" spans="5:12" ht="25.5" customHeight="1" x14ac:dyDescent="0.2">
      <c r="E139" s="152" t="s">
        <v>2731</v>
      </c>
      <c r="F139" s="152"/>
      <c r="G139" s="152"/>
      <c r="H139" s="152"/>
      <c r="I139" s="152"/>
      <c r="J139" s="152"/>
    </row>
    <row r="140" spans="5:12" ht="15" customHeight="1" x14ac:dyDescent="0.2">
      <c r="E140" s="156" t="s">
        <v>1850</v>
      </c>
      <c r="F140" s="157"/>
      <c r="G140" s="157"/>
      <c r="H140" s="157"/>
      <c r="I140" s="157"/>
      <c r="J140" s="158"/>
    </row>
    <row r="143" spans="5:12" ht="15.75" customHeight="1" x14ac:dyDescent="0.2">
      <c r="E143" s="159" t="s">
        <v>1083</v>
      </c>
      <c r="F143" s="159"/>
      <c r="G143" s="159"/>
      <c r="H143" s="159"/>
      <c r="I143" s="159"/>
      <c r="J143" s="159"/>
      <c r="K143" s="159"/>
      <c r="L143" s="159"/>
    </row>
    <row r="144" spans="5:12" ht="25.5" customHeight="1" x14ac:dyDescent="0.2">
      <c r="E144" s="152" t="s">
        <v>1493</v>
      </c>
      <c r="F144" s="149"/>
      <c r="G144" s="149"/>
      <c r="H144" s="149"/>
      <c r="I144" s="149"/>
      <c r="J144" s="149"/>
    </row>
    <row r="145" spans="5:12" ht="15" customHeight="1" x14ac:dyDescent="0.2">
      <c r="E145" s="147" t="s">
        <v>2901</v>
      </c>
      <c r="F145" s="147"/>
      <c r="G145" s="147"/>
      <c r="H145" s="147"/>
      <c r="I145" s="147"/>
      <c r="J145" s="147"/>
    </row>
    <row r="147" spans="5:12" ht="12.75" customHeight="1" x14ac:dyDescent="0.2">
      <c r="E147" s="22" t="s">
        <v>2334</v>
      </c>
      <c r="K147" s="24" t="s">
        <v>2335</v>
      </c>
      <c r="L147" s="24" t="s">
        <v>2336</v>
      </c>
    </row>
    <row r="148" spans="5:12" ht="15" customHeight="1" x14ac:dyDescent="0.2">
      <c r="E148" s="230" t="s">
        <v>1084</v>
      </c>
      <c r="F148" s="230"/>
      <c r="G148" s="230"/>
      <c r="H148" s="230"/>
      <c r="I148" s="230"/>
      <c r="J148" s="230"/>
      <c r="K148" s="5" t="s">
        <v>1085</v>
      </c>
      <c r="L148" s="89" t="s">
        <v>1369</v>
      </c>
    </row>
    <row r="149" spans="5:12" ht="15" customHeight="1" x14ac:dyDescent="0.2">
      <c r="E149" s="25" t="str" cm="1">
        <f t="array" ref="E149">ShiftText_byHadynWiseman("abc",1)</f>
        <v>bcd</v>
      </c>
      <c r="K149" s="78"/>
    </row>
    <row r="151" spans="5:12" ht="21.75" customHeight="1" x14ac:dyDescent="0.2">
      <c r="E151" s="230" t="s">
        <v>1086</v>
      </c>
      <c r="F151" s="230"/>
      <c r="G151" s="230"/>
      <c r="H151" s="230"/>
      <c r="I151" s="230"/>
      <c r="J151" s="230"/>
      <c r="K151" s="5" t="s">
        <v>2902</v>
      </c>
      <c r="L151" s="89" t="s">
        <v>1370</v>
      </c>
    </row>
    <row r="152" spans="5:12" ht="15" customHeight="1" x14ac:dyDescent="0.2">
      <c r="E152" s="25" t="str" cm="1">
        <f t="array" ref="E152">ShiftText_byHadynWiseman("abc",1,1)</f>
        <v>bdf</v>
      </c>
      <c r="K152" s="78"/>
    </row>
    <row r="154" spans="5:12" ht="15" customHeight="1" x14ac:dyDescent="0.2">
      <c r="E154" s="230" t="s">
        <v>1087</v>
      </c>
      <c r="F154" s="230"/>
      <c r="G154" s="230"/>
      <c r="H154" s="230"/>
      <c r="I154" s="230"/>
      <c r="J154" s="230"/>
      <c r="K154" s="5" t="s">
        <v>2903</v>
      </c>
      <c r="L154" s="89" t="s">
        <v>1371</v>
      </c>
    </row>
    <row r="155" spans="5:12" ht="15" customHeight="1" x14ac:dyDescent="0.2">
      <c r="E155" s="25" t="str" cm="1">
        <f t="array" ref="E155">ShiftText_byHadynWiseman("xyz",3)</f>
        <v>abc</v>
      </c>
      <c r="K155" s="78"/>
    </row>
    <row r="157" spans="5:12" ht="32.25" customHeight="1" x14ac:dyDescent="0.2">
      <c r="E157" s="230" t="s">
        <v>1088</v>
      </c>
      <c r="F157" s="230"/>
      <c r="G157" s="230"/>
      <c r="H157" s="230"/>
      <c r="I157" s="230"/>
      <c r="J157" s="230"/>
      <c r="K157" s="5" t="s">
        <v>2904</v>
      </c>
      <c r="L157" s="89" t="s">
        <v>1372</v>
      </c>
    </row>
    <row r="158" spans="5:12" ht="15" customHeight="1" x14ac:dyDescent="0.2">
      <c r="E158" s="25" t="str" cm="1">
        <f t="array" ref="E158">ShiftText_byHadynWiseman("xyz",3,0,0,1)</f>
        <v>{|}</v>
      </c>
      <c r="K158" s="78"/>
    </row>
    <row r="160" spans="5:12" ht="21.75" customHeight="1" x14ac:dyDescent="0.2">
      <c r="E160" s="230" t="s">
        <v>1089</v>
      </c>
      <c r="F160" s="230"/>
      <c r="G160" s="230"/>
      <c r="H160" s="230"/>
      <c r="I160" s="230"/>
      <c r="J160" s="230"/>
      <c r="K160" s="5" t="s">
        <v>2905</v>
      </c>
      <c r="L160" s="89" t="s">
        <v>1373</v>
      </c>
    </row>
    <row r="161" spans="5:12" ht="15" customHeight="1" x14ac:dyDescent="0.2">
      <c r="E161" s="25" t="str" cm="1">
        <f t="array" ref="E161">ShiftText_byHadynWiseman("ab cd",1,1,1)</f>
        <v>bd fh</v>
      </c>
      <c r="K161" s="78"/>
    </row>
    <row r="163" spans="5:12" ht="25.5" customHeight="1" x14ac:dyDescent="0.2">
      <c r="E163" s="152" t="s">
        <v>2906</v>
      </c>
      <c r="F163" s="152"/>
      <c r="G163" s="152"/>
      <c r="H163" s="152"/>
      <c r="I163" s="152"/>
      <c r="J163" s="152"/>
    </row>
    <row r="164" spans="5:12" ht="21.75" customHeight="1" x14ac:dyDescent="0.2">
      <c r="E164" s="147" t="s">
        <v>1494</v>
      </c>
      <c r="F164" s="147"/>
      <c r="G164" s="147"/>
      <c r="H164" s="147"/>
      <c r="I164" s="147"/>
      <c r="J164" s="147"/>
    </row>
    <row r="167" spans="5:12" ht="15.75" customHeight="1" x14ac:dyDescent="0.2">
      <c r="E167" s="159" t="s">
        <v>1074</v>
      </c>
      <c r="F167" s="159"/>
      <c r="G167" s="159"/>
      <c r="H167" s="159"/>
      <c r="I167" s="159"/>
      <c r="J167" s="159"/>
      <c r="K167" s="159"/>
      <c r="L167" s="159"/>
    </row>
    <row r="168" spans="5:12" ht="25.5" customHeight="1" x14ac:dyDescent="0.2">
      <c r="E168" s="152" t="s">
        <v>1075</v>
      </c>
      <c r="F168" s="149"/>
      <c r="G168" s="149"/>
      <c r="H168" s="149"/>
      <c r="I168" s="149"/>
      <c r="J168" s="149"/>
    </row>
    <row r="169" spans="5:12" ht="21.75" customHeight="1" x14ac:dyDescent="0.2">
      <c r="E169" s="147" t="s">
        <v>2907</v>
      </c>
      <c r="F169" s="147"/>
      <c r="G169" s="147"/>
      <c r="H169" s="147"/>
      <c r="I169" s="147"/>
      <c r="J169" s="147"/>
    </row>
    <row r="171" spans="5:12" ht="12.75" customHeight="1" x14ac:dyDescent="0.2">
      <c r="E171" s="22" t="s">
        <v>2908</v>
      </c>
    </row>
    <row r="172" spans="5:12" ht="15" customHeight="1" x14ac:dyDescent="0.2">
      <c r="E172" s="94" t="s">
        <v>665</v>
      </c>
      <c r="F172" s="94" t="s">
        <v>2476</v>
      </c>
    </row>
    <row r="173" spans="5:12" ht="15" customHeight="1" x14ac:dyDescent="0.2">
      <c r="E173" s="94" t="s">
        <v>666</v>
      </c>
      <c r="F173" s="94" t="s">
        <v>2477</v>
      </c>
    </row>
    <row r="175" spans="5:12" ht="12.75" customHeight="1" x14ac:dyDescent="0.2">
      <c r="E175" s="22" t="s">
        <v>2909</v>
      </c>
    </row>
    <row r="176" spans="5:12" ht="15" customHeight="1" x14ac:dyDescent="0.2">
      <c r="E176" s="94" t="s">
        <v>665</v>
      </c>
      <c r="F176" s="97" t="s">
        <v>2478</v>
      </c>
    </row>
    <row r="177" spans="5:12" ht="15" customHeight="1" x14ac:dyDescent="0.2">
      <c r="E177" s="94" t="s">
        <v>666</v>
      </c>
      <c r="F177" s="97" t="s">
        <v>2479</v>
      </c>
    </row>
    <row r="178" spans="5:12" ht="15" customHeight="1" x14ac:dyDescent="0.2">
      <c r="E178" s="94" t="s">
        <v>667</v>
      </c>
      <c r="F178" s="97" t="s">
        <v>2480</v>
      </c>
    </row>
    <row r="180" spans="5:12" ht="12.75" customHeight="1" x14ac:dyDescent="0.2">
      <c r="E180" s="22" t="s">
        <v>2910</v>
      </c>
    </row>
    <row r="181" spans="5:12" ht="15" customHeight="1" x14ac:dyDescent="0.2">
      <c r="E181" s="94" t="s">
        <v>672</v>
      </c>
    </row>
    <row r="182" spans="5:12" ht="15" customHeight="1" x14ac:dyDescent="0.2">
      <c r="E182" s="94" t="s">
        <v>2481</v>
      </c>
    </row>
    <row r="184" spans="5:12" ht="12.75" customHeight="1" x14ac:dyDescent="0.2">
      <c r="E184" s="22" t="s">
        <v>2334</v>
      </c>
      <c r="K184" s="24" t="s">
        <v>2335</v>
      </c>
      <c r="L184" s="24" t="s">
        <v>2336</v>
      </c>
    </row>
    <row r="185" spans="5:12" ht="21.75" customHeight="1" x14ac:dyDescent="0.2">
      <c r="E185" s="230" t="s">
        <v>3168</v>
      </c>
      <c r="F185" s="230"/>
      <c r="G185" s="230"/>
      <c r="H185" s="230"/>
      <c r="I185" s="230"/>
      <c r="J185" s="230"/>
      <c r="K185" s="5" t="s">
        <v>2911</v>
      </c>
      <c r="L185" s="89" t="s">
        <v>1365</v>
      </c>
    </row>
    <row r="186" spans="5:12" ht="15" customHeight="1" x14ac:dyDescent="0.2">
      <c r="E186" s="25" t="str" cm="1">
        <f t="array" ref="E186">MassSubstitute_byHadynWiseman("Abc",$E$172:$E$173,$F$172:$F$173)</f>
        <v>XYc</v>
      </c>
      <c r="K186" s="78"/>
    </row>
    <row r="188" spans="5:12" ht="21.75" customHeight="1" x14ac:dyDescent="0.2">
      <c r="E188" s="230" t="s">
        <v>3169</v>
      </c>
      <c r="F188" s="230"/>
      <c r="G188" s="230"/>
      <c r="H188" s="230"/>
      <c r="I188" s="230"/>
      <c r="J188" s="230"/>
      <c r="K188" s="5" t="s">
        <v>2912</v>
      </c>
      <c r="L188" s="89" t="s">
        <v>2913</v>
      </c>
    </row>
    <row r="189" spans="5:12" ht="15" customHeight="1" x14ac:dyDescent="0.2">
      <c r="E189" s="25" t="str" cm="1">
        <f t="array" ref="E189">MassSubstitute_byHadynWiseman("Abc",$E$172:$E$173,$F$172:$F$173,1)</f>
        <v>AYc</v>
      </c>
      <c r="K189" s="78"/>
    </row>
    <row r="191" spans="5:12" ht="21.75" customHeight="1" x14ac:dyDescent="0.2">
      <c r="E191" s="230" t="s">
        <v>3170</v>
      </c>
      <c r="F191" s="230"/>
      <c r="G191" s="230"/>
      <c r="H191" s="230"/>
      <c r="I191" s="230"/>
      <c r="J191" s="230"/>
      <c r="K191" s="5" t="s">
        <v>2914</v>
      </c>
      <c r="L191" s="89" t="s">
        <v>2915</v>
      </c>
    </row>
    <row r="192" spans="5:12" ht="15" customHeight="1" x14ac:dyDescent="0.2">
      <c r="E192" s="25" t="str" cm="1">
        <f t="array" ref="E192">MassSubstitute_byHadynWiseman("abcabc",$E$176:$E$178,$F$176:$F$178)</f>
        <v>123123</v>
      </c>
      <c r="K192" s="78"/>
    </row>
    <row r="194" spans="5:12" ht="21.75" customHeight="1" x14ac:dyDescent="0.2">
      <c r="E194" s="230" t="s">
        <v>3171</v>
      </c>
      <c r="F194" s="230"/>
      <c r="G194" s="230"/>
      <c r="H194" s="230"/>
      <c r="I194" s="230"/>
      <c r="J194" s="230"/>
      <c r="K194" s="5" t="s">
        <v>2916</v>
      </c>
      <c r="L194" s="89" t="s">
        <v>2917</v>
      </c>
    </row>
    <row r="195" spans="5:12" ht="15" customHeight="1" x14ac:dyDescent="0.2">
      <c r="E195" s="25" t="str" cm="1">
        <f t="array" ref="E195">MassSubstitute_byHadynWiseman("abcabc",$E$176:$E$178,$F$176:$F$178,0,1)</f>
        <v>123abc</v>
      </c>
      <c r="K195" s="78"/>
    </row>
    <row r="197" spans="5:12" ht="21.75" customHeight="1" x14ac:dyDescent="0.2">
      <c r="E197" s="230" t="s">
        <v>1076</v>
      </c>
      <c r="F197" s="230"/>
      <c r="G197" s="230"/>
      <c r="H197" s="230"/>
      <c r="I197" s="230"/>
      <c r="J197" s="230"/>
      <c r="K197" s="5" t="s">
        <v>2918</v>
      </c>
      <c r="L197" s="89" t="s">
        <v>1366</v>
      </c>
    </row>
    <row r="198" spans="5:12" ht="15" customHeight="1" x14ac:dyDescent="0.2">
      <c r="E198" s="25" t="str" cm="1">
        <f t="array" ref="E198">MassSubstitute_byHadynWiseman("a1b2",{"[0-9]"},{"#"},0,,1)</f>
        <v>a#b#</v>
      </c>
      <c r="K198" s="78"/>
    </row>
    <row r="200" spans="5:12" ht="15" customHeight="1" x14ac:dyDescent="0.2">
      <c r="E200" s="230" t="s">
        <v>3172</v>
      </c>
      <c r="F200" s="230"/>
      <c r="G200" s="230"/>
      <c r="H200" s="230"/>
      <c r="I200" s="230"/>
      <c r="J200" s="230"/>
      <c r="K200" s="5" t="s">
        <v>2919</v>
      </c>
      <c r="L200" s="89" t="s">
        <v>1367</v>
      </c>
    </row>
    <row r="201" spans="5:12" ht="15" customHeight="1" x14ac:dyDescent="0.2">
      <c r="E201" s="25" t="str" cm="1">
        <f t="array" ref="E201">RegPattern_byHadynWiseman($E$181:$E$182)</f>
        <v>\b\Qcatalog\E\b|\b\Qcat\E\b</v>
      </c>
      <c r="K201" s="78"/>
    </row>
    <row r="203" spans="5:12" ht="15" customHeight="1" x14ac:dyDescent="0.2">
      <c r="E203" s="230" t="s">
        <v>3173</v>
      </c>
      <c r="F203" s="230"/>
      <c r="G203" s="230"/>
      <c r="H203" s="230"/>
      <c r="I203" s="230"/>
      <c r="J203" s="230"/>
      <c r="K203" s="5" t="s">
        <v>2920</v>
      </c>
      <c r="L203" s="89" t="s">
        <v>1368</v>
      </c>
    </row>
    <row r="204" spans="5:12" ht="15" customHeight="1" x14ac:dyDescent="0.2">
      <c r="E204" s="25" t="str" cm="1">
        <f t="array" ref="E204">RegPattern_byHadynWiseman($E$181:$E$182,1)</f>
        <v>\Qcatalog\E|\Qcat\E</v>
      </c>
      <c r="K204" s="78"/>
    </row>
    <row r="206" spans="5:12" ht="32.25" customHeight="1" x14ac:dyDescent="0.2">
      <c r="E206" s="230" t="s">
        <v>3174</v>
      </c>
      <c r="F206" s="230"/>
      <c r="G206" s="230"/>
      <c r="H206" s="230"/>
      <c r="I206" s="230"/>
      <c r="J206" s="230"/>
      <c r="K206" s="5" t="s">
        <v>2921</v>
      </c>
      <c r="L206" s="89" t="s">
        <v>2800</v>
      </c>
    </row>
    <row r="207" spans="5:12" ht="15" customHeight="1" x14ac:dyDescent="0.2">
      <c r="E207" s="25" t="str" cm="1">
        <f t="array" ref="E207">MassSubstitute_byHadynWiseman("a catalog and a cat",RegPattern_byHadynWiseman($E$181:$E$182),"#",0,,1)</f>
        <v>a # and a #</v>
      </c>
      <c r="K207" s="78"/>
    </row>
    <row r="209" spans="5:10" ht="25.5" customHeight="1" x14ac:dyDescent="0.2">
      <c r="E209" s="152" t="s">
        <v>1077</v>
      </c>
      <c r="F209" s="152"/>
      <c r="G209" s="152"/>
      <c r="H209" s="152"/>
      <c r="I209" s="152"/>
      <c r="J209" s="152"/>
    </row>
    <row r="210" spans="5:10" ht="25.5" customHeight="1" x14ac:dyDescent="0.2">
      <c r="E210" s="156" t="s">
        <v>2922</v>
      </c>
      <c r="F210" s="157"/>
      <c r="G210" s="157"/>
      <c r="H210" s="157"/>
      <c r="I210" s="157"/>
      <c r="J210" s="158"/>
    </row>
  </sheetData>
  <mergeCells count="77">
    <mergeCell ref="E206:J206"/>
    <mergeCell ref="E209:J209"/>
    <mergeCell ref="E210:J210"/>
    <mergeCell ref="E188:J188"/>
    <mergeCell ref="E191:J191"/>
    <mergeCell ref="E194:J194"/>
    <mergeCell ref="E197:J197"/>
    <mergeCell ref="E200:J200"/>
    <mergeCell ref="E203:J203"/>
    <mergeCell ref="E145:J145"/>
    <mergeCell ref="E148:J148"/>
    <mergeCell ref="E151:J151"/>
    <mergeCell ref="E154:J154"/>
    <mergeCell ref="E167:L167"/>
    <mergeCell ref="L86:L90"/>
    <mergeCell ref="E95:L95"/>
    <mergeCell ref="E103:J103"/>
    <mergeCell ref="E109:J109"/>
    <mergeCell ref="E112:L112"/>
    <mergeCell ref="E96:J96"/>
    <mergeCell ref="E140:J140"/>
    <mergeCell ref="E143:L143"/>
    <mergeCell ref="E144:J144"/>
    <mergeCell ref="E113:J113"/>
    <mergeCell ref="E120:J120"/>
    <mergeCell ref="E117:J117"/>
    <mergeCell ref="E123:J123"/>
    <mergeCell ref="E126:L126"/>
    <mergeCell ref="E128:J128"/>
    <mergeCell ref="L135:L137"/>
    <mergeCell ref="E6:L6"/>
    <mergeCell ref="E7:J7"/>
    <mergeCell ref="E8:J8"/>
    <mergeCell ref="E45:J45"/>
    <mergeCell ref="E41:J41"/>
    <mergeCell ref="E11:J11"/>
    <mergeCell ref="L12:L14"/>
    <mergeCell ref="E16:J16"/>
    <mergeCell ref="L17:L19"/>
    <mergeCell ref="E21:J21"/>
    <mergeCell ref="L22:L24"/>
    <mergeCell ref="E29:L29"/>
    <mergeCell ref="E30:J30"/>
    <mergeCell ref="E31:J31"/>
    <mergeCell ref="E34:J34"/>
    <mergeCell ref="E65:J65"/>
    <mergeCell ref="E66:J66"/>
    <mergeCell ref="L70:L75"/>
    <mergeCell ref="E58:J58"/>
    <mergeCell ref="E26:J26"/>
    <mergeCell ref="E37:J37"/>
    <mergeCell ref="E40:J40"/>
    <mergeCell ref="E44:L44"/>
    <mergeCell ref="E46:J46"/>
    <mergeCell ref="E52:J52"/>
    <mergeCell ref="E55:J55"/>
    <mergeCell ref="E168:J168"/>
    <mergeCell ref="E169:J169"/>
    <mergeCell ref="E185:J185"/>
    <mergeCell ref="E163:J163"/>
    <mergeCell ref="E160:J160"/>
    <mergeCell ref="E3:L4"/>
    <mergeCell ref="E97:J97"/>
    <mergeCell ref="E164:J164"/>
    <mergeCell ref="E92:J92"/>
    <mergeCell ref="L78:L83"/>
    <mergeCell ref="E85:J85"/>
    <mergeCell ref="E157:J157"/>
    <mergeCell ref="E134:J134"/>
    <mergeCell ref="E139:J139"/>
    <mergeCell ref="E114:J114"/>
    <mergeCell ref="E127:J127"/>
    <mergeCell ref="E106:J106"/>
    <mergeCell ref="E61:J61"/>
    <mergeCell ref="E77:J77"/>
    <mergeCell ref="E69:J69"/>
    <mergeCell ref="E64:L64"/>
  </mergeCells>
  <hyperlinks>
    <hyperlink ref="B2" location="'Start here'!E6" tooltip="back to Start here" display="⌂  CompBot Tutorial" xr:uid="{00000000-0004-0000-1500-000000000000}"/>
    <hyperlink ref="B6" location="'Start here'!E6" display="▸  START" xr:uid="{69B6DF6D-D76A-4882-AFBF-B7054F0FD0C9}"/>
    <hyperlink ref="B7" location="'C1 Your machine'!E6" display="▸  COMMANDS" xr:uid="{97563974-B554-4251-AA4E-E6F333B4251C}"/>
    <hyperlink ref="B8" location="'Demo maps'!E6" display="▸  DEMO SHEETS" xr:uid="{709096DF-2F61-4145-A806-A5E322765522}"/>
    <hyperlink ref="B9" location="'Level 1 Basics'!E6" display="▾  LAMBDAS" xr:uid="{759DE1FF-B82E-4EC8-AC2D-D787623DC688}"/>
    <hyperlink ref="B10" location="'Level 1 Basics'!E6" display="Level 1 Basics" xr:uid="{2F0332FF-682B-4AA9-A77E-961259B97E35}"/>
    <hyperlink ref="B11" location="'Level 2 Arrays'!E6" display="Level 2 Arrays" xr:uid="{44C299F6-1229-4253-8019-10BE20A91563}"/>
    <hyperlink ref="B13" location="'Level 4 Lookup'!E6" display="Level 4 Lookup" xr:uid="{E843D46C-C7B3-4261-B539-8CE5B9472E44}"/>
    <hyperlink ref="B14" location="'Level 5 Maps'!E6" display="Level 5 Maps" xr:uid="{42AE0273-068E-4E18-A8BC-01E0372D0D7F}"/>
    <hyperlink ref="B15" location="'Level 6 Engines'!E6" display="Level 6 Engines" xr:uid="{3BC7E130-A7DB-41E2-B4D1-969A8AFBFA14}"/>
    <hyperlink ref="B16" location="'Words'!E6" display="Words" xr:uid="{E11B6EF4-8C6A-4D9F-A81A-B5EBD01E9D15}"/>
    <hyperlink ref="B18" location="'Command cheat sheet'!E6" display="▸  REFERENCE" xr:uid="{AA29E52D-7C6F-4E7F-A824-F6AC977330A5}"/>
    <hyperlink ref="B17" location="'I1 The Alves Method'!E6" display="▸  INSIDER" xr:uid="{37F1B236-597A-4121-831A-794FED21CBA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0B6E4F"/>
  </sheetPr>
  <dimension ref="A1:L403"/>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44" customWidth="1"/>
    <col min="2" max="2" width="27" style="44" customWidth="1"/>
    <col min="3" max="3" width="1.5" style="44" customWidth="1"/>
    <col min="4" max="4" width="2.5" customWidth="1"/>
    <col min="5" max="10" width="14.5" customWidth="1"/>
    <col min="11" max="11" width="44" customWidth="1"/>
    <col min="12" max="12" width="46" customWidth="1"/>
  </cols>
  <sheetData>
    <row r="1" spans="2:12" ht="12.75" x14ac:dyDescent="0.2"/>
    <row r="2" spans="2:12" ht="30" customHeight="1" x14ac:dyDescent="0.3">
      <c r="B2" s="45" t="s">
        <v>0</v>
      </c>
      <c r="E2" s="3" t="s">
        <v>3176</v>
      </c>
    </row>
    <row r="3" spans="2:12" ht="15" customHeight="1" x14ac:dyDescent="0.2">
      <c r="B3" s="46" t="s">
        <v>2</v>
      </c>
      <c r="E3" s="147" t="s">
        <v>2963</v>
      </c>
      <c r="F3" s="148"/>
      <c r="G3" s="148"/>
      <c r="H3" s="148"/>
      <c r="I3" s="148"/>
      <c r="J3" s="148"/>
      <c r="K3" s="148"/>
      <c r="L3" s="148"/>
    </row>
    <row r="4" spans="2:12" ht="15" customHeight="1" x14ac:dyDescent="0.2">
      <c r="E4" s="148"/>
      <c r="F4" s="148"/>
      <c r="G4" s="148"/>
      <c r="H4" s="148"/>
      <c r="I4" s="148"/>
      <c r="J4" s="148"/>
      <c r="K4" s="148"/>
      <c r="L4" s="148"/>
    </row>
    <row r="5" spans="2:12" ht="12.75" x14ac:dyDescent="0.2"/>
    <row r="6" spans="2:12" ht="15.75" customHeight="1" x14ac:dyDescent="0.2">
      <c r="B6" s="112" t="s">
        <v>315</v>
      </c>
      <c r="E6" s="159" t="s">
        <v>2964</v>
      </c>
      <c r="F6" s="159"/>
      <c r="G6" s="159"/>
      <c r="H6" s="159"/>
      <c r="I6" s="159"/>
      <c r="J6" s="159"/>
      <c r="K6" s="159"/>
      <c r="L6" s="159"/>
    </row>
    <row r="7" spans="2:12" ht="51" customHeight="1" x14ac:dyDescent="0.2">
      <c r="B7" s="112" t="s">
        <v>10</v>
      </c>
      <c r="E7" s="152" t="s">
        <v>2965</v>
      </c>
      <c r="F7" s="149"/>
      <c r="G7" s="149"/>
      <c r="H7" s="149"/>
      <c r="I7" s="149"/>
      <c r="J7" s="149"/>
    </row>
    <row r="8" spans="2:12" ht="32.25" customHeight="1" x14ac:dyDescent="0.2">
      <c r="B8" s="112" t="s">
        <v>11</v>
      </c>
      <c r="E8" s="147" t="s">
        <v>2966</v>
      </c>
      <c r="F8" s="147"/>
      <c r="G8" s="147"/>
      <c r="H8" s="147"/>
      <c r="I8" s="147"/>
      <c r="J8" s="147"/>
    </row>
    <row r="9" spans="2:12" ht="12.75" customHeight="1" x14ac:dyDescent="0.2">
      <c r="B9" s="112" t="s">
        <v>856</v>
      </c>
    </row>
    <row r="10" spans="2:12" ht="12.75" customHeight="1" x14ac:dyDescent="0.2">
      <c r="B10" s="91" t="s">
        <v>56</v>
      </c>
      <c r="E10" s="22" t="s">
        <v>2967</v>
      </c>
    </row>
    <row r="11" spans="2:12" ht="15" customHeight="1" x14ac:dyDescent="0.2">
      <c r="B11" s="91" t="s">
        <v>58</v>
      </c>
      <c r="E11" s="94"/>
      <c r="F11" s="94" t="s">
        <v>2968</v>
      </c>
      <c r="G11" s="94" t="s">
        <v>2969</v>
      </c>
      <c r="H11" s="94" t="s">
        <v>2970</v>
      </c>
      <c r="I11" s="94" t="s">
        <v>2971</v>
      </c>
      <c r="J11" s="94" t="s">
        <v>2972</v>
      </c>
    </row>
    <row r="12" spans="2:12" ht="15" customHeight="1" x14ac:dyDescent="0.2">
      <c r="B12" s="91" t="s">
        <v>3181</v>
      </c>
      <c r="E12" s="94" t="s">
        <v>2968</v>
      </c>
      <c r="F12" s="94">
        <v>0</v>
      </c>
      <c r="G12" s="94">
        <v>110</v>
      </c>
      <c r="H12" s="94">
        <v>490</v>
      </c>
      <c r="I12" s="94">
        <v>130</v>
      </c>
      <c r="J12" s="94">
        <v>80</v>
      </c>
    </row>
    <row r="13" spans="2:12" ht="15" customHeight="1" x14ac:dyDescent="0.2">
      <c r="B13" s="90" t="s">
        <v>3182</v>
      </c>
      <c r="E13" s="94" t="s">
        <v>2969</v>
      </c>
      <c r="F13" s="94">
        <v>110</v>
      </c>
      <c r="G13" s="94">
        <v>0</v>
      </c>
      <c r="H13" s="94">
        <v>390</v>
      </c>
      <c r="I13" s="94">
        <v>240</v>
      </c>
      <c r="J13" s="94">
        <v>80</v>
      </c>
    </row>
    <row r="14" spans="2:12" ht="15" customHeight="1" x14ac:dyDescent="0.2">
      <c r="B14" s="91" t="s">
        <v>3179</v>
      </c>
      <c r="E14" s="94" t="s">
        <v>2970</v>
      </c>
      <c r="F14" s="94">
        <v>490</v>
      </c>
      <c r="G14" s="94">
        <v>390</v>
      </c>
      <c r="H14" s="94">
        <v>0</v>
      </c>
      <c r="I14" s="94">
        <v>620</v>
      </c>
      <c r="J14" s="94">
        <v>470</v>
      </c>
    </row>
    <row r="15" spans="2:12" ht="15" customHeight="1" x14ac:dyDescent="0.2">
      <c r="B15" s="91" t="s">
        <v>3180</v>
      </c>
      <c r="E15" s="94" t="s">
        <v>2971</v>
      </c>
      <c r="F15" s="94">
        <v>130</v>
      </c>
      <c r="G15" s="94">
        <v>240</v>
      </c>
      <c r="H15" s="94">
        <v>620</v>
      </c>
      <c r="I15" s="94">
        <v>0</v>
      </c>
      <c r="J15" s="94">
        <v>190</v>
      </c>
    </row>
    <row r="16" spans="2:12" ht="15" customHeight="1" x14ac:dyDescent="0.2">
      <c r="B16" s="91" t="s">
        <v>54</v>
      </c>
      <c r="E16" s="94" t="s">
        <v>2972</v>
      </c>
      <c r="F16" s="94">
        <v>80</v>
      </c>
      <c r="G16" s="94">
        <v>80</v>
      </c>
      <c r="H16" s="94">
        <v>470</v>
      </c>
      <c r="I16" s="94">
        <v>190</v>
      </c>
      <c r="J16" s="94">
        <v>0</v>
      </c>
    </row>
    <row r="17" spans="2:12" ht="15" customHeight="1" x14ac:dyDescent="0.2">
      <c r="B17" s="112" t="s">
        <v>3407</v>
      </c>
    </row>
    <row r="18" spans="2:12" ht="12.75" customHeight="1" x14ac:dyDescent="0.2">
      <c r="B18" s="112" t="s">
        <v>14</v>
      </c>
      <c r="E18" s="22" t="s">
        <v>2334</v>
      </c>
      <c r="K18" s="24" t="s">
        <v>2335</v>
      </c>
      <c r="L18" s="24" t="s">
        <v>2336</v>
      </c>
    </row>
    <row r="19" spans="2:12" ht="21.75" customHeight="1" x14ac:dyDescent="0.2">
      <c r="B19" s="110"/>
      <c r="E19" s="230" t="s">
        <v>2973</v>
      </c>
      <c r="F19" s="230"/>
      <c r="G19" s="230"/>
      <c r="H19" s="230"/>
      <c r="I19" s="230"/>
      <c r="J19" s="230"/>
      <c r="K19" s="5" t="s">
        <v>2974</v>
      </c>
      <c r="L19" s="89" t="s">
        <v>2975</v>
      </c>
    </row>
    <row r="20" spans="2:12" ht="15" customHeight="1" x14ac:dyDescent="0.2">
      <c r="B20" s="110"/>
      <c r="E20" s="25" cm="1">
        <f t="array" ref="E20:F20">TSPGreedy_byHadynWiseman($F$12:$J$16,1,1)</f>
        <v>1510</v>
      </c>
      <c r="F20" s="96" t="str">
        <v>1|5|2|4|3|1</v>
      </c>
      <c r="K20" s="78" t="s">
        <v>2093</v>
      </c>
    </row>
    <row r="21" spans="2:12" ht="15" customHeight="1" x14ac:dyDescent="0.2">
      <c r="B21" s="110"/>
    </row>
    <row r="22" spans="2:12" ht="32.25" customHeight="1" x14ac:dyDescent="0.2">
      <c r="B22" s="110"/>
      <c r="E22" s="230" t="s">
        <v>2976</v>
      </c>
      <c r="F22" s="230"/>
      <c r="G22" s="230"/>
      <c r="H22" s="230"/>
      <c r="I22" s="230"/>
      <c r="J22" s="230"/>
      <c r="K22" s="5" t="s">
        <v>2977</v>
      </c>
      <c r="L22" s="89" t="s">
        <v>2978</v>
      </c>
    </row>
    <row r="23" spans="2:12" ht="15" customHeight="1" x14ac:dyDescent="0.2">
      <c r="B23" s="110"/>
      <c r="E23" s="25" t="str" cm="1">
        <f t="array" ref="E23">_xlfn.TEXTJOIN(" &gt; ",1,INDEX($E$12:$E$16,--_xlfn.TEXTSPLIT(INDEX(TSPGreedy_byHadynWiseman($F$12:$J$16,1,1),2),"|")))</f>
        <v>Auckland &gt; Thames &gt; Hamilton &gt; Whangarei &gt; Wellington &gt; Auckland</v>
      </c>
      <c r="K23" s="78"/>
    </row>
    <row r="24" spans="2:12" ht="15" customHeight="1" x14ac:dyDescent="0.2">
      <c r="B24" s="110"/>
    </row>
    <row r="25" spans="2:12" ht="21.75" customHeight="1" x14ac:dyDescent="0.2">
      <c r="B25" s="110"/>
      <c r="E25" s="230" t="s">
        <v>2979</v>
      </c>
      <c r="F25" s="230"/>
      <c r="G25" s="230"/>
      <c r="H25" s="230"/>
      <c r="I25" s="230"/>
      <c r="J25" s="230"/>
      <c r="K25" s="5" t="s">
        <v>2980</v>
      </c>
      <c r="L25" s="89" t="s">
        <v>2981</v>
      </c>
    </row>
    <row r="26" spans="2:12" ht="15" customHeight="1" x14ac:dyDescent="0.2">
      <c r="B26" s="110"/>
      <c r="E26" s="25" cm="1">
        <f t="array" ref="E26:F26">OptimiseTSP_byHadynWiseman(TSPGreedy_byHadynWiseman($F$12:$J$16,1,1),$F$12:$J$16)</f>
        <v>1300</v>
      </c>
      <c r="F26" s="96" t="str">
        <v>1|5|2|3|4|1</v>
      </c>
      <c r="K26" s="78" t="s">
        <v>2093</v>
      </c>
    </row>
    <row r="27" spans="2:12" ht="15" customHeight="1" x14ac:dyDescent="0.2">
      <c r="B27" s="110"/>
    </row>
    <row r="28" spans="2:12" ht="15" customHeight="1" x14ac:dyDescent="0.2">
      <c r="B28" s="110"/>
      <c r="E28" s="230" t="s">
        <v>2982</v>
      </c>
      <c r="F28" s="230"/>
      <c r="G28" s="230"/>
      <c r="H28" s="230"/>
      <c r="I28" s="230"/>
      <c r="J28" s="230"/>
      <c r="K28" s="5" t="s">
        <v>2983</v>
      </c>
      <c r="L28" s="89" t="s">
        <v>2984</v>
      </c>
    </row>
    <row r="29" spans="2:12" ht="15" customHeight="1" x14ac:dyDescent="0.2">
      <c r="B29" s="110"/>
      <c r="E29" s="25" cm="1">
        <f t="array" ref="E29:G29">TSPFull_byHadynWiseman($F$12:$J$16,1,1)</f>
        <v>1280</v>
      </c>
      <c r="F29" s="96" t="str">
        <v>1|3|2|5|4|1</v>
      </c>
      <c r="G29" s="96" t="str">
        <v>DONE</v>
      </c>
      <c r="K29" s="78" t="s">
        <v>1978</v>
      </c>
    </row>
    <row r="30" spans="2:12" ht="15" customHeight="1" x14ac:dyDescent="0.2">
      <c r="B30" s="110"/>
    </row>
    <row r="31" spans="2:12" ht="21.75" customHeight="1" x14ac:dyDescent="0.2">
      <c r="B31" s="110"/>
      <c r="E31" s="230" t="s">
        <v>2985</v>
      </c>
      <c r="F31" s="230"/>
      <c r="G31" s="230"/>
      <c r="H31" s="230"/>
      <c r="I31" s="230"/>
      <c r="J31" s="230"/>
      <c r="K31" s="5" t="s">
        <v>2986</v>
      </c>
      <c r="L31" s="89" t="s">
        <v>2987</v>
      </c>
    </row>
    <row r="32" spans="2:12" ht="15" customHeight="1" x14ac:dyDescent="0.2">
      <c r="B32" s="110"/>
      <c r="E32" s="25" t="str" cm="1">
        <f t="array" ref="E32">_xlfn.TEXTJOIN(" &gt; ",1,INDEX($E$12:$E$16,--_xlfn.TEXTSPLIT(INDEX(TSPFull_byHadynWiseman($F$12:$J$16,1,1),2),"|")))</f>
        <v>Auckland &gt; Wellington &gt; Hamilton &gt; Thames &gt; Whangarei &gt; Auckland</v>
      </c>
      <c r="K32" s="78"/>
    </row>
    <row r="33" spans="2:12" ht="15" customHeight="1" x14ac:dyDescent="0.2">
      <c r="B33" s="110"/>
    </row>
    <row r="34" spans="2:12" ht="15" customHeight="1" x14ac:dyDescent="0.2">
      <c r="B34" s="110"/>
      <c r="E34" s="230" t="s">
        <v>2988</v>
      </c>
      <c r="F34" s="230"/>
      <c r="G34" s="230"/>
      <c r="H34" s="230"/>
      <c r="I34" s="230"/>
      <c r="J34" s="230"/>
      <c r="K34" s="5" t="s">
        <v>2989</v>
      </c>
      <c r="L34" s="89" t="s">
        <v>2990</v>
      </c>
    </row>
    <row r="35" spans="2:12" ht="15" customHeight="1" x14ac:dyDescent="0.2">
      <c r="B35" s="110"/>
      <c r="E35" s="25" cm="1">
        <f t="array" ref="E35:G35">TSPFull_byHadynWiseman($F$12:$J$16,1,0)</f>
        <v>790</v>
      </c>
      <c r="F35" s="96" t="str">
        <v>1|4|5|2|3</v>
      </c>
      <c r="G35" s="96" t="str">
        <v>DONE</v>
      </c>
      <c r="K35" s="78" t="s">
        <v>1978</v>
      </c>
    </row>
    <row r="36" spans="2:12" ht="15" customHeight="1" x14ac:dyDescent="0.2">
      <c r="B36" s="110"/>
    </row>
    <row r="37" spans="2:12" ht="21.75" customHeight="1" x14ac:dyDescent="0.2">
      <c r="B37" s="110"/>
      <c r="E37" s="230" t="s">
        <v>2991</v>
      </c>
      <c r="F37" s="230"/>
      <c r="G37" s="230"/>
      <c r="H37" s="230"/>
      <c r="I37" s="230"/>
      <c r="J37" s="230"/>
      <c r="K37" s="5" t="s">
        <v>2992</v>
      </c>
      <c r="L37" s="89" t="s">
        <v>2993</v>
      </c>
    </row>
    <row r="38" spans="2:12" ht="15" customHeight="1" x14ac:dyDescent="0.2">
      <c r="B38" s="110"/>
      <c r="E38" s="25" cm="1">
        <f t="array" ref="E38:G38">TSPFull_byHadynWiseman($F$12:$J$16,1,1,3)</f>
        <v>1300</v>
      </c>
      <c r="F38" s="96" t="str">
        <v>1|5|2|3|4|1</v>
      </c>
      <c r="G38" s="96" t="str">
        <v>NOT FINISHED, INCREASE STEP LIMIT</v>
      </c>
      <c r="K38" s="78" t="s">
        <v>1978</v>
      </c>
    </row>
    <row r="39" spans="2:12" ht="15" customHeight="1" x14ac:dyDescent="0.2">
      <c r="B39" s="110"/>
    </row>
    <row r="40" spans="2:12" ht="25.5" customHeight="1" x14ac:dyDescent="0.2">
      <c r="B40" s="110"/>
      <c r="E40" s="152" t="s">
        <v>1091</v>
      </c>
      <c r="F40" s="152"/>
      <c r="G40" s="152"/>
      <c r="H40" s="152"/>
      <c r="I40" s="152"/>
      <c r="J40" s="152"/>
    </row>
    <row r="41" spans="2:12" ht="25.5" customHeight="1" x14ac:dyDescent="0.2">
      <c r="B41" s="110"/>
      <c r="E41" s="156" t="s">
        <v>2994</v>
      </c>
      <c r="F41" s="157"/>
      <c r="G41" s="157"/>
      <c r="H41" s="157"/>
      <c r="I41" s="157"/>
      <c r="J41" s="158"/>
    </row>
    <row r="42" spans="2:12" ht="25.5" customHeight="1" x14ac:dyDescent="0.2">
      <c r="B42" s="110"/>
    </row>
    <row r="43" spans="2:12" ht="12.75" customHeight="1" x14ac:dyDescent="0.2">
      <c r="B43" s="110"/>
    </row>
    <row r="44" spans="2:12" ht="15.75" customHeight="1" x14ac:dyDescent="0.2">
      <c r="B44" s="110"/>
      <c r="E44" s="159" t="s">
        <v>1092</v>
      </c>
      <c r="F44" s="159"/>
      <c r="G44" s="159"/>
      <c r="H44" s="159"/>
      <c r="I44" s="159"/>
      <c r="J44" s="159"/>
      <c r="K44" s="159"/>
      <c r="L44" s="159"/>
    </row>
    <row r="45" spans="2:12" ht="15" customHeight="1" x14ac:dyDescent="0.2">
      <c r="B45" s="110"/>
      <c r="E45" s="152" t="s">
        <v>1093</v>
      </c>
      <c r="F45" s="149"/>
      <c r="G45" s="149"/>
      <c r="H45" s="149"/>
      <c r="I45" s="149"/>
      <c r="J45" s="149"/>
    </row>
    <row r="46" spans="2:12" ht="15" customHeight="1" x14ac:dyDescent="0.2">
      <c r="B46" s="110"/>
      <c r="E46" s="147" t="s">
        <v>1094</v>
      </c>
      <c r="F46" s="147"/>
      <c r="G46" s="147"/>
      <c r="H46" s="147"/>
      <c r="I46" s="147"/>
      <c r="J46" s="147"/>
    </row>
    <row r="48" spans="2:12" ht="12.75" customHeight="1" x14ac:dyDescent="0.2">
      <c r="E48" s="22" t="s">
        <v>2995</v>
      </c>
    </row>
    <row r="49" spans="5:12" ht="15" customHeight="1" x14ac:dyDescent="0.2">
      <c r="E49" s="94" t="s">
        <v>845</v>
      </c>
      <c r="F49" s="94" t="s">
        <v>2996</v>
      </c>
      <c r="G49" s="94" t="s">
        <v>447</v>
      </c>
    </row>
    <row r="50" spans="5:12" ht="15" customHeight="1" x14ac:dyDescent="0.2">
      <c r="E50" s="94" t="s">
        <v>2923</v>
      </c>
      <c r="F50" s="94">
        <v>5</v>
      </c>
      <c r="G50" s="94">
        <v>10</v>
      </c>
    </row>
    <row r="51" spans="5:12" ht="15" customHeight="1" x14ac:dyDescent="0.2">
      <c r="E51" s="94" t="s">
        <v>2924</v>
      </c>
      <c r="F51" s="94">
        <v>4</v>
      </c>
      <c r="G51" s="94">
        <v>40</v>
      </c>
    </row>
    <row r="52" spans="5:12" ht="15" customHeight="1" x14ac:dyDescent="0.2">
      <c r="E52" s="94" t="s">
        <v>2925</v>
      </c>
      <c r="F52" s="94">
        <v>6</v>
      </c>
      <c r="G52" s="94">
        <v>30</v>
      </c>
    </row>
    <row r="53" spans="5:12" ht="15" customHeight="1" x14ac:dyDescent="0.2">
      <c r="E53" s="94" t="s">
        <v>2926</v>
      </c>
      <c r="F53" s="94">
        <v>3</v>
      </c>
      <c r="G53" s="94">
        <v>50</v>
      </c>
    </row>
    <row r="55" spans="5:12" ht="12.75" customHeight="1" x14ac:dyDescent="0.2">
      <c r="E55" s="22" t="s">
        <v>2334</v>
      </c>
      <c r="K55" s="24" t="s">
        <v>2335</v>
      </c>
      <c r="L55" s="24" t="s">
        <v>2336</v>
      </c>
    </row>
    <row r="56" spans="5:12" ht="15" customHeight="1" x14ac:dyDescent="0.2">
      <c r="E56" s="230" t="s">
        <v>2997</v>
      </c>
      <c r="F56" s="230"/>
      <c r="G56" s="230"/>
      <c r="H56" s="230"/>
      <c r="I56" s="230"/>
      <c r="J56" s="230"/>
      <c r="K56" s="5" t="s">
        <v>2998</v>
      </c>
      <c r="L56" s="89" t="s">
        <v>2999</v>
      </c>
    </row>
    <row r="57" spans="5:12" ht="15" customHeight="1" x14ac:dyDescent="0.2">
      <c r="E57" s="25" cm="1">
        <f t="array" ref="E57">KnapSackInteger_byHadynWiseman(10,$F$50:$F$53,$G$50:$G$53)</f>
        <v>90</v>
      </c>
      <c r="K57" s="78"/>
    </row>
    <row r="59" spans="5:12" ht="21.75" customHeight="1" x14ac:dyDescent="0.2">
      <c r="E59" s="230" t="s">
        <v>3000</v>
      </c>
      <c r="F59" s="230"/>
      <c r="G59" s="230"/>
      <c r="H59" s="230"/>
      <c r="I59" s="230"/>
      <c r="J59" s="230"/>
      <c r="K59" s="5" t="s">
        <v>3001</v>
      </c>
    </row>
    <row r="60" spans="5:12" ht="15" customHeight="1" x14ac:dyDescent="0.2">
      <c r="E60" s="25" t="str" cm="1">
        <f t="array" ref="E60:G61">KnapSackInteger_byHadynWiseman(10,$F$50:$F$53,$G$50:$G$53,$E$50:$E$53)</f>
        <v>Stove</v>
      </c>
      <c r="F60" s="96">
        <v>4</v>
      </c>
      <c r="G60" s="96">
        <v>40</v>
      </c>
      <c r="K60" s="78" t="s">
        <v>2001</v>
      </c>
      <c r="L60" s="231" t="s">
        <v>3002</v>
      </c>
    </row>
    <row r="61" spans="5:12" ht="15" customHeight="1" x14ac:dyDescent="0.2">
      <c r="E61" s="96" t="str">
        <v>Water</v>
      </c>
      <c r="F61" s="96">
        <v>3</v>
      </c>
      <c r="G61" s="96">
        <v>50</v>
      </c>
      <c r="L61" s="231"/>
    </row>
    <row r="63" spans="5:12" ht="15" customHeight="1" x14ac:dyDescent="0.2">
      <c r="E63" s="230" t="s">
        <v>3003</v>
      </c>
      <c r="F63" s="230"/>
      <c r="G63" s="230"/>
      <c r="H63" s="230"/>
      <c r="I63" s="230"/>
      <c r="J63" s="230"/>
      <c r="K63" s="5" t="s">
        <v>3004</v>
      </c>
      <c r="L63" s="89" t="s">
        <v>3005</v>
      </c>
    </row>
    <row r="64" spans="5:12" ht="15" customHeight="1" x14ac:dyDescent="0.2">
      <c r="E64" s="25" cm="1">
        <f t="array" ref="E64">KnapSackInteger_byHadynWiseman(3,$F$50:$F$53,$G$50:$G$53)</f>
        <v>50</v>
      </c>
      <c r="K64" s="78"/>
    </row>
    <row r="66" spans="5:12" ht="25.5" customHeight="1" x14ac:dyDescent="0.2">
      <c r="E66" s="152" t="s">
        <v>3006</v>
      </c>
      <c r="F66" s="152"/>
      <c r="G66" s="152"/>
      <c r="H66" s="152"/>
      <c r="I66" s="152"/>
      <c r="J66" s="152"/>
    </row>
    <row r="67" spans="5:12" ht="25.5" customHeight="1" x14ac:dyDescent="0.2">
      <c r="E67" s="156" t="s">
        <v>1851</v>
      </c>
      <c r="F67" s="157"/>
      <c r="G67" s="157"/>
      <c r="H67" s="157"/>
      <c r="I67" s="157"/>
      <c r="J67" s="158"/>
    </row>
    <row r="68" spans="5:12" ht="12.75" customHeight="1" x14ac:dyDescent="0.2"/>
    <row r="69" spans="5:12" ht="15.75" customHeight="1" x14ac:dyDescent="0.2"/>
    <row r="70" spans="5:12" ht="15.75" customHeight="1" x14ac:dyDescent="0.2">
      <c r="E70" s="159" t="s">
        <v>1095</v>
      </c>
      <c r="F70" s="159"/>
      <c r="G70" s="159"/>
      <c r="H70" s="159"/>
      <c r="I70" s="159"/>
      <c r="J70" s="159"/>
      <c r="K70" s="159"/>
      <c r="L70" s="159"/>
    </row>
    <row r="71" spans="5:12" ht="25.5" customHeight="1" x14ac:dyDescent="0.2">
      <c r="E71" s="152" t="s">
        <v>2801</v>
      </c>
      <c r="F71" s="149"/>
      <c r="G71" s="149"/>
      <c r="H71" s="149"/>
      <c r="I71" s="149"/>
      <c r="J71" s="149"/>
    </row>
    <row r="72" spans="5:12" ht="21.75" customHeight="1" x14ac:dyDescent="0.2">
      <c r="E72" s="147" t="s">
        <v>2802</v>
      </c>
      <c r="F72" s="147"/>
      <c r="G72" s="147"/>
      <c r="H72" s="147"/>
      <c r="I72" s="147"/>
      <c r="J72" s="147"/>
    </row>
    <row r="73" spans="5:12" ht="12.75" customHeight="1" x14ac:dyDescent="0.2"/>
    <row r="74" spans="5:12" ht="12.75" customHeight="1" x14ac:dyDescent="0.2">
      <c r="E74" s="22" t="s">
        <v>3244</v>
      </c>
    </row>
    <row r="75" spans="5:12" ht="15" customHeight="1" x14ac:dyDescent="0.2">
      <c r="E75" s="94" t="s">
        <v>2803</v>
      </c>
      <c r="F75" s="94" t="s">
        <v>2804</v>
      </c>
      <c r="G75" s="94" t="s">
        <v>2805</v>
      </c>
      <c r="H75" s="94"/>
    </row>
    <row r="76" spans="5:12" ht="15" customHeight="1" x14ac:dyDescent="0.2">
      <c r="E76" s="94" t="s">
        <v>2803</v>
      </c>
      <c r="F76" s="94" t="s">
        <v>2804</v>
      </c>
      <c r="G76" s="94" t="s">
        <v>2806</v>
      </c>
      <c r="H76" s="94" t="s">
        <v>2807</v>
      </c>
    </row>
    <row r="77" spans="5:12" ht="15" customHeight="1" x14ac:dyDescent="0.2">
      <c r="E77" s="94" t="s">
        <v>2808</v>
      </c>
      <c r="F77" s="94" t="s">
        <v>2809</v>
      </c>
      <c r="G77" s="94" t="s">
        <v>2810</v>
      </c>
      <c r="H77" s="94"/>
    </row>
    <row r="78" spans="5:12" ht="15" customHeight="1" x14ac:dyDescent="0.2">
      <c r="E78" s="94" t="s">
        <v>2811</v>
      </c>
      <c r="F78" s="94" t="s">
        <v>2812</v>
      </c>
      <c r="G78" s="94" t="s">
        <v>2804</v>
      </c>
      <c r="H78" s="94"/>
    </row>
    <row r="79" spans="5:12" ht="15" customHeight="1" x14ac:dyDescent="0.2">
      <c r="E79" s="94" t="s">
        <v>2804</v>
      </c>
      <c r="F79" s="94" t="s">
        <v>2808</v>
      </c>
      <c r="G79" s="94" t="s">
        <v>2809</v>
      </c>
      <c r="H79" s="94"/>
    </row>
    <row r="80" spans="5:12" ht="15" customHeight="1" x14ac:dyDescent="0.2">
      <c r="E80" s="94" t="s">
        <v>2812</v>
      </c>
      <c r="F80" s="94" t="s">
        <v>2804</v>
      </c>
      <c r="G80" s="94" t="s">
        <v>2808</v>
      </c>
      <c r="H80" s="94"/>
    </row>
    <row r="81" spans="5:12" ht="15" customHeight="1" x14ac:dyDescent="0.2">
      <c r="E81" s="94" t="s">
        <v>2803</v>
      </c>
      <c r="F81" s="94" t="s">
        <v>3245</v>
      </c>
      <c r="G81" s="94" t="s">
        <v>2807</v>
      </c>
      <c r="H81" s="94"/>
    </row>
    <row r="82" spans="5:12" ht="12.75" customHeight="1" x14ac:dyDescent="0.2"/>
    <row r="83" spans="5:12" ht="12.75" customHeight="1" x14ac:dyDescent="0.2">
      <c r="E83" s="22" t="s">
        <v>2334</v>
      </c>
      <c r="K83" s="24" t="s">
        <v>2335</v>
      </c>
      <c r="L83" s="24" t="s">
        <v>2336</v>
      </c>
    </row>
    <row r="84" spans="5:12" ht="15" customHeight="1" x14ac:dyDescent="0.2">
      <c r="E84" s="230" t="s">
        <v>3007</v>
      </c>
      <c r="F84" s="230"/>
      <c r="G84" s="230"/>
      <c r="H84" s="230"/>
      <c r="I84" s="230"/>
      <c r="J84" s="230"/>
      <c r="K84" s="5" t="s">
        <v>3008</v>
      </c>
    </row>
    <row r="85" spans="5:12" ht="15" customHeight="1" x14ac:dyDescent="0.2">
      <c r="E85" s="25" t="str" cm="1">
        <f t="array" ref="E85:E86">CardSets_byHadynWiseman($E$75:$H$75,2,0,0,1)</f>
        <v>A♠</v>
      </c>
      <c r="K85" s="78" t="s">
        <v>1980</v>
      </c>
      <c r="L85" s="231" t="s">
        <v>2823</v>
      </c>
    </row>
    <row r="86" spans="5:12" ht="15" customHeight="1" x14ac:dyDescent="0.2">
      <c r="E86" s="96" t="str">
        <v>A♥</v>
      </c>
      <c r="L86" s="231"/>
    </row>
    <row r="88" spans="5:12" ht="15" customHeight="1" x14ac:dyDescent="0.2">
      <c r="E88" s="230" t="s">
        <v>3009</v>
      </c>
      <c r="F88" s="230"/>
      <c r="G88" s="230"/>
      <c r="H88" s="230"/>
      <c r="I88" s="230"/>
      <c r="J88" s="230"/>
      <c r="K88" s="5" t="s">
        <v>2821</v>
      </c>
    </row>
    <row r="89" spans="5:12" ht="15" customHeight="1" x14ac:dyDescent="0.2">
      <c r="E89" s="25" t="str" cm="1">
        <f t="array" ref="E89:E91">CardSets_byHadynWiseman($E$76:$H$76,3,0,0,1)</f>
        <v>A♠</v>
      </c>
      <c r="K89" s="78" t="s">
        <v>1947</v>
      </c>
      <c r="L89" s="231" t="s">
        <v>2822</v>
      </c>
    </row>
    <row r="90" spans="5:12" ht="15" customHeight="1" x14ac:dyDescent="0.2">
      <c r="E90" s="96" t="str">
        <v>A♥</v>
      </c>
      <c r="L90" s="231"/>
    </row>
    <row r="91" spans="5:12" ht="15" customHeight="1" x14ac:dyDescent="0.2">
      <c r="E91" s="96" t="str">
        <v>A♦</v>
      </c>
      <c r="L91" s="231"/>
    </row>
    <row r="93" spans="5:12" ht="15" customHeight="1" x14ac:dyDescent="0.2">
      <c r="E93" s="230" t="s">
        <v>3010</v>
      </c>
      <c r="F93" s="230"/>
      <c r="G93" s="230"/>
      <c r="H93" s="230"/>
      <c r="I93" s="230"/>
      <c r="J93" s="230"/>
      <c r="K93" s="5" t="s">
        <v>2819</v>
      </c>
    </row>
    <row r="94" spans="5:12" ht="15" customHeight="1" x14ac:dyDescent="0.2">
      <c r="E94" s="25" t="str" cm="1">
        <f t="array" ref="E94:E96">CardSets_byHadynWiseman($E$77:$H$77,3)</f>
        <v>2♥</v>
      </c>
      <c r="K94" s="78" t="s">
        <v>1947</v>
      </c>
      <c r="L94" s="231" t="s">
        <v>2820</v>
      </c>
    </row>
    <row r="95" spans="5:12" ht="15" customHeight="1" x14ac:dyDescent="0.2">
      <c r="E95" s="96" t="str">
        <v>3♥</v>
      </c>
      <c r="L95" s="231"/>
    </row>
    <row r="96" spans="5:12" ht="15" customHeight="1" x14ac:dyDescent="0.2">
      <c r="E96" s="96" t="str">
        <v>4♥</v>
      </c>
      <c r="L96" s="231"/>
    </row>
    <row r="98" spans="5:12" ht="21.75" customHeight="1" x14ac:dyDescent="0.2">
      <c r="E98" s="230" t="s">
        <v>3011</v>
      </c>
      <c r="F98" s="230"/>
      <c r="G98" s="230"/>
      <c r="H98" s="230"/>
      <c r="I98" s="230"/>
      <c r="J98" s="230"/>
      <c r="K98" s="5" t="s">
        <v>2817</v>
      </c>
    </row>
    <row r="99" spans="5:12" ht="15" customHeight="1" x14ac:dyDescent="0.2">
      <c r="E99" s="25" t="str" cm="1">
        <f t="array" ref="E99:E101">CardSets_byHadynWiseman($E$78:$H$78,3,1)</f>
        <v>Q♥</v>
      </c>
      <c r="K99" s="78" t="s">
        <v>1947</v>
      </c>
      <c r="L99" s="231" t="s">
        <v>2818</v>
      </c>
    </row>
    <row r="100" spans="5:12" ht="15" customHeight="1" x14ac:dyDescent="0.2">
      <c r="E100" s="96" t="str">
        <v>K♥</v>
      </c>
      <c r="L100" s="231"/>
    </row>
    <row r="101" spans="5:12" ht="15" customHeight="1" x14ac:dyDescent="0.2">
      <c r="E101" s="96" t="str">
        <v>A♥</v>
      </c>
      <c r="L101" s="231"/>
    </row>
    <row r="103" spans="5:12" ht="21.75" customHeight="1" x14ac:dyDescent="0.2">
      <c r="E103" s="230" t="s">
        <v>3012</v>
      </c>
      <c r="F103" s="230"/>
      <c r="G103" s="230"/>
      <c r="H103" s="230"/>
      <c r="I103" s="230"/>
      <c r="J103" s="230"/>
      <c r="K103" s="5" t="s">
        <v>2815</v>
      </c>
    </row>
    <row r="104" spans="5:12" ht="15" customHeight="1" x14ac:dyDescent="0.2">
      <c r="E104" s="25" t="str" cm="1">
        <f t="array" ref="E104:E106">CardSets_byHadynWiseman($E$79:$H$79,3,0,1)</f>
        <v>A♥</v>
      </c>
      <c r="K104" s="78" t="s">
        <v>1947</v>
      </c>
      <c r="L104" s="231" t="s">
        <v>2816</v>
      </c>
    </row>
    <row r="105" spans="5:12" ht="15" customHeight="1" x14ac:dyDescent="0.2">
      <c r="E105" s="96" t="str">
        <v>2♥</v>
      </c>
      <c r="L105" s="231"/>
    </row>
    <row r="106" spans="5:12" ht="15" customHeight="1" x14ac:dyDescent="0.2">
      <c r="E106" s="96" t="str">
        <v>3♥</v>
      </c>
      <c r="L106" s="231"/>
    </row>
    <row r="108" spans="5:12" ht="21.75" customHeight="1" x14ac:dyDescent="0.2">
      <c r="E108" s="230" t="s">
        <v>3013</v>
      </c>
      <c r="F108" s="230"/>
      <c r="G108" s="230"/>
      <c r="H108" s="230"/>
      <c r="I108" s="230"/>
      <c r="J108" s="230"/>
      <c r="K108" s="5" t="s">
        <v>2813</v>
      </c>
    </row>
    <row r="109" spans="5:12" ht="15" customHeight="1" x14ac:dyDescent="0.2">
      <c r="E109" s="25" t="str" cm="1">
        <f t="array" ref="E109:E111">CardSets_byHadynWiseman($E$80:$H$80,3,1,1,,,1)</f>
        <v>K♥</v>
      </c>
      <c r="K109" s="78" t="s">
        <v>1947</v>
      </c>
      <c r="L109" s="231" t="s">
        <v>2814</v>
      </c>
    </row>
    <row r="110" spans="5:12" ht="15" customHeight="1" x14ac:dyDescent="0.2">
      <c r="E110" s="96" t="str">
        <v>A♥</v>
      </c>
      <c r="L110" s="231"/>
    </row>
    <row r="111" spans="5:12" ht="15" customHeight="1" x14ac:dyDescent="0.2">
      <c r="E111" s="96" t="str">
        <v>2♥</v>
      </c>
      <c r="L111" s="231"/>
    </row>
    <row r="113" spans="5:12" ht="15" customHeight="1" x14ac:dyDescent="0.2">
      <c r="E113" s="230" t="s">
        <v>3246</v>
      </c>
      <c r="F113" s="230"/>
      <c r="G113" s="230"/>
      <c r="H113" s="230"/>
      <c r="I113" s="230"/>
      <c r="J113" s="230"/>
      <c r="K113" s="5" t="s">
        <v>3247</v>
      </c>
      <c r="L113" s="89" t="s">
        <v>2428</v>
      </c>
    </row>
    <row r="114" spans="5:12" ht="15" customHeight="1" x14ac:dyDescent="0.2">
      <c r="E114" s="25" cm="1">
        <f t="array" ref="E114">CardSets_byHadynWiseman($E$81:$H$81,2,0,0,1)</f>
        <v>0</v>
      </c>
      <c r="K114" s="78"/>
    </row>
    <row r="116" spans="5:12" ht="25.5" customHeight="1" x14ac:dyDescent="0.2">
      <c r="E116" s="152" t="s">
        <v>1096</v>
      </c>
      <c r="F116" s="152"/>
      <c r="G116" s="152"/>
      <c r="H116" s="152"/>
      <c r="I116" s="152"/>
      <c r="J116" s="152"/>
    </row>
    <row r="117" spans="5:12" ht="21.75" customHeight="1" x14ac:dyDescent="0.2">
      <c r="E117" s="147" t="s">
        <v>1495</v>
      </c>
      <c r="F117" s="147"/>
      <c r="G117" s="147"/>
      <c r="H117" s="147"/>
      <c r="I117" s="147"/>
      <c r="J117" s="147"/>
    </row>
    <row r="119" spans="5:12" ht="12.75" customHeight="1" x14ac:dyDescent="0.2"/>
    <row r="120" spans="5:12" ht="15.75" customHeight="1" x14ac:dyDescent="0.2">
      <c r="E120" s="159" t="s">
        <v>1097</v>
      </c>
      <c r="F120" s="159"/>
      <c r="G120" s="159"/>
      <c r="H120" s="159"/>
      <c r="I120" s="159"/>
      <c r="J120" s="159"/>
      <c r="K120" s="159"/>
      <c r="L120" s="159"/>
    </row>
    <row r="121" spans="5:12" ht="15" customHeight="1" x14ac:dyDescent="0.2">
      <c r="E121" s="152" t="s">
        <v>3014</v>
      </c>
      <c r="F121" s="149"/>
      <c r="G121" s="149"/>
      <c r="H121" s="149"/>
      <c r="I121" s="149"/>
      <c r="J121" s="149"/>
    </row>
    <row r="122" spans="5:12" ht="15" customHeight="1" x14ac:dyDescent="0.2">
      <c r="E122" s="147" t="s">
        <v>1098</v>
      </c>
      <c r="F122" s="147"/>
      <c r="G122" s="147"/>
      <c r="H122" s="147"/>
      <c r="I122" s="147"/>
      <c r="J122" s="147"/>
    </row>
    <row r="124" spans="5:12" ht="12.75" customHeight="1" x14ac:dyDescent="0.2">
      <c r="E124" s="22" t="s">
        <v>2334</v>
      </c>
      <c r="K124" s="24" t="s">
        <v>2335</v>
      </c>
      <c r="L124" s="24" t="s">
        <v>2336</v>
      </c>
    </row>
    <row r="125" spans="5:12" ht="21.75" customHeight="1" x14ac:dyDescent="0.2">
      <c r="E125" s="230" t="s">
        <v>1099</v>
      </c>
      <c r="F125" s="230"/>
      <c r="G125" s="230"/>
      <c r="H125" s="230"/>
      <c r="I125" s="230"/>
      <c r="J125" s="230"/>
      <c r="K125" s="5" t="s">
        <v>3015</v>
      </c>
      <c r="L125" s="89" t="s">
        <v>3016</v>
      </c>
    </row>
    <row r="126" spans="5:12" ht="15" customHeight="1" x14ac:dyDescent="0.2">
      <c r="E126" s="25" t="str" cm="1">
        <f t="array" ref="E126">Dice_byHadynWiseman("⚂⚄")</f>
        <v>35</v>
      </c>
      <c r="K126" s="78"/>
    </row>
    <row r="128" spans="5:12" ht="15" customHeight="1" x14ac:dyDescent="0.2">
      <c r="E128" s="230" t="s">
        <v>1100</v>
      </c>
      <c r="F128" s="230"/>
      <c r="G128" s="230"/>
      <c r="H128" s="230"/>
      <c r="I128" s="230"/>
      <c r="J128" s="230"/>
      <c r="K128" s="5" t="s">
        <v>3017</v>
      </c>
      <c r="L128" s="89" t="s">
        <v>96</v>
      </c>
    </row>
    <row r="129" spans="5:12" ht="15" customHeight="1" x14ac:dyDescent="0.2">
      <c r="E129" s="25" cm="1">
        <f t="array" ref="E129">Dice_byHadynWiseman("⚂⚄",1)</f>
        <v>8</v>
      </c>
      <c r="K129" s="78"/>
    </row>
    <row r="131" spans="5:12" ht="15" customHeight="1" x14ac:dyDescent="0.2">
      <c r="E131" s="152" t="s">
        <v>2824</v>
      </c>
      <c r="F131" s="152"/>
      <c r="G131" s="152"/>
      <c r="H131" s="152"/>
      <c r="I131" s="152"/>
      <c r="J131" s="152"/>
    </row>
    <row r="132" spans="5:12" ht="21.75" customHeight="1" x14ac:dyDescent="0.2">
      <c r="E132" s="147" t="s">
        <v>1496</v>
      </c>
      <c r="F132" s="147"/>
      <c r="G132" s="147"/>
      <c r="H132" s="147"/>
      <c r="I132" s="147"/>
      <c r="J132" s="147"/>
    </row>
    <row r="134" spans="5:12" ht="12.75" customHeight="1" x14ac:dyDescent="0.2"/>
    <row r="135" spans="5:12" ht="15.75" customHeight="1" x14ac:dyDescent="0.2">
      <c r="E135" s="159" t="s">
        <v>1106</v>
      </c>
      <c r="F135" s="159"/>
      <c r="G135" s="159"/>
      <c r="H135" s="159"/>
      <c r="I135" s="159"/>
      <c r="J135" s="159"/>
      <c r="K135" s="159"/>
      <c r="L135" s="159"/>
    </row>
    <row r="136" spans="5:12" ht="15" customHeight="1" x14ac:dyDescent="0.2">
      <c r="E136" s="152" t="s">
        <v>1107</v>
      </c>
      <c r="F136" s="149"/>
      <c r="G136" s="149"/>
      <c r="H136" s="149"/>
      <c r="I136" s="149"/>
      <c r="J136" s="149"/>
    </row>
    <row r="137" spans="5:12" ht="15" customHeight="1" x14ac:dyDescent="0.2">
      <c r="E137" s="147" t="s">
        <v>1108</v>
      </c>
      <c r="F137" s="147"/>
      <c r="G137" s="147"/>
      <c r="H137" s="147"/>
      <c r="I137" s="147"/>
      <c r="J137" s="147"/>
    </row>
    <row r="139" spans="5:12" ht="12.75" customHeight="1" x14ac:dyDescent="0.2">
      <c r="E139" s="22" t="s">
        <v>3248</v>
      </c>
    </row>
    <row r="140" spans="5:12" ht="15" customHeight="1" x14ac:dyDescent="0.2">
      <c r="E140" s="94">
        <v>5</v>
      </c>
    </row>
    <row r="141" spans="5:12" ht="15" customHeight="1" x14ac:dyDescent="0.2">
      <c r="E141" s="94">
        <v>2</v>
      </c>
    </row>
    <row r="142" spans="5:12" ht="15" customHeight="1" x14ac:dyDescent="0.2">
      <c r="E142" s="94">
        <v>1</v>
      </c>
    </row>
    <row r="144" spans="5:12" ht="12.75" customHeight="1" x14ac:dyDescent="0.2">
      <c r="E144" s="22" t="s">
        <v>3249</v>
      </c>
    </row>
    <row r="145" spans="5:12" ht="15" customHeight="1" x14ac:dyDescent="0.2">
      <c r="E145" s="94">
        <v>4</v>
      </c>
    </row>
    <row r="146" spans="5:12" ht="15" customHeight="1" x14ac:dyDescent="0.2">
      <c r="E146" s="94">
        <v>3</v>
      </c>
    </row>
    <row r="147" spans="5:12" ht="15" customHeight="1" x14ac:dyDescent="0.2">
      <c r="E147" s="94">
        <v>1</v>
      </c>
    </row>
    <row r="149" spans="5:12" ht="12.75" customHeight="1" x14ac:dyDescent="0.2">
      <c r="E149" s="22" t="s">
        <v>2334</v>
      </c>
      <c r="K149" s="24" t="s">
        <v>2335</v>
      </c>
      <c r="L149" s="24" t="s">
        <v>2336</v>
      </c>
    </row>
    <row r="150" spans="5:12" ht="21.75" customHeight="1" x14ac:dyDescent="0.2">
      <c r="E150" s="230" t="s">
        <v>3250</v>
      </c>
      <c r="F150" s="230"/>
      <c r="G150" s="230"/>
      <c r="H150" s="230"/>
      <c r="I150" s="230"/>
      <c r="J150" s="230"/>
      <c r="K150" s="5" t="s">
        <v>1109</v>
      </c>
    </row>
    <row r="151" spans="5:12" ht="15" customHeight="1" x14ac:dyDescent="0.2">
      <c r="E151" s="25" cm="1">
        <f t="array" ref="E151:E153">Coins_byHadynWiseman(7,$E$140:$E$142)</f>
        <v>1</v>
      </c>
      <c r="K151" s="78" t="s">
        <v>1947</v>
      </c>
      <c r="L151" s="231" t="s">
        <v>2436</v>
      </c>
    </row>
    <row r="152" spans="5:12" ht="15" customHeight="1" x14ac:dyDescent="0.2">
      <c r="E152" s="96">
        <v>1</v>
      </c>
      <c r="L152" s="231"/>
    </row>
    <row r="153" spans="5:12" ht="15" customHeight="1" x14ac:dyDescent="0.2">
      <c r="E153" s="96">
        <v>0</v>
      </c>
      <c r="L153" s="231"/>
    </row>
    <row r="155" spans="5:12" ht="15" customHeight="1" x14ac:dyDescent="0.2">
      <c r="E155" s="230" t="s">
        <v>3251</v>
      </c>
      <c r="F155" s="230"/>
      <c r="G155" s="230"/>
      <c r="H155" s="230"/>
      <c r="I155" s="230"/>
      <c r="J155" s="230"/>
      <c r="K155" s="5" t="s">
        <v>1110</v>
      </c>
    </row>
    <row r="156" spans="5:12" ht="15" customHeight="1" x14ac:dyDescent="0.2">
      <c r="E156" s="25" cm="1">
        <f t="array" ref="E156:E158">Coins_byHadynWiseman(8,$E$140:$E$142)</f>
        <v>1</v>
      </c>
      <c r="K156" s="78" t="s">
        <v>1947</v>
      </c>
      <c r="L156" s="231" t="s">
        <v>2437</v>
      </c>
    </row>
    <row r="157" spans="5:12" ht="15" customHeight="1" x14ac:dyDescent="0.2">
      <c r="E157" s="96">
        <v>1</v>
      </c>
      <c r="L157" s="231"/>
    </row>
    <row r="158" spans="5:12" ht="15" customHeight="1" x14ac:dyDescent="0.2">
      <c r="E158" s="96">
        <v>1</v>
      </c>
      <c r="L158" s="231"/>
    </row>
    <row r="160" spans="5:12" ht="32.25" customHeight="1" x14ac:dyDescent="0.2">
      <c r="E160" s="230" t="s">
        <v>3252</v>
      </c>
      <c r="F160" s="230"/>
      <c r="G160" s="230"/>
      <c r="H160" s="230"/>
      <c r="I160" s="230"/>
      <c r="J160" s="230"/>
      <c r="K160" s="5" t="s">
        <v>3051</v>
      </c>
    </row>
    <row r="161" spans="5:12" ht="15" customHeight="1" x14ac:dyDescent="0.2">
      <c r="E161" s="25" cm="1">
        <f t="array" ref="E161:E163">Coins_byHadynWiseman(6,$E$145:$E$147)</f>
        <v>1</v>
      </c>
      <c r="K161" s="78" t="s">
        <v>1947</v>
      </c>
      <c r="L161" s="231" t="s">
        <v>2438</v>
      </c>
    </row>
    <row r="162" spans="5:12" ht="15" customHeight="1" x14ac:dyDescent="0.2">
      <c r="E162" s="96">
        <v>0</v>
      </c>
      <c r="L162" s="231"/>
    </row>
    <row r="163" spans="5:12" ht="15" customHeight="1" x14ac:dyDescent="0.2">
      <c r="E163" s="96">
        <v>2</v>
      </c>
      <c r="L163" s="231"/>
    </row>
    <row r="165" spans="5:12" ht="25.5" customHeight="1" x14ac:dyDescent="0.2">
      <c r="E165" s="152" t="s">
        <v>1111</v>
      </c>
      <c r="F165" s="152"/>
      <c r="G165" s="152"/>
      <c r="H165" s="152"/>
      <c r="I165" s="152"/>
      <c r="J165" s="152"/>
    </row>
    <row r="166" spans="5:12" ht="21.75" customHeight="1" x14ac:dyDescent="0.2">
      <c r="E166" s="147" t="s">
        <v>1500</v>
      </c>
      <c r="F166" s="147"/>
      <c r="G166" s="147"/>
      <c r="H166" s="147"/>
      <c r="I166" s="147"/>
      <c r="J166" s="147"/>
    </row>
    <row r="167" spans="5:12" ht="21.75" customHeight="1" x14ac:dyDescent="0.2"/>
    <row r="169" spans="5:12" ht="15.75" customHeight="1" x14ac:dyDescent="0.2">
      <c r="E169" s="159" t="s">
        <v>906</v>
      </c>
      <c r="F169" s="159"/>
      <c r="G169" s="159"/>
      <c r="H169" s="159"/>
      <c r="I169" s="159"/>
      <c r="J169" s="159"/>
      <c r="K169" s="159"/>
      <c r="L169" s="159"/>
    </row>
    <row r="170" spans="5:12" ht="25.5" customHeight="1" x14ac:dyDescent="0.2">
      <c r="E170" s="152" t="s">
        <v>907</v>
      </c>
      <c r="F170" s="149"/>
      <c r="G170" s="149"/>
      <c r="H170" s="149"/>
      <c r="I170" s="149"/>
      <c r="J170" s="149"/>
    </row>
    <row r="171" spans="5:12" ht="15" customHeight="1" x14ac:dyDescent="0.2">
      <c r="E171" s="147" t="s">
        <v>908</v>
      </c>
      <c r="F171" s="147"/>
      <c r="G171" s="147"/>
      <c r="H171" s="147"/>
      <c r="I171" s="147"/>
      <c r="J171" s="147"/>
    </row>
    <row r="173" spans="5:12" ht="12.75" customHeight="1" x14ac:dyDescent="0.2">
      <c r="E173" s="22" t="s">
        <v>3018</v>
      </c>
    </row>
    <row r="174" spans="5:12" ht="15" customHeight="1" x14ac:dyDescent="0.2">
      <c r="E174" s="94">
        <v>3</v>
      </c>
    </row>
    <row r="175" spans="5:12" ht="15" customHeight="1" x14ac:dyDescent="0.2">
      <c r="E175" s="94">
        <v>7</v>
      </c>
    </row>
    <row r="176" spans="5:12" ht="15" customHeight="1" x14ac:dyDescent="0.2">
      <c r="E176" s="94">
        <v>12</v>
      </c>
    </row>
    <row r="178" spans="5:12" ht="12.75" customHeight="1" x14ac:dyDescent="0.2">
      <c r="E178" s="22" t="s">
        <v>2334</v>
      </c>
      <c r="K178" s="24" t="s">
        <v>2335</v>
      </c>
      <c r="L178" s="24" t="s">
        <v>2336</v>
      </c>
    </row>
    <row r="179" spans="5:12" ht="21.75" customHeight="1" x14ac:dyDescent="0.2">
      <c r="E179" s="230" t="s">
        <v>909</v>
      </c>
      <c r="F179" s="230"/>
      <c r="G179" s="230"/>
      <c r="H179" s="230"/>
      <c r="I179" s="230"/>
      <c r="J179" s="230"/>
      <c r="K179" s="5" t="s">
        <v>1427</v>
      </c>
      <c r="L179" s="89" t="s">
        <v>3019</v>
      </c>
    </row>
    <row r="180" spans="5:12" ht="15" customHeight="1" x14ac:dyDescent="0.2">
      <c r="E180" s="25" cm="1">
        <f t="array" ref="E180">Clamp_byBoRydobon(15,1,10)</f>
        <v>10</v>
      </c>
      <c r="K180" s="78"/>
    </row>
    <row r="182" spans="5:12" ht="21.75" customHeight="1" x14ac:dyDescent="0.2">
      <c r="E182" s="230" t="s">
        <v>3253</v>
      </c>
      <c r="F182" s="230"/>
      <c r="G182" s="230"/>
      <c r="H182" s="230"/>
      <c r="I182" s="230"/>
      <c r="J182" s="230"/>
      <c r="K182" s="5" t="s">
        <v>3020</v>
      </c>
    </row>
    <row r="183" spans="5:12" ht="15" customHeight="1" x14ac:dyDescent="0.2">
      <c r="E183" s="25" cm="1">
        <f t="array" ref="E183:E185">Clamp_byBoRydobon($E$174:$E$176,1,10)</f>
        <v>3</v>
      </c>
      <c r="K183" s="78" t="s">
        <v>1947</v>
      </c>
      <c r="L183" s="231" t="s">
        <v>2372</v>
      </c>
    </row>
    <row r="184" spans="5:12" ht="15" customHeight="1" x14ac:dyDescent="0.2">
      <c r="E184" s="96">
        <v>7</v>
      </c>
      <c r="L184" s="231"/>
    </row>
    <row r="185" spans="5:12" ht="15" customHeight="1" x14ac:dyDescent="0.2">
      <c r="E185" s="96">
        <v>10</v>
      </c>
      <c r="L185" s="231"/>
    </row>
    <row r="187" spans="5:12" ht="15" customHeight="1" x14ac:dyDescent="0.2">
      <c r="E187" s="230" t="s">
        <v>3254</v>
      </c>
      <c r="F187" s="230"/>
      <c r="G187" s="230"/>
      <c r="H187" s="230"/>
      <c r="I187" s="230"/>
      <c r="J187" s="230"/>
      <c r="K187" s="5" t="s">
        <v>3021</v>
      </c>
    </row>
    <row r="188" spans="5:12" ht="15" customHeight="1" x14ac:dyDescent="0.2">
      <c r="E188" s="25" cm="1">
        <f t="array" ref="E188:E190">Clamp_byBoRydobon($E$174:$E$176,5)</f>
        <v>5</v>
      </c>
      <c r="K188" s="78" t="s">
        <v>1947</v>
      </c>
      <c r="L188" s="231" t="s">
        <v>2373</v>
      </c>
    </row>
    <row r="189" spans="5:12" ht="15" customHeight="1" x14ac:dyDescent="0.2">
      <c r="E189" s="96">
        <v>7</v>
      </c>
      <c r="L189" s="231"/>
    </row>
    <row r="190" spans="5:12" ht="15" customHeight="1" x14ac:dyDescent="0.2">
      <c r="E190" s="96">
        <v>12</v>
      </c>
      <c r="L190" s="231"/>
    </row>
    <row r="192" spans="5:12" ht="15" customHeight="1" x14ac:dyDescent="0.2">
      <c r="E192" s="230" t="s">
        <v>3255</v>
      </c>
      <c r="F192" s="230"/>
      <c r="G192" s="230"/>
      <c r="H192" s="230"/>
      <c r="I192" s="230"/>
      <c r="J192" s="230"/>
      <c r="K192" s="5" t="s">
        <v>3022</v>
      </c>
    </row>
    <row r="193" spans="5:12" ht="15" customHeight="1" x14ac:dyDescent="0.2">
      <c r="E193" s="25" cm="1">
        <f t="array" ref="E193:E195">Clamp_byBoRydobon($E$174:$E$176,,10)</f>
        <v>3</v>
      </c>
      <c r="K193" s="78" t="s">
        <v>1947</v>
      </c>
      <c r="L193" s="231" t="s">
        <v>2372</v>
      </c>
    </row>
    <row r="194" spans="5:12" ht="15" customHeight="1" x14ac:dyDescent="0.2">
      <c r="E194" s="96">
        <v>7</v>
      </c>
      <c r="L194" s="231"/>
    </row>
    <row r="195" spans="5:12" ht="15" customHeight="1" x14ac:dyDescent="0.2">
      <c r="E195" s="96">
        <v>10</v>
      </c>
      <c r="L195" s="231"/>
    </row>
    <row r="197" spans="5:12" ht="25.5" customHeight="1" x14ac:dyDescent="0.2">
      <c r="E197" s="152" t="s">
        <v>910</v>
      </c>
      <c r="F197" s="152"/>
      <c r="G197" s="152"/>
      <c r="H197" s="152"/>
      <c r="I197" s="152"/>
      <c r="J197" s="152"/>
    </row>
    <row r="200" spans="5:12" ht="15.75" customHeight="1" x14ac:dyDescent="0.2">
      <c r="E200" s="159" t="s">
        <v>1101</v>
      </c>
      <c r="F200" s="159"/>
      <c r="G200" s="159"/>
      <c r="H200" s="159"/>
      <c r="I200" s="159"/>
      <c r="J200" s="159"/>
      <c r="K200" s="159"/>
      <c r="L200" s="159"/>
    </row>
    <row r="201" spans="5:12" ht="15" customHeight="1" x14ac:dyDescent="0.2">
      <c r="E201" s="152" t="s">
        <v>3023</v>
      </c>
      <c r="F201" s="149"/>
      <c r="G201" s="149"/>
      <c r="H201" s="149"/>
      <c r="I201" s="149"/>
      <c r="J201" s="149"/>
    </row>
    <row r="202" spans="5:12" ht="15" customHeight="1" x14ac:dyDescent="0.2">
      <c r="E202" s="147" t="s">
        <v>3024</v>
      </c>
      <c r="F202" s="147"/>
      <c r="G202" s="147"/>
      <c r="H202" s="147"/>
      <c r="I202" s="147"/>
      <c r="J202" s="147"/>
    </row>
    <row r="204" spans="5:12" ht="12.75" customHeight="1" x14ac:dyDescent="0.2">
      <c r="E204" s="22" t="s">
        <v>2334</v>
      </c>
      <c r="K204" s="24" t="s">
        <v>2335</v>
      </c>
      <c r="L204" s="24" t="s">
        <v>2336</v>
      </c>
    </row>
    <row r="205" spans="5:12" ht="21.75" customHeight="1" x14ac:dyDescent="0.2">
      <c r="E205" s="230" t="s">
        <v>2420</v>
      </c>
      <c r="F205" s="230"/>
      <c r="G205" s="230"/>
      <c r="H205" s="230"/>
      <c r="I205" s="230"/>
      <c r="J205" s="230"/>
      <c r="K205" s="5" t="s">
        <v>3025</v>
      </c>
    </row>
    <row r="206" spans="5:12" ht="15" customHeight="1" x14ac:dyDescent="0.2">
      <c r="E206" s="25" cm="1">
        <f t="array" ref="E206:E213">Bounce_byBoRydobon(8,5)</f>
        <v>1</v>
      </c>
      <c r="K206" s="78" t="s">
        <v>2407</v>
      </c>
      <c r="L206" s="231" t="s">
        <v>2429</v>
      </c>
    </row>
    <row r="207" spans="5:12" ht="15" customHeight="1" x14ac:dyDescent="0.2">
      <c r="E207" s="96">
        <v>2</v>
      </c>
      <c r="L207" s="231"/>
    </row>
    <row r="208" spans="5:12" ht="15" customHeight="1" x14ac:dyDescent="0.2">
      <c r="E208" s="96">
        <v>3</v>
      </c>
      <c r="L208" s="231"/>
    </row>
    <row r="209" spans="5:12" ht="15" customHeight="1" x14ac:dyDescent="0.2">
      <c r="E209" s="96">
        <v>4</v>
      </c>
      <c r="L209" s="231"/>
    </row>
    <row r="210" spans="5:12" ht="15" customHeight="1" x14ac:dyDescent="0.2">
      <c r="E210" s="96">
        <v>5</v>
      </c>
      <c r="L210" s="231"/>
    </row>
    <row r="211" spans="5:12" ht="15" customHeight="1" x14ac:dyDescent="0.2">
      <c r="E211" s="96">
        <v>4</v>
      </c>
      <c r="L211" s="231"/>
    </row>
    <row r="212" spans="5:12" ht="15" customHeight="1" x14ac:dyDescent="0.2">
      <c r="E212" s="96">
        <v>3</v>
      </c>
      <c r="L212" s="231"/>
    </row>
    <row r="213" spans="5:12" ht="15" customHeight="1" x14ac:dyDescent="0.2">
      <c r="E213" s="96">
        <v>2</v>
      </c>
      <c r="L213" s="231"/>
    </row>
    <row r="215" spans="5:12" ht="15" customHeight="1" x14ac:dyDescent="0.2">
      <c r="E215" s="230" t="s">
        <v>2421</v>
      </c>
      <c r="F215" s="230"/>
      <c r="G215" s="230"/>
      <c r="H215" s="230"/>
      <c r="I215" s="230"/>
      <c r="J215" s="230"/>
      <c r="K215" s="5" t="s">
        <v>3026</v>
      </c>
    </row>
    <row r="216" spans="5:12" ht="15" customHeight="1" x14ac:dyDescent="0.2">
      <c r="E216" s="25" cm="1">
        <f t="array" ref="E216:E223">Bounce_byBoRydobon(8,3)</f>
        <v>1</v>
      </c>
      <c r="K216" s="78" t="s">
        <v>2407</v>
      </c>
      <c r="L216" s="231" t="s">
        <v>2430</v>
      </c>
    </row>
    <row r="217" spans="5:12" ht="15" customHeight="1" x14ac:dyDescent="0.2">
      <c r="E217" s="96">
        <v>2</v>
      </c>
      <c r="L217" s="231"/>
    </row>
    <row r="218" spans="5:12" ht="15" customHeight="1" x14ac:dyDescent="0.2">
      <c r="E218" s="96">
        <v>3</v>
      </c>
      <c r="L218" s="231"/>
    </row>
    <row r="219" spans="5:12" ht="15" customHeight="1" x14ac:dyDescent="0.2">
      <c r="E219" s="96">
        <v>2</v>
      </c>
      <c r="L219" s="231"/>
    </row>
    <row r="220" spans="5:12" ht="15" customHeight="1" x14ac:dyDescent="0.2">
      <c r="E220" s="96">
        <v>1</v>
      </c>
      <c r="L220" s="231"/>
    </row>
    <row r="221" spans="5:12" ht="15" customHeight="1" x14ac:dyDescent="0.2">
      <c r="E221" s="96">
        <v>2</v>
      </c>
      <c r="L221" s="231"/>
    </row>
    <row r="222" spans="5:12" ht="15" customHeight="1" x14ac:dyDescent="0.2">
      <c r="E222" s="96">
        <v>3</v>
      </c>
      <c r="L222" s="231"/>
    </row>
    <row r="223" spans="5:12" ht="15" customHeight="1" x14ac:dyDescent="0.2">
      <c r="E223" s="96">
        <v>2</v>
      </c>
      <c r="L223" s="231"/>
    </row>
    <row r="225" spans="5:12" ht="15" customHeight="1" x14ac:dyDescent="0.2">
      <c r="E225" s="230" t="s">
        <v>2422</v>
      </c>
      <c r="F225" s="230"/>
      <c r="G225" s="230"/>
      <c r="H225" s="230"/>
      <c r="I225" s="230"/>
      <c r="J225" s="230"/>
      <c r="K225" s="5" t="s">
        <v>1497</v>
      </c>
    </row>
    <row r="226" spans="5:12" ht="15" customHeight="1" x14ac:dyDescent="0.2">
      <c r="E226" s="25" cm="1">
        <f t="array" ref="E226:E233">Bounce_byBoRydobon(8,5,1,3,2)</f>
        <v>3</v>
      </c>
      <c r="K226" s="78" t="s">
        <v>2407</v>
      </c>
      <c r="L226" s="231" t="s">
        <v>2431</v>
      </c>
    </row>
    <row r="227" spans="5:12" ht="15" customHeight="1" x14ac:dyDescent="0.2">
      <c r="E227" s="96">
        <v>5</v>
      </c>
      <c r="L227" s="231"/>
    </row>
    <row r="228" spans="5:12" ht="15" customHeight="1" x14ac:dyDescent="0.2">
      <c r="E228" s="96">
        <v>3</v>
      </c>
      <c r="L228" s="231"/>
    </row>
    <row r="229" spans="5:12" ht="15" customHeight="1" x14ac:dyDescent="0.2">
      <c r="E229" s="96">
        <v>1</v>
      </c>
      <c r="L229" s="231"/>
    </row>
    <row r="230" spans="5:12" ht="15" customHeight="1" x14ac:dyDescent="0.2">
      <c r="E230" s="96">
        <v>3</v>
      </c>
      <c r="L230" s="231"/>
    </row>
    <row r="231" spans="5:12" ht="15" customHeight="1" x14ac:dyDescent="0.2">
      <c r="E231" s="96">
        <v>5</v>
      </c>
      <c r="L231" s="231"/>
    </row>
    <row r="232" spans="5:12" ht="15" customHeight="1" x14ac:dyDescent="0.2">
      <c r="E232" s="96">
        <v>3</v>
      </c>
      <c r="L232" s="231"/>
    </row>
    <row r="233" spans="5:12" ht="15" customHeight="1" x14ac:dyDescent="0.2">
      <c r="E233" s="96">
        <v>1</v>
      </c>
      <c r="L233" s="231"/>
    </row>
    <row r="235" spans="5:12" ht="15" customHeight="1" x14ac:dyDescent="0.2">
      <c r="E235" s="230" t="s">
        <v>2423</v>
      </c>
      <c r="F235" s="230"/>
      <c r="G235" s="230"/>
      <c r="H235" s="230"/>
      <c r="I235" s="230"/>
      <c r="J235" s="230"/>
      <c r="K235" s="5" t="s">
        <v>3027</v>
      </c>
    </row>
    <row r="236" spans="5:12" ht="15" customHeight="1" x14ac:dyDescent="0.2">
      <c r="E236" s="25" cm="1">
        <f t="array" ref="E236:E243">Bounce_byBoRydobon(8,3,0,0,1)</f>
        <v>0</v>
      </c>
      <c r="K236" s="78" t="s">
        <v>2407</v>
      </c>
      <c r="L236" s="231" t="s">
        <v>2432</v>
      </c>
    </row>
    <row r="237" spans="5:12" ht="15" customHeight="1" x14ac:dyDescent="0.2">
      <c r="E237" s="96">
        <v>1</v>
      </c>
      <c r="L237" s="231"/>
    </row>
    <row r="238" spans="5:12" ht="15" customHeight="1" x14ac:dyDescent="0.2">
      <c r="E238" s="96">
        <v>2</v>
      </c>
      <c r="L238" s="231"/>
    </row>
    <row r="239" spans="5:12" ht="15" customHeight="1" x14ac:dyDescent="0.2">
      <c r="E239" s="96">
        <v>3</v>
      </c>
      <c r="L239" s="231"/>
    </row>
    <row r="240" spans="5:12" ht="15" customHeight="1" x14ac:dyDescent="0.2">
      <c r="E240" s="96">
        <v>2</v>
      </c>
      <c r="L240" s="231"/>
    </row>
    <row r="241" spans="5:12" ht="15" customHeight="1" x14ac:dyDescent="0.2">
      <c r="E241" s="96">
        <v>1</v>
      </c>
      <c r="L241" s="231"/>
    </row>
    <row r="242" spans="5:12" ht="15" customHeight="1" x14ac:dyDescent="0.2">
      <c r="E242" s="96">
        <v>0</v>
      </c>
      <c r="L242" s="231"/>
    </row>
    <row r="243" spans="5:12" ht="15" customHeight="1" x14ac:dyDescent="0.2">
      <c r="E243" s="96">
        <v>1</v>
      </c>
      <c r="L243" s="231"/>
    </row>
    <row r="245" spans="5:12" ht="32.25" customHeight="1" x14ac:dyDescent="0.2">
      <c r="E245" s="230" t="s">
        <v>2424</v>
      </c>
      <c r="F245" s="230"/>
      <c r="G245" s="230"/>
      <c r="H245" s="230"/>
      <c r="I245" s="230"/>
      <c r="J245" s="230"/>
      <c r="K245" s="5" t="s">
        <v>3028</v>
      </c>
    </row>
    <row r="246" spans="5:12" ht="15" customHeight="1" x14ac:dyDescent="0.2">
      <c r="E246" s="25" cm="1">
        <f t="array" ref="E246:E253">Bounce_byBoRydobon(8,4,1,1,2,1)</f>
        <v>1</v>
      </c>
      <c r="K246" s="78" t="s">
        <v>2407</v>
      </c>
      <c r="L246" s="231" t="s">
        <v>2433</v>
      </c>
    </row>
    <row r="247" spans="5:12" ht="15" customHeight="1" x14ac:dyDescent="0.2">
      <c r="E247" s="96">
        <v>3</v>
      </c>
      <c r="L247" s="231"/>
    </row>
    <row r="248" spans="5:12" ht="15" customHeight="1" x14ac:dyDescent="0.2">
      <c r="E248" s="96">
        <v>4</v>
      </c>
      <c r="L248" s="231"/>
    </row>
    <row r="249" spans="5:12" ht="15" customHeight="1" x14ac:dyDescent="0.2">
      <c r="E249" s="96">
        <v>2</v>
      </c>
      <c r="L249" s="231"/>
    </row>
    <row r="250" spans="5:12" ht="15" customHeight="1" x14ac:dyDescent="0.2">
      <c r="E250" s="96">
        <v>1</v>
      </c>
      <c r="L250" s="231"/>
    </row>
    <row r="251" spans="5:12" ht="15" customHeight="1" x14ac:dyDescent="0.2">
      <c r="E251" s="96">
        <v>3</v>
      </c>
      <c r="L251" s="231"/>
    </row>
    <row r="252" spans="5:12" ht="15" customHeight="1" x14ac:dyDescent="0.2">
      <c r="E252" s="96">
        <v>4</v>
      </c>
      <c r="L252" s="231"/>
    </row>
    <row r="253" spans="5:12" ht="15" customHeight="1" x14ac:dyDescent="0.2">
      <c r="E253" s="96">
        <v>2</v>
      </c>
      <c r="L253" s="231"/>
    </row>
    <row r="255" spans="5:12" ht="25.5" customHeight="1" x14ac:dyDescent="0.2">
      <c r="E255" s="152" t="s">
        <v>3029</v>
      </c>
      <c r="F255" s="152"/>
      <c r="G255" s="152"/>
      <c r="H255" s="152"/>
      <c r="I255" s="152"/>
      <c r="J255" s="152"/>
    </row>
    <row r="256" spans="5:12" ht="38.25" customHeight="1" x14ac:dyDescent="0.2">
      <c r="E256" s="156" t="s">
        <v>3030</v>
      </c>
      <c r="F256" s="157"/>
      <c r="G256" s="157"/>
      <c r="H256" s="157"/>
      <c r="I256" s="157"/>
      <c r="J256" s="158"/>
    </row>
    <row r="257" spans="5:12" ht="25.5" customHeight="1" x14ac:dyDescent="0.2"/>
    <row r="259" spans="5:12" ht="15.75" customHeight="1" x14ac:dyDescent="0.2">
      <c r="E259" s="159" t="s">
        <v>1055</v>
      </c>
      <c r="F259" s="159"/>
      <c r="G259" s="159"/>
      <c r="H259" s="159"/>
      <c r="I259" s="159"/>
      <c r="J259" s="159"/>
      <c r="K259" s="159"/>
      <c r="L259" s="159"/>
    </row>
    <row r="260" spans="5:12" ht="15" customHeight="1" x14ac:dyDescent="0.2">
      <c r="E260" s="152" t="s">
        <v>2568</v>
      </c>
      <c r="F260" s="149"/>
      <c r="G260" s="149"/>
      <c r="H260" s="149"/>
      <c r="I260" s="149"/>
      <c r="J260" s="149"/>
    </row>
    <row r="261" spans="5:12" ht="15" customHeight="1" x14ac:dyDescent="0.2">
      <c r="E261" s="147" t="s">
        <v>2569</v>
      </c>
      <c r="F261" s="147"/>
      <c r="G261" s="147"/>
      <c r="H261" s="147"/>
      <c r="I261" s="147"/>
      <c r="J261" s="147"/>
    </row>
    <row r="262" spans="5:12" ht="21.75" customHeight="1" x14ac:dyDescent="0.2"/>
    <row r="263" spans="5:12" ht="12.75" customHeight="1" x14ac:dyDescent="0.2">
      <c r="E263" s="22" t="s">
        <v>2334</v>
      </c>
      <c r="K263" s="24" t="s">
        <v>2335</v>
      </c>
      <c r="L263" s="24" t="s">
        <v>2336</v>
      </c>
    </row>
    <row r="264" spans="5:12" ht="21.75" customHeight="1" x14ac:dyDescent="0.2">
      <c r="E264" s="230" t="s">
        <v>1056</v>
      </c>
      <c r="F264" s="230"/>
      <c r="G264" s="230"/>
      <c r="H264" s="230"/>
      <c r="I264" s="230"/>
      <c r="J264" s="230"/>
      <c r="K264" s="5" t="s">
        <v>3199</v>
      </c>
      <c r="L264" s="89" t="s">
        <v>2480</v>
      </c>
    </row>
    <row r="265" spans="5:12" ht="15" customHeight="1" x14ac:dyDescent="0.2">
      <c r="E265" s="25" cm="1">
        <f t="array" ref="E265">BoardGameMove_byHadynWiseman(15,12)</f>
        <v>3</v>
      </c>
      <c r="K265" s="78"/>
    </row>
    <row r="267" spans="5:12" ht="15" customHeight="1" x14ac:dyDescent="0.2">
      <c r="E267" s="230" t="s">
        <v>2570</v>
      </c>
      <c r="F267" s="230"/>
      <c r="G267" s="230"/>
      <c r="H267" s="230"/>
      <c r="I267" s="230"/>
      <c r="J267" s="230"/>
      <c r="K267" s="5" t="s">
        <v>2571</v>
      </c>
      <c r="L267" s="89" t="s">
        <v>2532</v>
      </c>
    </row>
    <row r="268" spans="5:12" ht="15" customHeight="1" x14ac:dyDescent="0.2">
      <c r="E268" s="25" cm="1">
        <f t="array" ref="E268">BoardGameMove_byHadynWiseman(24,12)</f>
        <v>12</v>
      </c>
      <c r="K268" s="78"/>
    </row>
    <row r="270" spans="5:12" ht="38.25" customHeight="1" x14ac:dyDescent="0.2">
      <c r="E270" s="152" t="s">
        <v>3201</v>
      </c>
      <c r="F270" s="152"/>
      <c r="G270" s="152"/>
      <c r="H270" s="152"/>
      <c r="I270" s="152"/>
      <c r="J270" s="152"/>
    </row>
    <row r="271" spans="5:12" ht="15" customHeight="1" x14ac:dyDescent="0.2">
      <c r="E271" s="147" t="s">
        <v>3200</v>
      </c>
      <c r="F271" s="147"/>
      <c r="G271" s="147"/>
      <c r="H271" s="147"/>
      <c r="I271" s="147"/>
      <c r="J271" s="147"/>
    </row>
    <row r="274" spans="5:12" ht="15.75" customHeight="1" x14ac:dyDescent="0.2">
      <c r="E274" s="159" t="s">
        <v>1102</v>
      </c>
      <c r="F274" s="159"/>
      <c r="G274" s="159"/>
      <c r="H274" s="159"/>
      <c r="I274" s="159"/>
      <c r="J274" s="159"/>
      <c r="K274" s="159"/>
      <c r="L274" s="159"/>
    </row>
    <row r="275" spans="5:12" ht="15" customHeight="1" x14ac:dyDescent="0.2">
      <c r="E275" s="152" t="s">
        <v>3031</v>
      </c>
      <c r="F275" s="149"/>
      <c r="G275" s="149"/>
      <c r="H275" s="149"/>
      <c r="I275" s="149"/>
      <c r="J275" s="149"/>
    </row>
    <row r="276" spans="5:12" ht="15" customHeight="1" x14ac:dyDescent="0.2">
      <c r="E276" s="147" t="s">
        <v>3032</v>
      </c>
      <c r="F276" s="147"/>
      <c r="G276" s="147"/>
      <c r="H276" s="147"/>
      <c r="I276" s="147"/>
      <c r="J276" s="147"/>
    </row>
    <row r="278" spans="5:12" ht="12.75" customHeight="1" x14ac:dyDescent="0.2">
      <c r="E278" s="22" t="s">
        <v>3033</v>
      </c>
    </row>
    <row r="279" spans="5:12" ht="15" customHeight="1" x14ac:dyDescent="0.2">
      <c r="E279" s="94">
        <v>1</v>
      </c>
    </row>
    <row r="280" spans="5:12" ht="15" customHeight="1" x14ac:dyDescent="0.2">
      <c r="E280" s="94">
        <v>2</v>
      </c>
    </row>
    <row r="281" spans="5:12" ht="21.75" customHeight="1" x14ac:dyDescent="0.2"/>
    <row r="282" spans="5:12" ht="12.75" customHeight="1" x14ac:dyDescent="0.2">
      <c r="E282" s="22" t="s">
        <v>2334</v>
      </c>
      <c r="K282" s="24" t="s">
        <v>2335</v>
      </c>
      <c r="L282" s="24" t="s">
        <v>2336</v>
      </c>
    </row>
    <row r="283" spans="5:12" ht="15" customHeight="1" x14ac:dyDescent="0.2">
      <c r="E283" s="230" t="s">
        <v>3256</v>
      </c>
      <c r="F283" s="230"/>
      <c r="G283" s="230"/>
      <c r="H283" s="230"/>
      <c r="I283" s="230"/>
      <c r="J283" s="230"/>
      <c r="K283" s="5" t="s">
        <v>3034</v>
      </c>
    </row>
    <row r="284" spans="5:12" ht="15" customHeight="1" x14ac:dyDescent="0.2">
      <c r="E284" s="25" cm="1">
        <f t="array" ref="E284:E289">VStacks_byHadynWiseman($E$279:$E$280,3)</f>
        <v>1</v>
      </c>
      <c r="K284" s="78" t="s">
        <v>1942</v>
      </c>
      <c r="L284" s="231" t="s">
        <v>2434</v>
      </c>
    </row>
    <row r="285" spans="5:12" ht="15" customHeight="1" x14ac:dyDescent="0.2">
      <c r="E285" s="96">
        <v>2</v>
      </c>
      <c r="L285" s="231"/>
    </row>
    <row r="286" spans="5:12" ht="15" customHeight="1" x14ac:dyDescent="0.2">
      <c r="E286" s="96">
        <v>1</v>
      </c>
      <c r="L286" s="231"/>
    </row>
    <row r="287" spans="5:12" ht="15" customHeight="1" x14ac:dyDescent="0.2">
      <c r="E287" s="96">
        <v>2</v>
      </c>
      <c r="L287" s="231"/>
    </row>
    <row r="288" spans="5:12" ht="15" customHeight="1" x14ac:dyDescent="0.2">
      <c r="E288" s="96">
        <v>1</v>
      </c>
      <c r="L288" s="231"/>
    </row>
    <row r="289" spans="5:12" ht="15" customHeight="1" x14ac:dyDescent="0.2">
      <c r="E289" s="96">
        <v>2</v>
      </c>
      <c r="L289" s="231"/>
    </row>
    <row r="291" spans="5:12" ht="15" customHeight="1" x14ac:dyDescent="0.2">
      <c r="E291" s="230" t="s">
        <v>3257</v>
      </c>
      <c r="F291" s="230"/>
      <c r="G291" s="230"/>
      <c r="H291" s="230"/>
      <c r="I291" s="230"/>
      <c r="J291" s="230"/>
      <c r="K291" s="5" t="s">
        <v>1498</v>
      </c>
    </row>
    <row r="292" spans="5:12" ht="15" customHeight="1" x14ac:dyDescent="0.2">
      <c r="E292" s="25" cm="1">
        <f t="array" ref="E292:F293">VStacks_byHadynWiseman($E$279:$E$280,2,1)</f>
        <v>1</v>
      </c>
      <c r="F292" s="96">
        <v>1</v>
      </c>
      <c r="K292" s="78" t="s">
        <v>1981</v>
      </c>
      <c r="L292" s="231" t="s">
        <v>2435</v>
      </c>
    </row>
    <row r="293" spans="5:12" ht="15" customHeight="1" x14ac:dyDescent="0.2">
      <c r="E293" s="96">
        <v>2</v>
      </c>
      <c r="F293" s="96">
        <v>2</v>
      </c>
      <c r="L293" s="231"/>
    </row>
    <row r="295" spans="5:12" ht="25.5" customHeight="1" x14ac:dyDescent="0.2">
      <c r="E295" s="152" t="s">
        <v>2738</v>
      </c>
      <c r="F295" s="152"/>
      <c r="G295" s="152"/>
      <c r="H295" s="152"/>
      <c r="I295" s="152"/>
      <c r="J295" s="152"/>
    </row>
    <row r="297" spans="5:12" ht="12.75" customHeight="1" x14ac:dyDescent="0.2"/>
    <row r="298" spans="5:12" ht="15.75" customHeight="1" x14ac:dyDescent="0.2">
      <c r="E298" s="159" t="s">
        <v>1104</v>
      </c>
      <c r="F298" s="159"/>
      <c r="G298" s="159"/>
      <c r="H298" s="159"/>
      <c r="I298" s="159"/>
      <c r="J298" s="159"/>
      <c r="K298" s="159"/>
      <c r="L298" s="159"/>
    </row>
    <row r="299" spans="5:12" ht="38.25" customHeight="1" x14ac:dyDescent="0.2">
      <c r="E299" s="152" t="s">
        <v>3035</v>
      </c>
      <c r="F299" s="149"/>
      <c r="G299" s="149"/>
      <c r="H299" s="149"/>
      <c r="I299" s="149"/>
      <c r="J299" s="149"/>
    </row>
    <row r="300" spans="5:12" ht="21.75" customHeight="1" x14ac:dyDescent="0.2">
      <c r="E300" s="147" t="s">
        <v>3036</v>
      </c>
      <c r="F300" s="147"/>
      <c r="G300" s="147"/>
      <c r="H300" s="147"/>
      <c r="I300" s="147"/>
      <c r="J300" s="147"/>
    </row>
    <row r="302" spans="5:12" ht="12.75" customHeight="1" x14ac:dyDescent="0.2">
      <c r="E302" s="22" t="s">
        <v>3037</v>
      </c>
    </row>
    <row r="303" spans="5:12" ht="15" customHeight="1" x14ac:dyDescent="0.2">
      <c r="E303" s="94"/>
      <c r="F303" s="94" t="s">
        <v>3038</v>
      </c>
      <c r="G303" s="94" t="s">
        <v>3039</v>
      </c>
    </row>
    <row r="304" spans="5:12" ht="15" customHeight="1" x14ac:dyDescent="0.2">
      <c r="E304" s="94" t="s">
        <v>3040</v>
      </c>
      <c r="F304" s="94">
        <v>9</v>
      </c>
      <c r="G304" s="94">
        <v>17</v>
      </c>
    </row>
    <row r="305" spans="5:12" ht="15" customHeight="1" x14ac:dyDescent="0.2">
      <c r="E305" s="94" t="s">
        <v>3041</v>
      </c>
      <c r="F305" s="94">
        <v>9</v>
      </c>
      <c r="G305" s="94">
        <v>18</v>
      </c>
    </row>
    <row r="306" spans="5:12" ht="15" customHeight="1" x14ac:dyDescent="0.2">
      <c r="E306" s="94" t="s">
        <v>3042</v>
      </c>
      <c r="F306" s="94">
        <v>10</v>
      </c>
      <c r="G306" s="94">
        <v>17</v>
      </c>
    </row>
    <row r="307" spans="5:12" ht="15" customHeight="1" x14ac:dyDescent="0.2">
      <c r="E307" s="94" t="s">
        <v>3043</v>
      </c>
      <c r="F307" s="94">
        <v>9</v>
      </c>
      <c r="G307" s="94">
        <v>20</v>
      </c>
    </row>
    <row r="308" spans="5:12" ht="32.25" customHeight="1" x14ac:dyDescent="0.2"/>
    <row r="309" spans="5:12" ht="12.75" customHeight="1" x14ac:dyDescent="0.2">
      <c r="E309" s="22" t="s">
        <v>2334</v>
      </c>
      <c r="K309" s="24" t="s">
        <v>2335</v>
      </c>
      <c r="L309" s="24" t="s">
        <v>2336</v>
      </c>
    </row>
    <row r="310" spans="5:12" ht="15" customHeight="1" x14ac:dyDescent="0.2">
      <c r="E310" s="230" t="s">
        <v>3258</v>
      </c>
      <c r="F310" s="230"/>
      <c r="G310" s="230"/>
      <c r="H310" s="230"/>
      <c r="I310" s="230"/>
      <c r="J310" s="230"/>
      <c r="K310" s="5" t="s">
        <v>3044</v>
      </c>
      <c r="L310" s="89" t="s">
        <v>3045</v>
      </c>
    </row>
    <row r="311" spans="5:12" ht="15" customHeight="1" x14ac:dyDescent="0.2">
      <c r="E311" s="25" cm="1">
        <f t="array" ref="E311">XLOOKUP2D_byBendeLeon($E$303:$G$307,"Tue","Close")</f>
        <v>18</v>
      </c>
      <c r="K311" s="78"/>
    </row>
    <row r="313" spans="5:12" ht="21.75" customHeight="1" x14ac:dyDescent="0.2">
      <c r="E313" s="230" t="s">
        <v>3259</v>
      </c>
      <c r="F313" s="230"/>
      <c r="G313" s="230"/>
      <c r="H313" s="230"/>
      <c r="I313" s="230"/>
      <c r="J313" s="230"/>
      <c r="K313" s="5" t="s">
        <v>3046</v>
      </c>
      <c r="L313" s="89" t="s">
        <v>3045</v>
      </c>
    </row>
    <row r="314" spans="5:12" ht="15" customHeight="1" x14ac:dyDescent="0.2">
      <c r="E314" s="25" cm="1">
        <f t="array" ref="E314">XLOOKUP2D_byBendeLeon($E$303:$G$307,"T*","Close",,,2)</f>
        <v>18</v>
      </c>
      <c r="K314" s="78"/>
    </row>
    <row r="316" spans="5:12" ht="21.75" customHeight="1" x14ac:dyDescent="0.2">
      <c r="E316" s="230" t="s">
        <v>3260</v>
      </c>
      <c r="F316" s="230"/>
      <c r="G316" s="230"/>
      <c r="H316" s="230"/>
      <c r="I316" s="230"/>
      <c r="J316" s="230"/>
      <c r="K316" s="5" t="s">
        <v>3047</v>
      </c>
      <c r="L316" s="89" t="s">
        <v>3048</v>
      </c>
    </row>
    <row r="317" spans="5:12" ht="15" customHeight="1" x14ac:dyDescent="0.2">
      <c r="E317" s="25" cm="1">
        <f t="array" ref="E317">XLOOKUP2D_byBendeLeon($E$303:$G$307,"T*","Close",,,2,-1)</f>
        <v>20</v>
      </c>
      <c r="K317" s="78"/>
    </row>
    <row r="319" spans="5:12" ht="21.75" customHeight="1" x14ac:dyDescent="0.2">
      <c r="E319" s="230" t="s">
        <v>3261</v>
      </c>
      <c r="F319" s="230"/>
      <c r="G319" s="230"/>
      <c r="H319" s="230"/>
      <c r="I319" s="230"/>
      <c r="J319" s="230"/>
      <c r="K319" s="5" t="s">
        <v>3049</v>
      </c>
      <c r="L319" s="89" t="s">
        <v>3050</v>
      </c>
    </row>
    <row r="320" spans="5:12" ht="15" customHeight="1" x14ac:dyDescent="0.2">
      <c r="E320" s="25" t="str" cm="1">
        <f t="array" ref="E320">XLOOKUP2D_byBendeLeon($E$303:$G$307,"Sun","Close",,,,,"shut")</f>
        <v>shut</v>
      </c>
      <c r="K320" s="78"/>
    </row>
    <row r="322" spans="5:12" ht="25.5" customHeight="1" x14ac:dyDescent="0.2">
      <c r="E322" s="152" t="s">
        <v>1105</v>
      </c>
      <c r="F322" s="152"/>
      <c r="G322" s="152"/>
      <c r="H322" s="152"/>
      <c r="I322" s="152"/>
      <c r="J322" s="152"/>
    </row>
    <row r="323" spans="5:12" ht="21.75" customHeight="1" x14ac:dyDescent="0.2">
      <c r="E323" s="147" t="s">
        <v>1499</v>
      </c>
      <c r="F323" s="147"/>
      <c r="G323" s="147"/>
      <c r="H323" s="147"/>
      <c r="I323" s="147"/>
      <c r="J323" s="147"/>
    </row>
    <row r="325" spans="5:12" ht="51" customHeight="1" x14ac:dyDescent="0.2"/>
    <row r="326" spans="5:12" ht="15.75" customHeight="1" x14ac:dyDescent="0.2">
      <c r="E326" s="159" t="s">
        <v>1112</v>
      </c>
      <c r="F326" s="159"/>
      <c r="G326" s="159"/>
      <c r="H326" s="159"/>
      <c r="I326" s="159"/>
      <c r="J326" s="159"/>
      <c r="K326" s="159"/>
      <c r="L326" s="159"/>
    </row>
    <row r="327" spans="5:12" ht="51" customHeight="1" x14ac:dyDescent="0.2">
      <c r="E327" s="152" t="s">
        <v>3052</v>
      </c>
      <c r="F327" s="149"/>
      <c r="G327" s="149"/>
      <c r="H327" s="149"/>
      <c r="I327" s="149"/>
      <c r="J327" s="149"/>
    </row>
    <row r="328" spans="5:12" ht="21.75" customHeight="1" x14ac:dyDescent="0.2">
      <c r="E328" s="147" t="s">
        <v>3053</v>
      </c>
      <c r="F328" s="147"/>
      <c r="G328" s="147"/>
      <c r="H328" s="147"/>
      <c r="I328" s="147"/>
      <c r="J328" s="147"/>
    </row>
    <row r="330" spans="5:12" ht="12.75" customHeight="1" x14ac:dyDescent="0.2">
      <c r="E330" s="22" t="s">
        <v>3054</v>
      </c>
    </row>
    <row r="331" spans="5:12" ht="15" customHeight="1" x14ac:dyDescent="0.2">
      <c r="E331" s="94" t="s">
        <v>665</v>
      </c>
    </row>
    <row r="332" spans="5:12" ht="15" customHeight="1" x14ac:dyDescent="0.2">
      <c r="E332" s="94" t="s">
        <v>666</v>
      </c>
    </row>
    <row r="333" spans="5:12" ht="15" customHeight="1" x14ac:dyDescent="0.2">
      <c r="E333" s="94" t="s">
        <v>667</v>
      </c>
    </row>
    <row r="335" spans="5:12" ht="12.75" customHeight="1" x14ac:dyDescent="0.2">
      <c r="E335" s="22" t="s">
        <v>2334</v>
      </c>
      <c r="K335" s="24" t="s">
        <v>2335</v>
      </c>
      <c r="L335" s="24" t="s">
        <v>2336</v>
      </c>
    </row>
    <row r="336" spans="5:12" ht="21.75" customHeight="1" x14ac:dyDescent="0.2">
      <c r="E336" s="230" t="s">
        <v>3262</v>
      </c>
      <c r="F336" s="230"/>
      <c r="G336" s="230"/>
      <c r="H336" s="230"/>
      <c r="I336" s="230"/>
      <c r="J336" s="230"/>
      <c r="K336" s="5" t="s">
        <v>3055</v>
      </c>
    </row>
    <row r="337" spans="5:12" ht="15" customHeight="1" x14ac:dyDescent="0.2">
      <c r="E337" s="25" t="str" cm="1">
        <f t="array" ref="E337:F342">Combinations_byHadynWiseman($E$331:$E$333,2)</f>
        <v>a</v>
      </c>
      <c r="F337" s="96" t="str">
        <v>b</v>
      </c>
      <c r="K337" s="78" t="s">
        <v>2100</v>
      </c>
      <c r="L337" s="231" t="s">
        <v>3056</v>
      </c>
    </row>
    <row r="338" spans="5:12" ht="15" customHeight="1" x14ac:dyDescent="0.2">
      <c r="E338" s="96" t="str">
        <v>a</v>
      </c>
      <c r="F338" s="96" t="str">
        <v>c</v>
      </c>
      <c r="L338" s="231"/>
    </row>
    <row r="339" spans="5:12" ht="15" customHeight="1" x14ac:dyDescent="0.2">
      <c r="E339" s="96" t="str">
        <v>b</v>
      </c>
      <c r="F339" s="96" t="str">
        <v>a</v>
      </c>
      <c r="L339" s="231"/>
    </row>
    <row r="340" spans="5:12" ht="15" customHeight="1" x14ac:dyDescent="0.2">
      <c r="E340" s="96" t="str">
        <v>b</v>
      </c>
      <c r="F340" s="96" t="str">
        <v>c</v>
      </c>
      <c r="L340" s="231"/>
    </row>
    <row r="341" spans="5:12" ht="15" customHeight="1" x14ac:dyDescent="0.2">
      <c r="E341" s="96" t="str">
        <v>c</v>
      </c>
      <c r="F341" s="96" t="str">
        <v>a</v>
      </c>
      <c r="L341" s="231"/>
    </row>
    <row r="342" spans="5:12" ht="15" customHeight="1" x14ac:dyDescent="0.2">
      <c r="E342" s="96" t="str">
        <v>c</v>
      </c>
      <c r="F342" s="96" t="str">
        <v>b</v>
      </c>
      <c r="L342" s="231"/>
    </row>
    <row r="344" spans="5:12" ht="21.75" customHeight="1" x14ac:dyDescent="0.2">
      <c r="E344" s="230" t="s">
        <v>3263</v>
      </c>
      <c r="F344" s="230"/>
      <c r="G344" s="230"/>
      <c r="H344" s="230"/>
      <c r="I344" s="230"/>
      <c r="J344" s="230"/>
      <c r="K344" s="5" t="s">
        <v>3057</v>
      </c>
    </row>
    <row r="345" spans="5:12" ht="15" customHeight="1" x14ac:dyDescent="0.2">
      <c r="E345" s="25" t="str" cm="1">
        <f t="array" ref="E345:F347">Combinations_byHadynWiseman($E$331:$E$333,2,1)</f>
        <v>a</v>
      </c>
      <c r="F345" s="96" t="str">
        <v>b</v>
      </c>
      <c r="K345" s="78" t="s">
        <v>1970</v>
      </c>
      <c r="L345" s="231" t="s">
        <v>3058</v>
      </c>
    </row>
    <row r="346" spans="5:12" ht="15" customHeight="1" x14ac:dyDescent="0.2">
      <c r="E346" s="96" t="str">
        <v>a</v>
      </c>
      <c r="F346" s="96" t="str">
        <v>c</v>
      </c>
      <c r="L346" s="231"/>
    </row>
    <row r="347" spans="5:12" ht="15" customHeight="1" x14ac:dyDescent="0.2">
      <c r="E347" s="96" t="str">
        <v>b</v>
      </c>
      <c r="F347" s="96" t="str">
        <v>c</v>
      </c>
      <c r="L347" s="231"/>
    </row>
    <row r="349" spans="5:12" ht="21.75" customHeight="1" x14ac:dyDescent="0.2">
      <c r="E349" s="230" t="s">
        <v>3264</v>
      </c>
      <c r="F349" s="230"/>
      <c r="G349" s="230"/>
      <c r="H349" s="230"/>
      <c r="I349" s="230"/>
      <c r="J349" s="230"/>
      <c r="K349" s="5" t="s">
        <v>1501</v>
      </c>
    </row>
    <row r="350" spans="5:12" ht="15" customHeight="1" x14ac:dyDescent="0.2">
      <c r="E350" s="25" t="str" cm="1">
        <f t="array" ref="E350:F355">Combinations_byHadynWiseman($E$331:$E$333,2,1,1)</f>
        <v>a</v>
      </c>
      <c r="F350" s="96" t="str">
        <v>a</v>
      </c>
      <c r="K350" s="78" t="s">
        <v>2100</v>
      </c>
      <c r="L350" s="231" t="s">
        <v>3059</v>
      </c>
    </row>
    <row r="351" spans="5:12" ht="15" customHeight="1" x14ac:dyDescent="0.2">
      <c r="E351" s="96" t="str">
        <v>a</v>
      </c>
      <c r="F351" s="96" t="str">
        <v>b</v>
      </c>
      <c r="L351" s="231"/>
    </row>
    <row r="352" spans="5:12" ht="15" customHeight="1" x14ac:dyDescent="0.2">
      <c r="E352" s="96" t="str">
        <v>a</v>
      </c>
      <c r="F352" s="96" t="str">
        <v>c</v>
      </c>
      <c r="L352" s="231"/>
    </row>
    <row r="353" spans="5:12" ht="15" customHeight="1" x14ac:dyDescent="0.2">
      <c r="E353" s="96" t="str">
        <v>b</v>
      </c>
      <c r="F353" s="96" t="str">
        <v>b</v>
      </c>
      <c r="L353" s="231"/>
    </row>
    <row r="354" spans="5:12" ht="15" customHeight="1" x14ac:dyDescent="0.2">
      <c r="E354" s="96" t="str">
        <v>b</v>
      </c>
      <c r="F354" s="96" t="str">
        <v>c</v>
      </c>
      <c r="L354" s="231"/>
    </row>
    <row r="355" spans="5:12" ht="15" customHeight="1" x14ac:dyDescent="0.2">
      <c r="E355" s="96" t="str">
        <v>c</v>
      </c>
      <c r="F355" s="96" t="str">
        <v>c</v>
      </c>
      <c r="L355" s="231"/>
    </row>
    <row r="357" spans="5:12" ht="15" customHeight="1" x14ac:dyDescent="0.2">
      <c r="E357" s="230" t="s">
        <v>3265</v>
      </c>
      <c r="F357" s="230"/>
      <c r="G357" s="230"/>
      <c r="H357" s="230"/>
      <c r="I357" s="230"/>
      <c r="J357" s="230"/>
      <c r="K357" s="5" t="s">
        <v>3060</v>
      </c>
    </row>
    <row r="358" spans="5:12" ht="15" customHeight="1" x14ac:dyDescent="0.2">
      <c r="E358" s="25" t="str" cm="1">
        <f t="array" ref="E358:F364">Combinations_byHadynWiseman($E$331:$E$333,2,1,0,1)</f>
        <v/>
      </c>
      <c r="F358" s="96" t="str">
        <v/>
      </c>
      <c r="K358" s="78" t="s">
        <v>2425</v>
      </c>
      <c r="L358" s="231" t="s">
        <v>3061</v>
      </c>
    </row>
    <row r="359" spans="5:12" ht="15" customHeight="1" x14ac:dyDescent="0.2">
      <c r="E359" s="96" t="str">
        <v>a</v>
      </c>
      <c r="F359" s="96" t="str">
        <v/>
      </c>
      <c r="L359" s="231"/>
    </row>
    <row r="360" spans="5:12" ht="15" customHeight="1" x14ac:dyDescent="0.2">
      <c r="E360" s="96" t="str">
        <v>b</v>
      </c>
      <c r="F360" s="96" t="str">
        <v/>
      </c>
      <c r="L360" s="231"/>
    </row>
    <row r="361" spans="5:12" ht="15" customHeight="1" x14ac:dyDescent="0.2">
      <c r="E361" s="96" t="str">
        <v>c</v>
      </c>
      <c r="F361" s="96" t="str">
        <v/>
      </c>
      <c r="L361" s="231"/>
    </row>
    <row r="362" spans="5:12" ht="15" customHeight="1" x14ac:dyDescent="0.2">
      <c r="E362" s="96" t="str">
        <v>a</v>
      </c>
      <c r="F362" s="96" t="str">
        <v>b</v>
      </c>
      <c r="L362" s="231"/>
    </row>
    <row r="363" spans="5:12" ht="15" customHeight="1" x14ac:dyDescent="0.2">
      <c r="E363" s="96" t="str">
        <v>a</v>
      </c>
      <c r="F363" s="96" t="str">
        <v>c</v>
      </c>
      <c r="L363" s="231"/>
    </row>
    <row r="364" spans="5:12" ht="15" customHeight="1" x14ac:dyDescent="0.2">
      <c r="E364" s="96" t="str">
        <v>b</v>
      </c>
      <c r="F364" s="96" t="str">
        <v>c</v>
      </c>
      <c r="L364" s="231"/>
    </row>
    <row r="366" spans="5:12" ht="21.75" customHeight="1" x14ac:dyDescent="0.2">
      <c r="E366" s="230" t="s">
        <v>2426</v>
      </c>
      <c r="F366" s="230"/>
      <c r="G366" s="230"/>
      <c r="H366" s="230"/>
      <c r="I366" s="230"/>
      <c r="J366" s="230"/>
      <c r="K366" s="5" t="s">
        <v>3062</v>
      </c>
    </row>
    <row r="367" spans="5:12" ht="15" customHeight="1" x14ac:dyDescent="0.2">
      <c r="E367" s="25" cm="1">
        <f t="array" ref="E367:F372">PerCom_byBoRydobon(3,2)</f>
        <v>1</v>
      </c>
      <c r="F367" s="96">
        <v>2</v>
      </c>
      <c r="K367" s="78" t="s">
        <v>2100</v>
      </c>
      <c r="L367" s="231" t="s">
        <v>2439</v>
      </c>
    </row>
    <row r="368" spans="5:12" ht="15" customHeight="1" x14ac:dyDescent="0.2">
      <c r="E368" s="96">
        <v>1</v>
      </c>
      <c r="F368" s="96">
        <v>3</v>
      </c>
      <c r="L368" s="231"/>
    </row>
    <row r="369" spans="5:12" ht="15" customHeight="1" x14ac:dyDescent="0.2">
      <c r="E369" s="96">
        <v>2</v>
      </c>
      <c r="F369" s="96">
        <v>1</v>
      </c>
      <c r="L369" s="231"/>
    </row>
    <row r="370" spans="5:12" ht="15" customHeight="1" x14ac:dyDescent="0.2">
      <c r="E370" s="96">
        <v>2</v>
      </c>
      <c r="F370" s="96">
        <v>3</v>
      </c>
      <c r="L370" s="231"/>
    </row>
    <row r="371" spans="5:12" ht="15" customHeight="1" x14ac:dyDescent="0.2">
      <c r="E371" s="96">
        <v>3</v>
      </c>
      <c r="F371" s="96">
        <v>1</v>
      </c>
      <c r="L371" s="231"/>
    </row>
    <row r="372" spans="5:12" ht="15" customHeight="1" x14ac:dyDescent="0.2">
      <c r="E372" s="96">
        <v>3</v>
      </c>
      <c r="F372" s="96">
        <v>2</v>
      </c>
      <c r="L372" s="231"/>
    </row>
    <row r="374" spans="5:12" ht="15" customHeight="1" x14ac:dyDescent="0.2">
      <c r="E374" s="230" t="s">
        <v>2427</v>
      </c>
      <c r="F374" s="230"/>
      <c r="G374" s="230"/>
      <c r="H374" s="230"/>
      <c r="I374" s="230"/>
      <c r="J374" s="230"/>
      <c r="K374" s="5" t="s">
        <v>3063</v>
      </c>
    </row>
    <row r="375" spans="5:12" ht="15" customHeight="1" x14ac:dyDescent="0.2">
      <c r="E375" s="25" cm="1">
        <f t="array" ref="E375:F377">PerCom_byBoRydobon(3,2,1)</f>
        <v>1</v>
      </c>
      <c r="F375" s="96">
        <v>2</v>
      </c>
      <c r="K375" s="78" t="s">
        <v>1970</v>
      </c>
      <c r="L375" s="231" t="s">
        <v>2440</v>
      </c>
    </row>
    <row r="376" spans="5:12" ht="15" customHeight="1" x14ac:dyDescent="0.2">
      <c r="E376" s="96">
        <v>1</v>
      </c>
      <c r="F376" s="96">
        <v>3</v>
      </c>
      <c r="L376" s="231"/>
    </row>
    <row r="377" spans="5:12" ht="15" customHeight="1" x14ac:dyDescent="0.2">
      <c r="E377" s="96">
        <v>2</v>
      </c>
      <c r="F377" s="96">
        <v>3</v>
      </c>
      <c r="L377" s="231"/>
    </row>
    <row r="379" spans="5:12" ht="25.5" customHeight="1" x14ac:dyDescent="0.2">
      <c r="E379" s="152" t="s">
        <v>3064</v>
      </c>
      <c r="F379" s="152"/>
      <c r="G379" s="152"/>
      <c r="H379" s="152"/>
      <c r="I379" s="152"/>
      <c r="J379" s="152"/>
    </row>
    <row r="380" spans="5:12" ht="25.5" customHeight="1" x14ac:dyDescent="0.2">
      <c r="E380" s="156" t="s">
        <v>1852</v>
      </c>
      <c r="F380" s="157"/>
      <c r="G380" s="157"/>
      <c r="H380" s="157"/>
      <c r="I380" s="157"/>
      <c r="J380" s="158"/>
    </row>
    <row r="383" spans="5:12" ht="15.75" customHeight="1" x14ac:dyDescent="0.2">
      <c r="E383" s="159" t="s">
        <v>3428</v>
      </c>
      <c r="F383" s="159"/>
      <c r="G383" s="159"/>
      <c r="H383" s="159"/>
      <c r="I383" s="159"/>
      <c r="J383" s="159"/>
      <c r="K383" s="159"/>
      <c r="L383" s="159"/>
    </row>
    <row r="384" spans="5:12" ht="25.5" customHeight="1" x14ac:dyDescent="0.2">
      <c r="E384" s="152" t="s">
        <v>3344</v>
      </c>
      <c r="F384" s="149"/>
      <c r="G384" s="149"/>
      <c r="H384" s="149"/>
      <c r="I384" s="149"/>
      <c r="J384" s="149"/>
    </row>
    <row r="385" spans="5:12" ht="21.75" customHeight="1" x14ac:dyDescent="0.2">
      <c r="E385" s="147" t="s">
        <v>3429</v>
      </c>
      <c r="F385" s="147"/>
      <c r="G385" s="147"/>
      <c r="H385" s="147"/>
      <c r="I385" s="147"/>
      <c r="J385" s="147"/>
    </row>
    <row r="387" spans="5:12" ht="12.75" customHeight="1" x14ac:dyDescent="0.2">
      <c r="E387" s="22" t="s">
        <v>3345</v>
      </c>
    </row>
    <row r="388" spans="5:12" ht="15" customHeight="1" x14ac:dyDescent="0.2">
      <c r="E388" s="94" t="s">
        <v>1622</v>
      </c>
      <c r="F388" s="94" t="s">
        <v>847</v>
      </c>
    </row>
    <row r="389" spans="5:12" ht="15" customHeight="1" x14ac:dyDescent="0.2">
      <c r="E389" s="94" t="s">
        <v>1358</v>
      </c>
      <c r="F389" s="94">
        <v>5</v>
      </c>
    </row>
    <row r="390" spans="5:12" ht="15" customHeight="1" x14ac:dyDescent="0.2">
      <c r="E390" s="94" t="s">
        <v>1357</v>
      </c>
      <c r="F390" s="94">
        <v>9</v>
      </c>
    </row>
    <row r="391" spans="5:12" ht="15" customHeight="1" x14ac:dyDescent="0.2">
      <c r="E391" s="94" t="s">
        <v>3349</v>
      </c>
      <c r="F391" s="94">
        <v>2</v>
      </c>
    </row>
    <row r="392" spans="5:12" ht="15" customHeight="1" x14ac:dyDescent="0.2">
      <c r="E392" s="94" t="s">
        <v>3350</v>
      </c>
      <c r="F392" s="94">
        <v>9</v>
      </c>
    </row>
    <row r="393" spans="5:12" ht="15" customHeight="1" x14ac:dyDescent="0.2">
      <c r="E393" s="94" t="s">
        <v>3351</v>
      </c>
      <c r="F393" s="94">
        <v>4</v>
      </c>
    </row>
    <row r="395" spans="5:12" ht="12.75" customHeight="1" x14ac:dyDescent="0.2">
      <c r="E395" s="22" t="s">
        <v>2334</v>
      </c>
      <c r="K395" s="24" t="s">
        <v>2335</v>
      </c>
      <c r="L395" s="24" t="s">
        <v>2336</v>
      </c>
    </row>
    <row r="396" spans="5:12" ht="21" customHeight="1" x14ac:dyDescent="0.2">
      <c r="E396" s="230" t="s">
        <v>3352</v>
      </c>
      <c r="F396" s="230"/>
      <c r="G396" s="230"/>
      <c r="H396" s="230"/>
      <c r="I396" s="230"/>
      <c r="J396" s="230"/>
      <c r="K396" s="5" t="s">
        <v>3346</v>
      </c>
      <c r="L396" s="89" t="s">
        <v>1357</v>
      </c>
    </row>
    <row r="397" spans="5:12" ht="15" customHeight="1" x14ac:dyDescent="0.2">
      <c r="E397" s="25" t="str" cm="1">
        <f t="array" ref="E397">MAXLOOKUP_byJaqKennedy($F$389:$F$393,$E$389:$E$393)</f>
        <v>Bob</v>
      </c>
      <c r="K397" s="78"/>
    </row>
    <row r="399" spans="5:12" ht="15" customHeight="1" x14ac:dyDescent="0.2">
      <c r="E399" s="230" t="s">
        <v>3430</v>
      </c>
      <c r="F399" s="230"/>
      <c r="G399" s="230"/>
      <c r="H399" s="230"/>
      <c r="I399" s="230"/>
      <c r="J399" s="230"/>
      <c r="K399" s="5" t="s">
        <v>3431</v>
      </c>
      <c r="L399" s="89" t="s">
        <v>3349</v>
      </c>
    </row>
    <row r="400" spans="5:12" ht="15" customHeight="1" x14ac:dyDescent="0.2">
      <c r="E400" s="25" t="str" cm="1">
        <f t="array" ref="E400">MINLOOKUP_byJaqKennedy($F$389:$F$393,$E$389:$E$393)</f>
        <v>Cy</v>
      </c>
      <c r="K400" s="78"/>
    </row>
    <row r="402" spans="5:10" ht="25.5" customHeight="1" x14ac:dyDescent="0.2">
      <c r="E402" s="152" t="s">
        <v>3347</v>
      </c>
      <c r="F402" s="152"/>
      <c r="G402" s="152"/>
      <c r="H402" s="152"/>
      <c r="I402" s="152"/>
      <c r="J402" s="152"/>
    </row>
    <row r="403" spans="5:10" ht="25.5" customHeight="1" x14ac:dyDescent="0.2">
      <c r="E403" s="156" t="s">
        <v>3348</v>
      </c>
      <c r="F403" s="157"/>
      <c r="G403" s="157"/>
      <c r="H403" s="157"/>
      <c r="I403" s="157"/>
      <c r="J403" s="158"/>
    </row>
  </sheetData>
  <mergeCells count="132">
    <mergeCell ref="E383:L383"/>
    <mergeCell ref="E384:J384"/>
    <mergeCell ref="E385:J385"/>
    <mergeCell ref="E396:J396"/>
    <mergeCell ref="E399:J399"/>
    <mergeCell ref="E402:J402"/>
    <mergeCell ref="E403:J403"/>
    <mergeCell ref="E379:J379"/>
    <mergeCell ref="E380:J380"/>
    <mergeCell ref="E328:J328"/>
    <mergeCell ref="L337:L342"/>
    <mergeCell ref="L345:L347"/>
    <mergeCell ref="E349:J349"/>
    <mergeCell ref="L350:L355"/>
    <mergeCell ref="L358:L364"/>
    <mergeCell ref="E366:J366"/>
    <mergeCell ref="L367:L372"/>
    <mergeCell ref="L375:L377"/>
    <mergeCell ref="E336:J336"/>
    <mergeCell ref="E357:J357"/>
    <mergeCell ref="E374:J374"/>
    <mergeCell ref="E344:J344"/>
    <mergeCell ref="E131:J131"/>
    <mergeCell ref="E135:L135"/>
    <mergeCell ref="E137:J137"/>
    <mergeCell ref="E150:J150"/>
    <mergeCell ref="L151:L153"/>
    <mergeCell ref="E84:J84"/>
    <mergeCell ref="L85:L86"/>
    <mergeCell ref="L89:L91"/>
    <mergeCell ref="E93:J93"/>
    <mergeCell ref="L94:L96"/>
    <mergeCell ref="E98:J98"/>
    <mergeCell ref="L99:L101"/>
    <mergeCell ref="E103:J103"/>
    <mergeCell ref="L104:L106"/>
    <mergeCell ref="E155:J155"/>
    <mergeCell ref="L156:L158"/>
    <mergeCell ref="E235:J235"/>
    <mergeCell ref="E245:J245"/>
    <mergeCell ref="E264:J264"/>
    <mergeCell ref="E291:J291"/>
    <mergeCell ref="E319:J319"/>
    <mergeCell ref="E327:J327"/>
    <mergeCell ref="E322:J322"/>
    <mergeCell ref="E323:J323"/>
    <mergeCell ref="E326:L326"/>
    <mergeCell ref="E313:J313"/>
    <mergeCell ref="E310:J310"/>
    <mergeCell ref="L284:L289"/>
    <mergeCell ref="L292:L293"/>
    <mergeCell ref="E295:J295"/>
    <mergeCell ref="E298:L298"/>
    <mergeCell ref="E299:J299"/>
    <mergeCell ref="E300:J300"/>
    <mergeCell ref="E316:J316"/>
    <mergeCell ref="E260:J260"/>
    <mergeCell ref="E261:J261"/>
    <mergeCell ref="E271:J271"/>
    <mergeCell ref="E283:J283"/>
    <mergeCell ref="E179:J179"/>
    <mergeCell ref="E182:J182"/>
    <mergeCell ref="L183:L185"/>
    <mergeCell ref="E267:J267"/>
    <mergeCell ref="E270:J270"/>
    <mergeCell ref="E274:L274"/>
    <mergeCell ref="E276:J276"/>
    <mergeCell ref="E256:J256"/>
    <mergeCell ref="E259:L259"/>
    <mergeCell ref="L226:L233"/>
    <mergeCell ref="L236:L243"/>
    <mergeCell ref="L246:L253"/>
    <mergeCell ref="E255:J255"/>
    <mergeCell ref="E275:J275"/>
    <mergeCell ref="L188:L190"/>
    <mergeCell ref="E192:J192"/>
    <mergeCell ref="L193:L195"/>
    <mergeCell ref="E200:L200"/>
    <mergeCell ref="E201:J201"/>
    <mergeCell ref="E202:J202"/>
    <mergeCell ref="E205:J205"/>
    <mergeCell ref="L206:L213"/>
    <mergeCell ref="E215:J215"/>
    <mergeCell ref="E197:J197"/>
    <mergeCell ref="E6:L6"/>
    <mergeCell ref="E7:J7"/>
    <mergeCell ref="E8:J8"/>
    <mergeCell ref="E132:J132"/>
    <mergeCell ref="E136:J136"/>
    <mergeCell ref="E117:J117"/>
    <mergeCell ref="E46:J46"/>
    <mergeCell ref="E113:J113"/>
    <mergeCell ref="E121:J121"/>
    <mergeCell ref="E128:J128"/>
    <mergeCell ref="E41:J41"/>
    <mergeCell ref="E45:J45"/>
    <mergeCell ref="L60:L61"/>
    <mergeCell ref="E63:J63"/>
    <mergeCell ref="E70:L70"/>
    <mergeCell ref="E72:J72"/>
    <mergeCell ref="E19:J19"/>
    <mergeCell ref="E22:J22"/>
    <mergeCell ref="E25:J25"/>
    <mergeCell ref="E28:J28"/>
    <mergeCell ref="L109:L111"/>
    <mergeCell ref="E116:J116"/>
    <mergeCell ref="E120:L120"/>
    <mergeCell ref="E125:J125"/>
    <mergeCell ref="E3:L4"/>
    <mergeCell ref="E71:J71"/>
    <mergeCell ref="E122:J122"/>
    <mergeCell ref="E67:J67"/>
    <mergeCell ref="E66:J66"/>
    <mergeCell ref="E225:J225"/>
    <mergeCell ref="E56:J56"/>
    <mergeCell ref="E59:J59"/>
    <mergeCell ref="E88:J88"/>
    <mergeCell ref="E108:J108"/>
    <mergeCell ref="E31:J31"/>
    <mergeCell ref="E34:J34"/>
    <mergeCell ref="E37:J37"/>
    <mergeCell ref="E40:J40"/>
    <mergeCell ref="E44:L44"/>
    <mergeCell ref="L216:L223"/>
    <mergeCell ref="E187:J187"/>
    <mergeCell ref="E160:J160"/>
    <mergeCell ref="L161:L163"/>
    <mergeCell ref="E165:J165"/>
    <mergeCell ref="E166:J166"/>
    <mergeCell ref="E169:L169"/>
    <mergeCell ref="E170:J170"/>
    <mergeCell ref="E171:J171"/>
  </mergeCells>
  <hyperlinks>
    <hyperlink ref="B2" location="'Start here'!E6" tooltip="back to Start here" display="⌂  CompBot Tutorial" xr:uid="{00000000-0004-0000-1600-000000000000}"/>
    <hyperlink ref="B6" location="'Start here'!E6" display="▸  START" xr:uid="{4EFE3E5D-CECA-4944-A5F8-54D6A1768479}"/>
    <hyperlink ref="B7" location="'C1 Your machine'!E6" display="▸  COMMANDS" xr:uid="{33AB1E97-74BE-41C8-A441-80BFD6BD830D}"/>
    <hyperlink ref="B8" location="'Demo maps'!E6" display="▸  DEMO SHEETS" xr:uid="{61057AC7-6440-45D0-BF5C-78070EAE614E}"/>
    <hyperlink ref="B9" location="'Level 1 Basics'!E6" display="▾  LAMBDAS" xr:uid="{214A6763-88C6-4138-918A-A028E6FC5301}"/>
    <hyperlink ref="B10" location="'Level 1 Basics'!E6" display="Level 1 Basics" xr:uid="{A9696DED-0F43-4659-8E7D-7EE12CEB113C}"/>
    <hyperlink ref="B11" location="'Level 2 Arrays'!E6" display="Level 2 Arrays" xr:uid="{CE448A4E-815E-4284-A680-2628BC0B2367}"/>
    <hyperlink ref="B12" location="'Level 3 Text'!E6" display="Level 3 Text" xr:uid="{EBC323D5-20B4-4A34-8171-76481F2D32FA}"/>
    <hyperlink ref="B14" location="'Level 5 Maps'!E6" display="Level 5 Maps" xr:uid="{D83CE329-B2D0-45F9-9C15-82C94E6990F9}"/>
    <hyperlink ref="B15" location="'Level 6 Engines'!E6" display="Level 6 Engines" xr:uid="{DDF1DB65-E275-4B84-AD02-DC3557ECA639}"/>
    <hyperlink ref="B16" location="'Words'!E6" display="Words" xr:uid="{0EC1CA00-20A4-4461-8DD6-2593BFE7054C}"/>
    <hyperlink ref="B18" location="'Command cheat sheet'!E6" display="▸  REFERENCE" xr:uid="{06D9FD19-DE20-4093-BDD8-B6B66D38DC01}"/>
    <hyperlink ref="B17" location="'I1 The Alves Method'!E6" display="▸  INSIDER" xr:uid="{994E3DCA-BF95-40BB-ADA7-33A4640F696B}"/>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0B6E4F"/>
  </sheetPr>
  <dimension ref="A1:L769"/>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44" customWidth="1"/>
    <col min="2" max="2" width="27" style="44" customWidth="1"/>
    <col min="3" max="3" width="1.5" style="44" customWidth="1"/>
    <col min="4" max="4" width="2.5" customWidth="1"/>
    <col min="5" max="10" width="14.5" customWidth="1"/>
    <col min="11" max="11" width="44" customWidth="1"/>
    <col min="12" max="12" width="46" customWidth="1"/>
  </cols>
  <sheetData>
    <row r="1" spans="2:12" ht="12.75" x14ac:dyDescent="0.2"/>
    <row r="2" spans="2:12" ht="30" customHeight="1" x14ac:dyDescent="0.3">
      <c r="B2" s="45" t="s">
        <v>0</v>
      </c>
      <c r="E2" s="3" t="s">
        <v>3177</v>
      </c>
    </row>
    <row r="3" spans="2:12" ht="15" customHeight="1" x14ac:dyDescent="0.2">
      <c r="B3" s="46" t="s">
        <v>2</v>
      </c>
      <c r="E3" s="147" t="s">
        <v>2488</v>
      </c>
      <c r="F3" s="148"/>
      <c r="G3" s="148"/>
      <c r="H3" s="148"/>
      <c r="I3" s="148"/>
      <c r="J3" s="148"/>
      <c r="K3" s="148"/>
      <c r="L3" s="148"/>
    </row>
    <row r="4" spans="2:12" ht="15" customHeight="1" x14ac:dyDescent="0.2">
      <c r="E4" s="148"/>
      <c r="F4" s="148"/>
      <c r="G4" s="148"/>
      <c r="H4" s="148"/>
      <c r="I4" s="148"/>
      <c r="J4" s="148"/>
      <c r="K4" s="148"/>
      <c r="L4" s="148"/>
    </row>
    <row r="5" spans="2:12" ht="12.75" x14ac:dyDescent="0.2"/>
    <row r="6" spans="2:12" ht="15.75" customHeight="1" x14ac:dyDescent="0.2">
      <c r="B6" s="112" t="s">
        <v>315</v>
      </c>
      <c r="E6" s="159" t="s">
        <v>2489</v>
      </c>
      <c r="F6" s="159"/>
      <c r="G6" s="159"/>
      <c r="H6" s="159"/>
      <c r="I6" s="159"/>
      <c r="J6" s="159"/>
      <c r="K6" s="159"/>
      <c r="L6" s="159"/>
    </row>
    <row r="7" spans="2:12" ht="12.75" customHeight="1" x14ac:dyDescent="0.2">
      <c r="B7" s="112" t="s">
        <v>10</v>
      </c>
    </row>
    <row r="8" spans="2:12" ht="38.25" customHeight="1" x14ac:dyDescent="0.2">
      <c r="B8" s="112" t="s">
        <v>11</v>
      </c>
      <c r="E8" s="152" t="s">
        <v>2490</v>
      </c>
      <c r="F8" s="152"/>
      <c r="G8" s="152"/>
      <c r="H8" s="152"/>
      <c r="I8" s="152"/>
      <c r="J8" s="152"/>
    </row>
    <row r="9" spans="2:12" ht="51" customHeight="1" x14ac:dyDescent="0.2">
      <c r="B9" s="112" t="s">
        <v>856</v>
      </c>
    </row>
    <row r="10" spans="2:12" ht="15.75" customHeight="1" x14ac:dyDescent="0.2">
      <c r="B10" s="91" t="s">
        <v>56</v>
      </c>
      <c r="E10" s="159" t="s">
        <v>2491</v>
      </c>
      <c r="F10" s="159"/>
      <c r="G10" s="159"/>
      <c r="H10" s="159"/>
      <c r="I10" s="159"/>
      <c r="J10" s="159"/>
      <c r="K10" s="159"/>
      <c r="L10" s="159"/>
    </row>
    <row r="11" spans="2:12" ht="12.75" customHeight="1" x14ac:dyDescent="0.2">
      <c r="B11" s="91" t="s">
        <v>58</v>
      </c>
    </row>
    <row r="12" spans="2:12" ht="25.5" customHeight="1" x14ac:dyDescent="0.2">
      <c r="B12" s="91" t="s">
        <v>3181</v>
      </c>
      <c r="E12" s="152" t="s">
        <v>2492</v>
      </c>
      <c r="F12" s="152"/>
      <c r="G12" s="152"/>
      <c r="H12" s="152"/>
      <c r="I12" s="152"/>
      <c r="J12" s="152"/>
    </row>
    <row r="13" spans="2:12" ht="12.75" customHeight="1" x14ac:dyDescent="0.2">
      <c r="B13" s="91" t="s">
        <v>3182</v>
      </c>
    </row>
    <row r="14" spans="2:12" ht="15.75" customHeight="1" x14ac:dyDescent="0.2">
      <c r="B14" s="90" t="s">
        <v>3179</v>
      </c>
    </row>
    <row r="15" spans="2:12" ht="15.75" customHeight="1" x14ac:dyDescent="0.2">
      <c r="B15" s="91" t="s">
        <v>3180</v>
      </c>
      <c r="E15" s="159" t="s">
        <v>1033</v>
      </c>
      <c r="F15" s="159"/>
      <c r="G15" s="159"/>
      <c r="H15" s="159"/>
      <c r="I15" s="159"/>
      <c r="J15" s="159"/>
      <c r="K15" s="159"/>
      <c r="L15" s="159"/>
    </row>
    <row r="16" spans="2:12" ht="15" customHeight="1" x14ac:dyDescent="0.2">
      <c r="B16" s="91" t="s">
        <v>54</v>
      </c>
      <c r="E16" s="152" t="s">
        <v>2493</v>
      </c>
      <c r="F16" s="149"/>
      <c r="G16" s="149"/>
      <c r="H16" s="149"/>
      <c r="I16" s="149"/>
      <c r="J16" s="149"/>
    </row>
    <row r="17" spans="2:12" ht="15" customHeight="1" x14ac:dyDescent="0.2">
      <c r="B17" s="112" t="s">
        <v>3407</v>
      </c>
      <c r="E17" s="147" t="s">
        <v>2494</v>
      </c>
      <c r="F17" s="147"/>
      <c r="G17" s="147"/>
      <c r="H17" s="147"/>
      <c r="I17" s="147"/>
      <c r="J17" s="147"/>
    </row>
    <row r="18" spans="2:12" ht="12.75" customHeight="1" x14ac:dyDescent="0.2">
      <c r="B18" s="112" t="s">
        <v>14</v>
      </c>
    </row>
    <row r="19" spans="2:12" ht="12.75" customHeight="1" x14ac:dyDescent="0.2">
      <c r="B19" s="110"/>
      <c r="E19" s="22" t="s">
        <v>2495</v>
      </c>
    </row>
    <row r="20" spans="2:12" ht="15" customHeight="1" x14ac:dyDescent="0.2">
      <c r="B20" s="110"/>
      <c r="E20" s="94" t="s">
        <v>2472</v>
      </c>
    </row>
    <row r="21" spans="2:12" ht="15" customHeight="1" x14ac:dyDescent="0.2">
      <c r="B21" s="110"/>
      <c r="E21" s="94" t="s">
        <v>2473</v>
      </c>
    </row>
    <row r="22" spans="2:12" ht="15" customHeight="1" x14ac:dyDescent="0.2">
      <c r="B22" s="110"/>
      <c r="E22" s="94" t="s">
        <v>2474</v>
      </c>
    </row>
    <row r="23" spans="2:12" ht="12.75" customHeight="1" x14ac:dyDescent="0.2">
      <c r="B23" s="110"/>
    </row>
    <row r="24" spans="2:12" ht="12.75" customHeight="1" x14ac:dyDescent="0.2">
      <c r="B24" s="110"/>
      <c r="E24" s="22" t="s">
        <v>2334</v>
      </c>
      <c r="K24" s="24" t="s">
        <v>2335</v>
      </c>
      <c r="L24" s="24" t="s">
        <v>2336</v>
      </c>
    </row>
    <row r="25" spans="2:12" ht="15" customHeight="1" x14ac:dyDescent="0.2">
      <c r="B25" s="110"/>
      <c r="E25" s="230" t="s">
        <v>1034</v>
      </c>
      <c r="F25" s="230"/>
      <c r="G25" s="230"/>
      <c r="H25" s="230"/>
      <c r="I25" s="230"/>
      <c r="J25" s="230"/>
      <c r="K25" s="5" t="s">
        <v>2496</v>
      </c>
      <c r="L25" s="89" t="s">
        <v>100</v>
      </c>
    </row>
    <row r="26" spans="2:12" ht="15" customHeight="1" x14ac:dyDescent="0.2">
      <c r="B26" s="110"/>
      <c r="E26" s="25" cm="1">
        <f t="array" ref="E26">RowNum_byHadynWiseman("C5")</f>
        <v>5</v>
      </c>
      <c r="K26" s="78"/>
    </row>
    <row r="27" spans="2:12" ht="15" customHeight="1" x14ac:dyDescent="0.2">
      <c r="B27" s="110"/>
    </row>
    <row r="28" spans="2:12" ht="15" customHeight="1" x14ac:dyDescent="0.2">
      <c r="B28" s="110"/>
      <c r="E28" s="230" t="s">
        <v>1035</v>
      </c>
      <c r="F28" s="230"/>
      <c r="G28" s="230"/>
      <c r="H28" s="230"/>
      <c r="I28" s="230"/>
      <c r="J28" s="230"/>
      <c r="K28" s="5" t="s">
        <v>2497</v>
      </c>
      <c r="L28" s="89" t="s">
        <v>2480</v>
      </c>
    </row>
    <row r="29" spans="2:12" ht="15" customHeight="1" x14ac:dyDescent="0.2">
      <c r="B29" s="110"/>
      <c r="E29" s="25" cm="1">
        <f t="array" ref="E29">ColNum_byHadynWiseman("C5")</f>
        <v>3</v>
      </c>
      <c r="K29" s="78"/>
    </row>
    <row r="30" spans="2:12" ht="15" customHeight="1" x14ac:dyDescent="0.2">
      <c r="B30" s="110"/>
    </row>
    <row r="31" spans="2:12" ht="15" customHeight="1" x14ac:dyDescent="0.2">
      <c r="B31" s="110"/>
      <c r="E31" s="230" t="s">
        <v>2498</v>
      </c>
      <c r="F31" s="230"/>
      <c r="G31" s="230"/>
      <c r="H31" s="230"/>
      <c r="I31" s="230"/>
      <c r="J31" s="230"/>
      <c r="K31" s="5" t="s">
        <v>2499</v>
      </c>
    </row>
    <row r="32" spans="2:12" ht="15" customHeight="1" x14ac:dyDescent="0.2">
      <c r="B32" s="110"/>
      <c r="E32" s="25" cm="1">
        <f t="array" ref="E32:E34">RowNum_byHadynWiseman($E$20:$E$22)</f>
        <v>1</v>
      </c>
      <c r="K32" s="78" t="s">
        <v>1947</v>
      </c>
      <c r="L32" s="231" t="s">
        <v>2408</v>
      </c>
    </row>
    <row r="33" spans="2:12" ht="15" customHeight="1" x14ac:dyDescent="0.2">
      <c r="B33" s="110"/>
      <c r="E33" s="96">
        <v>7</v>
      </c>
      <c r="L33" s="231"/>
    </row>
    <row r="34" spans="2:12" ht="15" customHeight="1" x14ac:dyDescent="0.2">
      <c r="B34" s="110"/>
      <c r="E34" s="96">
        <v>12</v>
      </c>
      <c r="L34" s="231"/>
    </row>
    <row r="35" spans="2:12" ht="15" customHeight="1" x14ac:dyDescent="0.2">
      <c r="B35" s="110"/>
    </row>
    <row r="36" spans="2:12" ht="21.75" customHeight="1" x14ac:dyDescent="0.2">
      <c r="B36" s="110"/>
      <c r="E36" s="230" t="s">
        <v>1036</v>
      </c>
      <c r="F36" s="230"/>
      <c r="G36" s="230"/>
      <c r="H36" s="230"/>
      <c r="I36" s="230"/>
      <c r="J36" s="230"/>
      <c r="K36" s="5" t="s">
        <v>2500</v>
      </c>
      <c r="L36" s="89" t="s">
        <v>2480</v>
      </c>
    </row>
    <row r="37" spans="2:12" ht="15" customHeight="1" x14ac:dyDescent="0.2">
      <c r="B37" s="110"/>
      <c r="E37" s="25" cm="1">
        <f t="array" ref="E37">ColNum_byHadynWiseman(5000003)</f>
        <v>3</v>
      </c>
      <c r="K37" s="78"/>
    </row>
    <row r="38" spans="2:12" ht="15" customHeight="1" x14ac:dyDescent="0.2">
      <c r="B38" s="110"/>
    </row>
    <row r="39" spans="2:12" ht="15" customHeight="1" x14ac:dyDescent="0.2">
      <c r="B39" s="110"/>
      <c r="E39" s="230" t="s">
        <v>1037</v>
      </c>
      <c r="F39" s="230"/>
      <c r="G39" s="230"/>
      <c r="H39" s="230"/>
      <c r="I39" s="230"/>
      <c r="J39" s="230"/>
      <c r="K39" s="5" t="s">
        <v>2501</v>
      </c>
      <c r="L39" s="89" t="s">
        <v>2502</v>
      </c>
    </row>
    <row r="40" spans="2:12" ht="15" customHeight="1" x14ac:dyDescent="0.2">
      <c r="B40" s="110"/>
      <c r="E40" s="25" cm="1">
        <f t="array" ref="E40">ColNum_byHadynWiseman("XFD1")</f>
        <v>16384</v>
      </c>
      <c r="K40" s="78"/>
    </row>
    <row r="41" spans="2:12" ht="15" customHeight="1" x14ac:dyDescent="0.2">
      <c r="B41" s="110"/>
    </row>
    <row r="42" spans="2:12" ht="15" customHeight="1" x14ac:dyDescent="0.2">
      <c r="B42" s="110"/>
      <c r="E42" s="152" t="s">
        <v>2503</v>
      </c>
      <c r="F42" s="152"/>
      <c r="G42" s="152"/>
      <c r="H42" s="152"/>
      <c r="I42" s="152"/>
      <c r="J42" s="152"/>
    </row>
    <row r="43" spans="2:12" ht="21.75" customHeight="1" x14ac:dyDescent="0.2">
      <c r="B43" s="110"/>
    </row>
    <row r="44" spans="2:12" ht="15" customHeight="1" x14ac:dyDescent="0.2">
      <c r="B44" s="110"/>
    </row>
    <row r="45" spans="2:12" ht="15.75" customHeight="1" x14ac:dyDescent="0.2">
      <c r="B45" s="110"/>
      <c r="E45" s="159" t="s">
        <v>1038</v>
      </c>
      <c r="F45" s="159"/>
      <c r="G45" s="159"/>
      <c r="H45" s="159"/>
      <c r="I45" s="159"/>
      <c r="J45" s="159"/>
      <c r="K45" s="159"/>
      <c r="L45" s="159"/>
    </row>
    <row r="46" spans="2:12" ht="25.5" customHeight="1" x14ac:dyDescent="0.2">
      <c r="B46" s="110"/>
      <c r="E46" s="152" t="s">
        <v>2504</v>
      </c>
      <c r="F46" s="149"/>
      <c r="G46" s="149"/>
      <c r="H46" s="149"/>
      <c r="I46" s="149"/>
      <c r="J46" s="149"/>
    </row>
    <row r="47" spans="2:12" ht="15" customHeight="1" x14ac:dyDescent="0.2">
      <c r="E47" s="147" t="s">
        <v>2505</v>
      </c>
      <c r="F47" s="147"/>
      <c r="G47" s="147"/>
      <c r="H47" s="147"/>
      <c r="I47" s="147"/>
      <c r="J47" s="147"/>
    </row>
    <row r="48" spans="2:12" ht="12.75" customHeight="1" x14ac:dyDescent="0.2"/>
    <row r="49" spans="5:12" ht="12.75" customHeight="1" x14ac:dyDescent="0.2">
      <c r="E49" s="22" t="s">
        <v>2334</v>
      </c>
      <c r="K49" s="24" t="s">
        <v>2335</v>
      </c>
      <c r="L49" s="24" t="s">
        <v>2336</v>
      </c>
    </row>
    <row r="50" spans="5:12" ht="15" customHeight="1" x14ac:dyDescent="0.2">
      <c r="E50" s="230" t="s">
        <v>1039</v>
      </c>
      <c r="F50" s="230"/>
      <c r="G50" s="230"/>
      <c r="H50" s="230"/>
      <c r="I50" s="230"/>
      <c r="J50" s="230"/>
      <c r="K50" s="5" t="s">
        <v>2506</v>
      </c>
      <c r="L50" s="89" t="s">
        <v>2507</v>
      </c>
    </row>
    <row r="51" spans="5:12" ht="15" customHeight="1" x14ac:dyDescent="0.2">
      <c r="E51" s="25" cm="1">
        <f t="array" ref="E51">RCRefConvert_byHadynWiseman("C5")</f>
        <v>5000003</v>
      </c>
      <c r="K51" s="78"/>
    </row>
    <row r="53" spans="5:12" ht="15" customHeight="1" x14ac:dyDescent="0.2">
      <c r="E53" s="230" t="s">
        <v>1040</v>
      </c>
      <c r="F53" s="230"/>
      <c r="G53" s="230"/>
      <c r="H53" s="230"/>
      <c r="I53" s="230"/>
      <c r="J53" s="230"/>
      <c r="K53" s="5" t="s">
        <v>2508</v>
      </c>
      <c r="L53" s="89" t="s">
        <v>1361</v>
      </c>
    </row>
    <row r="54" spans="5:12" ht="15" customHeight="1" x14ac:dyDescent="0.2">
      <c r="E54" s="25" t="str" cm="1">
        <f t="array" ref="E54">RCRefConvert_byHadynWiseman(5000003)</f>
        <v>C5</v>
      </c>
      <c r="K54" s="78"/>
    </row>
    <row r="56" spans="5:12" ht="21.75" customHeight="1" x14ac:dyDescent="0.2">
      <c r="E56" s="230" t="s">
        <v>1041</v>
      </c>
      <c r="F56" s="230"/>
      <c r="G56" s="230"/>
      <c r="H56" s="230"/>
      <c r="I56" s="230"/>
      <c r="J56" s="230"/>
      <c r="K56" s="5" t="s">
        <v>2509</v>
      </c>
      <c r="L56" s="89" t="s">
        <v>2478</v>
      </c>
    </row>
    <row r="57" spans="5:12" ht="15" customHeight="1" x14ac:dyDescent="0.2">
      <c r="E57" s="25" cm="1">
        <f t="array" ref="E57">RCRefConvert_byHadynWiseman("→")</f>
        <v>1</v>
      </c>
      <c r="K57" s="78"/>
    </row>
    <row r="59" spans="5:12" ht="21.75" customHeight="1" x14ac:dyDescent="0.2">
      <c r="E59" s="230" t="s">
        <v>1042</v>
      </c>
      <c r="F59" s="230"/>
      <c r="G59" s="230"/>
      <c r="H59" s="230"/>
      <c r="I59" s="230"/>
      <c r="J59" s="230"/>
      <c r="K59" s="5" t="s">
        <v>2510</v>
      </c>
      <c r="L59" s="89" t="s">
        <v>2511</v>
      </c>
    </row>
    <row r="60" spans="5:12" ht="15" customHeight="1" x14ac:dyDescent="0.2">
      <c r="E60" s="25" cm="1">
        <f t="array" ref="E60">RCRefConvert_byHadynWiseman("↘")</f>
        <v>1000001</v>
      </c>
      <c r="K60" s="78"/>
    </row>
    <row r="62" spans="5:12" ht="25.5" customHeight="1" x14ac:dyDescent="0.2">
      <c r="E62" s="152" t="s">
        <v>2512</v>
      </c>
      <c r="F62" s="152"/>
      <c r="G62" s="152"/>
      <c r="H62" s="152"/>
      <c r="I62" s="152"/>
      <c r="J62" s="152"/>
    </row>
    <row r="63" spans="5:12" ht="12.75" customHeight="1" x14ac:dyDescent="0.2"/>
    <row r="64" spans="5:12" ht="32.25" customHeight="1" x14ac:dyDescent="0.2"/>
    <row r="65" spans="5:12" ht="15.75" customHeight="1" x14ac:dyDescent="0.2">
      <c r="E65" s="159" t="s">
        <v>1043</v>
      </c>
      <c r="F65" s="159"/>
      <c r="G65" s="159"/>
      <c r="H65" s="159"/>
      <c r="I65" s="159"/>
      <c r="J65" s="159"/>
      <c r="K65" s="159"/>
      <c r="L65" s="159"/>
    </row>
    <row r="66" spans="5:12" ht="15" customHeight="1" x14ac:dyDescent="0.2">
      <c r="E66" s="152" t="s">
        <v>2513</v>
      </c>
      <c r="F66" s="149"/>
      <c r="G66" s="149"/>
      <c r="H66" s="149"/>
      <c r="I66" s="149"/>
      <c r="J66" s="149"/>
    </row>
    <row r="67" spans="5:12" ht="15" customHeight="1" x14ac:dyDescent="0.2">
      <c r="E67" s="147" t="s">
        <v>1044</v>
      </c>
      <c r="F67" s="147"/>
      <c r="G67" s="147"/>
      <c r="H67" s="147"/>
      <c r="I67" s="147"/>
      <c r="J67" s="147"/>
    </row>
    <row r="69" spans="5:12" ht="12.75" customHeight="1" x14ac:dyDescent="0.2">
      <c r="E69" s="22" t="s">
        <v>2514</v>
      </c>
    </row>
    <row r="70" spans="5:12" ht="15" customHeight="1" x14ac:dyDescent="0.2">
      <c r="E70" s="94" t="s">
        <v>1045</v>
      </c>
    </row>
    <row r="72" spans="5:12" ht="12.75" customHeight="1" x14ac:dyDescent="0.2">
      <c r="E72" s="22" t="s">
        <v>2334</v>
      </c>
      <c r="K72" s="24" t="s">
        <v>2335</v>
      </c>
      <c r="L72" s="24" t="s">
        <v>2336</v>
      </c>
    </row>
    <row r="73" spans="5:12" ht="15" customHeight="1" x14ac:dyDescent="0.2">
      <c r="E73" s="230" t="s">
        <v>2515</v>
      </c>
      <c r="F73" s="230"/>
      <c r="G73" s="230"/>
      <c r="H73" s="230"/>
      <c r="I73" s="230"/>
      <c r="J73" s="230"/>
      <c r="K73" s="5" t="s">
        <v>2516</v>
      </c>
      <c r="L73" s="89" t="s">
        <v>2517</v>
      </c>
    </row>
    <row r="74" spans="5:12" ht="15" customHeight="1" x14ac:dyDescent="0.2">
      <c r="E74" s="25" t="str" cm="1">
        <f t="array" ref="E74">YouAreHere_byLiannaGerrish($E$70:$E$70)</f>
        <v>E70</v>
      </c>
      <c r="K74" s="78"/>
    </row>
    <row r="76" spans="5:12" ht="21.75" customHeight="1" x14ac:dyDescent="0.2">
      <c r="E76" s="230" t="s">
        <v>3184</v>
      </c>
      <c r="F76" s="230"/>
      <c r="G76" s="230"/>
      <c r="H76" s="230"/>
      <c r="I76" s="230"/>
      <c r="J76" s="230"/>
      <c r="K76" s="5" t="s">
        <v>2518</v>
      </c>
      <c r="L76" s="89" t="s">
        <v>3185</v>
      </c>
    </row>
    <row r="77" spans="5:12" ht="15" customHeight="1" x14ac:dyDescent="0.2">
      <c r="E77" s="25" t="str" cm="1">
        <f t="array" ref="E77">YouAreHere_byLiannaGerrish($E$70:$E$70,"Level 5 Maps")</f>
        <v>'Level 5 Maps'!E70</v>
      </c>
      <c r="K77" s="78"/>
    </row>
    <row r="79" spans="5:12" ht="25.5" customHeight="1" x14ac:dyDescent="0.2">
      <c r="E79" s="152" t="s">
        <v>2519</v>
      </c>
      <c r="F79" s="152"/>
      <c r="G79" s="152"/>
      <c r="H79" s="152"/>
      <c r="I79" s="152"/>
      <c r="J79" s="152"/>
    </row>
    <row r="81" spans="5:12" ht="12.75" customHeight="1" x14ac:dyDescent="0.2"/>
    <row r="82" spans="5:12" ht="15.75" customHeight="1" x14ac:dyDescent="0.2">
      <c r="E82" s="159" t="s">
        <v>1064</v>
      </c>
      <c r="F82" s="159"/>
      <c r="G82" s="159"/>
      <c r="H82" s="159"/>
      <c r="I82" s="159"/>
      <c r="J82" s="159"/>
      <c r="K82" s="159"/>
      <c r="L82" s="159"/>
    </row>
    <row r="83" spans="5:12" ht="15" customHeight="1" x14ac:dyDescent="0.2">
      <c r="E83" s="152" t="s">
        <v>2520</v>
      </c>
      <c r="F83" s="149"/>
      <c r="G83" s="149"/>
      <c r="H83" s="149"/>
      <c r="I83" s="149"/>
      <c r="J83" s="149"/>
    </row>
    <row r="84" spans="5:12" ht="15" customHeight="1" x14ac:dyDescent="0.2">
      <c r="E84" s="147" t="s">
        <v>1065</v>
      </c>
      <c r="F84" s="147"/>
      <c r="G84" s="147"/>
      <c r="H84" s="147"/>
      <c r="I84" s="147"/>
      <c r="J84" s="147"/>
    </row>
    <row r="85" spans="5:12" ht="12.75" customHeight="1" x14ac:dyDescent="0.2"/>
    <row r="86" spans="5:12" ht="12.75" customHeight="1" x14ac:dyDescent="0.2">
      <c r="E86" s="22" t="s">
        <v>2521</v>
      </c>
    </row>
    <row r="87" spans="5:12" ht="15" customHeight="1" x14ac:dyDescent="0.2">
      <c r="E87" s="94" t="s">
        <v>665</v>
      </c>
      <c r="F87" s="94" t="s">
        <v>666</v>
      </c>
    </row>
    <row r="88" spans="5:12" ht="15" customHeight="1" x14ac:dyDescent="0.2">
      <c r="E88" s="94" t="s">
        <v>667</v>
      </c>
      <c r="F88" s="94" t="s">
        <v>588</v>
      </c>
    </row>
    <row r="89" spans="5:12" ht="12.75" customHeight="1" x14ac:dyDescent="0.2"/>
    <row r="90" spans="5:12" ht="12.75" customHeight="1" x14ac:dyDescent="0.2">
      <c r="E90" s="22" t="s">
        <v>2334</v>
      </c>
      <c r="K90" s="24" t="s">
        <v>2335</v>
      </c>
      <c r="L90" s="24" t="s">
        <v>2336</v>
      </c>
    </row>
    <row r="91" spans="5:12" ht="15" customHeight="1" x14ac:dyDescent="0.2">
      <c r="E91" s="230" t="s">
        <v>2522</v>
      </c>
      <c r="F91" s="230"/>
      <c r="G91" s="230"/>
      <c r="H91" s="230"/>
      <c r="I91" s="230"/>
      <c r="J91" s="230"/>
      <c r="K91" s="5" t="s">
        <v>2523</v>
      </c>
    </row>
    <row r="92" spans="5:12" ht="15" customHeight="1" x14ac:dyDescent="0.2">
      <c r="E92" s="25" t="str" cm="1">
        <f t="array" ref="E92:F93">Addresses_byDiarmuidEarly($E$87:$F$88)</f>
        <v>E87</v>
      </c>
      <c r="F92" s="96" t="str">
        <v>F87</v>
      </c>
      <c r="K92" s="78" t="s">
        <v>1981</v>
      </c>
      <c r="L92" s="231" t="s">
        <v>2524</v>
      </c>
    </row>
    <row r="93" spans="5:12" ht="15" customHeight="1" x14ac:dyDescent="0.2">
      <c r="E93" s="96" t="str">
        <v>E88</v>
      </c>
      <c r="F93" s="96" t="str">
        <v>F88</v>
      </c>
      <c r="L93" s="231"/>
    </row>
    <row r="95" spans="5:12" ht="15" customHeight="1" x14ac:dyDescent="0.2">
      <c r="E95" s="152" t="s">
        <v>2525</v>
      </c>
      <c r="F95" s="152"/>
      <c r="G95" s="152"/>
      <c r="H95" s="152"/>
      <c r="I95" s="152"/>
      <c r="J95" s="152"/>
    </row>
    <row r="96" spans="5:12" ht="12.75" customHeight="1" x14ac:dyDescent="0.2"/>
    <row r="97" spans="5:12" ht="12.75" customHeight="1" x14ac:dyDescent="0.2"/>
    <row r="98" spans="5:12" ht="15.75" customHeight="1" x14ac:dyDescent="0.2">
      <c r="E98" s="159" t="s">
        <v>2319</v>
      </c>
      <c r="F98" s="159"/>
      <c r="G98" s="159"/>
      <c r="H98" s="159"/>
      <c r="I98" s="159"/>
      <c r="J98" s="159"/>
      <c r="K98" s="159"/>
      <c r="L98" s="159"/>
    </row>
    <row r="99" spans="5:12" ht="25.5" customHeight="1" x14ac:dyDescent="0.2">
      <c r="E99" s="152" t="s">
        <v>2320</v>
      </c>
      <c r="F99" s="149"/>
      <c r="G99" s="149"/>
      <c r="H99" s="149"/>
      <c r="I99" s="149"/>
      <c r="J99" s="149"/>
    </row>
    <row r="100" spans="5:12" ht="15" customHeight="1" x14ac:dyDescent="0.2">
      <c r="E100" s="147" t="s">
        <v>2321</v>
      </c>
      <c r="F100" s="147"/>
      <c r="G100" s="147"/>
      <c r="H100" s="147"/>
      <c r="I100" s="147"/>
      <c r="J100" s="147"/>
    </row>
    <row r="101" spans="5:12" ht="12.75" customHeight="1" x14ac:dyDescent="0.2"/>
    <row r="102" spans="5:12" ht="12.75" customHeight="1" x14ac:dyDescent="0.2">
      <c r="E102" s="22" t="s">
        <v>3068</v>
      </c>
    </row>
    <row r="103" spans="5:12" ht="15" customHeight="1" x14ac:dyDescent="0.2">
      <c r="E103" s="94" t="s">
        <v>1761</v>
      </c>
    </row>
    <row r="104" spans="5:12" ht="15" customHeight="1" x14ac:dyDescent="0.2">
      <c r="E104" s="94" t="s">
        <v>1764</v>
      </c>
    </row>
    <row r="105" spans="5:12" ht="15" customHeight="1" x14ac:dyDescent="0.2">
      <c r="E105" s="94" t="s">
        <v>2467</v>
      </c>
    </row>
    <row r="107" spans="5:12" ht="12.75" customHeight="1" x14ac:dyDescent="0.2">
      <c r="E107" s="22" t="s">
        <v>2334</v>
      </c>
      <c r="K107" s="24" t="s">
        <v>2335</v>
      </c>
      <c r="L107" s="24" t="s">
        <v>2336</v>
      </c>
    </row>
    <row r="108" spans="5:12" ht="21.75" customHeight="1" x14ac:dyDescent="0.2">
      <c r="E108" s="230" t="s">
        <v>2323</v>
      </c>
      <c r="F108" s="230"/>
      <c r="G108" s="230"/>
      <c r="H108" s="230"/>
      <c r="I108" s="230"/>
      <c r="J108" s="230"/>
      <c r="K108" s="5" t="s">
        <v>2324</v>
      </c>
      <c r="L108" s="89" t="s">
        <v>2480</v>
      </c>
    </row>
    <row r="109" spans="5:12" ht="15" customHeight="1" x14ac:dyDescent="0.2">
      <c r="E109" s="25" cm="1">
        <f t="array" ref="E109">Fetch_byJaqKennedy("C4",Sht_Area1)</f>
        <v>3</v>
      </c>
      <c r="K109" s="78"/>
    </row>
    <row r="111" spans="5:12" ht="15" customHeight="1" x14ac:dyDescent="0.2">
      <c r="E111" s="230" t="s">
        <v>2325</v>
      </c>
      <c r="F111" s="230"/>
      <c r="G111" s="230"/>
      <c r="H111" s="230"/>
      <c r="I111" s="230"/>
      <c r="J111" s="230"/>
      <c r="K111" s="5" t="s">
        <v>2326</v>
      </c>
      <c r="L111" s="89" t="s">
        <v>2532</v>
      </c>
    </row>
    <row r="112" spans="5:12" ht="15" customHeight="1" x14ac:dyDescent="0.2">
      <c r="E112" s="25" cm="1">
        <f t="array" ref="E112">Fetch_byJaqKennedy(4000004,Sht_Area1)</f>
        <v>12</v>
      </c>
      <c r="K112" s="78"/>
    </row>
    <row r="114" spans="5:12" ht="15" customHeight="1" x14ac:dyDescent="0.2">
      <c r="E114" s="230" t="s">
        <v>3069</v>
      </c>
      <c r="F114" s="230"/>
      <c r="G114" s="230"/>
      <c r="H114" s="230"/>
      <c r="I114" s="230"/>
      <c r="J114" s="230"/>
      <c r="K114" s="5" t="s">
        <v>3070</v>
      </c>
    </row>
    <row r="115" spans="5:12" ht="15" customHeight="1" x14ac:dyDescent="0.2">
      <c r="E115" s="25" t="str" cm="1">
        <f t="array" ref="E115:E117">Fetch_byJaqKennedy($E$103:$E$105,Sht_Area1)</f>
        <v>apple</v>
      </c>
      <c r="K115" s="78" t="s">
        <v>1947</v>
      </c>
      <c r="L115" s="231" t="s">
        <v>2386</v>
      </c>
    </row>
    <row r="116" spans="5:12" ht="15" customHeight="1" x14ac:dyDescent="0.2">
      <c r="E116" s="96" t="str">
        <v>pear</v>
      </c>
      <c r="L116" s="231"/>
    </row>
    <row r="117" spans="5:12" ht="15" customHeight="1" x14ac:dyDescent="0.2">
      <c r="E117" s="96" t="str">
        <v>plum</v>
      </c>
      <c r="L117" s="231"/>
    </row>
    <row r="119" spans="5:12" ht="15" customHeight="1" x14ac:dyDescent="0.2">
      <c r="E119" s="230" t="s">
        <v>2327</v>
      </c>
      <c r="F119" s="230"/>
      <c r="G119" s="230"/>
      <c r="H119" s="230"/>
      <c r="I119" s="230"/>
      <c r="J119" s="230"/>
      <c r="K119" s="5" t="s">
        <v>2328</v>
      </c>
      <c r="L119" s="89" t="s">
        <v>2329</v>
      </c>
    </row>
    <row r="120" spans="5:12" ht="15" customHeight="1" x14ac:dyDescent="0.2">
      <c r="E120" s="25" t="str" cm="1">
        <f t="array" ref="E120">Fetch_byJaqKennedy("A1",Sht_Area1)</f>
        <v>OOB</v>
      </c>
      <c r="K120" s="78"/>
    </row>
    <row r="122" spans="5:12" ht="25.5" customHeight="1" x14ac:dyDescent="0.2">
      <c r="E122" s="152" t="s">
        <v>3071</v>
      </c>
      <c r="F122" s="152"/>
      <c r="G122" s="152"/>
      <c r="H122" s="152"/>
      <c r="I122" s="152"/>
      <c r="J122" s="152"/>
    </row>
    <row r="123" spans="5:12" ht="25.5" customHeight="1" x14ac:dyDescent="0.2">
      <c r="E123" s="156" t="s">
        <v>2322</v>
      </c>
      <c r="F123" s="157"/>
      <c r="G123" s="157"/>
      <c r="H123" s="157"/>
      <c r="I123" s="157"/>
      <c r="J123" s="158"/>
    </row>
    <row r="126" spans="5:12" ht="15.75" customHeight="1" x14ac:dyDescent="0.2">
      <c r="E126" s="159" t="s">
        <v>1046</v>
      </c>
      <c r="F126" s="159"/>
      <c r="G126" s="159"/>
      <c r="H126" s="159"/>
      <c r="I126" s="159"/>
      <c r="J126" s="159"/>
      <c r="K126" s="159"/>
      <c r="L126" s="159"/>
    </row>
    <row r="127" spans="5:12" ht="15" customHeight="1" x14ac:dyDescent="0.2">
      <c r="E127" s="152" t="s">
        <v>2526</v>
      </c>
      <c r="F127" s="149"/>
      <c r="G127" s="149"/>
      <c r="H127" s="149"/>
      <c r="I127" s="149"/>
      <c r="J127" s="149"/>
    </row>
    <row r="128" spans="5:12" ht="15" customHeight="1" x14ac:dyDescent="0.2">
      <c r="E128" s="147" t="s">
        <v>2527</v>
      </c>
      <c r="F128" s="147"/>
      <c r="G128" s="147"/>
      <c r="H128" s="147"/>
      <c r="I128" s="147"/>
      <c r="J128" s="147"/>
    </row>
    <row r="129" spans="5:12" ht="12.75" customHeight="1" x14ac:dyDescent="0.2"/>
    <row r="130" spans="5:12" ht="12.75" customHeight="1" x14ac:dyDescent="0.2">
      <c r="E130" s="22" t="s">
        <v>2528</v>
      </c>
    </row>
    <row r="131" spans="5:12" ht="15" customHeight="1" x14ac:dyDescent="0.2">
      <c r="E131" s="94" t="s">
        <v>2475</v>
      </c>
      <c r="F131" s="94"/>
      <c r="G131" s="94"/>
      <c r="H131" s="94"/>
      <c r="I131" s="94"/>
    </row>
    <row r="132" spans="5:12" ht="15" customHeight="1" x14ac:dyDescent="0.2">
      <c r="E132" s="94"/>
      <c r="F132" s="94"/>
      <c r="G132" s="94"/>
      <c r="H132" s="94"/>
      <c r="I132" s="94"/>
    </row>
    <row r="133" spans="5:12" ht="15" customHeight="1" x14ac:dyDescent="0.2">
      <c r="E133" s="94"/>
      <c r="F133" s="94"/>
      <c r="G133" s="94"/>
      <c r="H133" s="94"/>
      <c r="I133" s="94"/>
    </row>
    <row r="134" spans="5:12" ht="15" customHeight="1" x14ac:dyDescent="0.2">
      <c r="E134" s="94"/>
      <c r="F134" s="94"/>
      <c r="G134" s="94"/>
      <c r="H134" s="94"/>
      <c r="I134" s="94"/>
    </row>
    <row r="135" spans="5:12" ht="15" customHeight="1" x14ac:dyDescent="0.2">
      <c r="E135" s="94"/>
      <c r="F135" s="94"/>
      <c r="G135" s="94"/>
      <c r="H135" s="94"/>
      <c r="I135" s="94" t="s">
        <v>1374</v>
      </c>
    </row>
    <row r="137" spans="5:12" ht="12.75" customHeight="1" x14ac:dyDescent="0.2">
      <c r="E137" s="22" t="s">
        <v>2334</v>
      </c>
      <c r="K137" s="24" t="s">
        <v>2335</v>
      </c>
      <c r="L137" s="24" t="s">
        <v>2336</v>
      </c>
    </row>
    <row r="138" spans="5:12" ht="21.75" customHeight="1" x14ac:dyDescent="0.2">
      <c r="E138" s="230" t="s">
        <v>3072</v>
      </c>
      <c r="F138" s="230"/>
      <c r="G138" s="230"/>
      <c r="H138" s="230"/>
      <c r="I138" s="230"/>
      <c r="J138" s="230"/>
      <c r="K138" s="5" t="s">
        <v>2529</v>
      </c>
      <c r="L138" s="89" t="s">
        <v>108</v>
      </c>
    </row>
    <row r="139" spans="5:12" ht="15" customHeight="1" x14ac:dyDescent="0.2">
      <c r="E139" s="25" cm="1">
        <f t="array" ref="E139">Distance_byHadynWiseman("E131","I135")</f>
        <v>4</v>
      </c>
      <c r="K139" s="78"/>
    </row>
    <row r="141" spans="5:12" ht="15" customHeight="1" x14ac:dyDescent="0.2">
      <c r="E141" s="230" t="s">
        <v>3073</v>
      </c>
      <c r="F141" s="230"/>
      <c r="G141" s="230"/>
      <c r="H141" s="230"/>
      <c r="I141" s="230"/>
      <c r="J141" s="230"/>
      <c r="K141" s="5" t="s">
        <v>2530</v>
      </c>
      <c r="L141" s="89" t="s">
        <v>96</v>
      </c>
    </row>
    <row r="142" spans="5:12" ht="15" customHeight="1" x14ac:dyDescent="0.2">
      <c r="E142" s="25" cm="1">
        <f t="array" ref="E142">Distance_byHadynWiseman("E131","I135",1,1)</f>
        <v>8</v>
      </c>
      <c r="K142" s="78"/>
    </row>
    <row r="144" spans="5:12" ht="21.75" customHeight="1" x14ac:dyDescent="0.2">
      <c r="E144" s="230" t="s">
        <v>3074</v>
      </c>
      <c r="F144" s="230"/>
      <c r="G144" s="230"/>
      <c r="H144" s="230"/>
      <c r="I144" s="230"/>
      <c r="J144" s="230"/>
      <c r="K144" s="5" t="s">
        <v>2531</v>
      </c>
      <c r="L144" s="89" t="s">
        <v>2532</v>
      </c>
    </row>
    <row r="145" spans="5:12" ht="15" customHeight="1" x14ac:dyDescent="0.2">
      <c r="E145" s="25" cm="1">
        <f t="array" ref="E145">Distance_byHadynWiseman("E131","I135",2,2,3)</f>
        <v>12</v>
      </c>
      <c r="K145" s="78"/>
    </row>
    <row r="147" spans="5:12" ht="15" customHeight="1" x14ac:dyDescent="0.2">
      <c r="E147" s="230" t="s">
        <v>3075</v>
      </c>
      <c r="F147" s="230"/>
      <c r="G147" s="230"/>
      <c r="H147" s="230"/>
      <c r="I147" s="230"/>
      <c r="J147" s="230"/>
      <c r="K147" s="5" t="s">
        <v>2533</v>
      </c>
      <c r="L147" s="89" t="s">
        <v>2534</v>
      </c>
    </row>
    <row r="148" spans="5:12" ht="15" customHeight="1" x14ac:dyDescent="0.2">
      <c r="E148" s="25" cm="1">
        <f t="array" ref="E148">Distance_byHadynWiseman("E131","I135",,,,1)</f>
        <v>5.6568542494923806</v>
      </c>
      <c r="K148" s="78"/>
    </row>
    <row r="150" spans="5:12" ht="15" customHeight="1" x14ac:dyDescent="0.2">
      <c r="E150" s="230" t="s">
        <v>3076</v>
      </c>
      <c r="F150" s="230"/>
      <c r="G150" s="230"/>
      <c r="H150" s="230"/>
      <c r="I150" s="230"/>
      <c r="J150" s="230"/>
      <c r="K150" s="5" t="s">
        <v>2535</v>
      </c>
      <c r="L150" s="89" t="s">
        <v>108</v>
      </c>
    </row>
    <row r="151" spans="5:12" ht="15" customHeight="1" x14ac:dyDescent="0.2">
      <c r="E151" s="25" cm="1">
        <f t="array" ref="E151">Distance_byHadynWiseman("E131","I135",,,,,1)</f>
        <v>4</v>
      </c>
      <c r="K151" s="78"/>
    </row>
    <row r="153" spans="5:12" ht="15" customHeight="1" x14ac:dyDescent="0.2">
      <c r="E153" s="152" t="s">
        <v>2536</v>
      </c>
      <c r="F153" s="152"/>
      <c r="G153" s="152"/>
      <c r="H153" s="152"/>
      <c r="I153" s="152"/>
      <c r="J153" s="152"/>
    </row>
    <row r="154" spans="5:12" ht="25.5" customHeight="1" x14ac:dyDescent="0.2">
      <c r="E154" s="156" t="s">
        <v>2537</v>
      </c>
      <c r="F154" s="157"/>
      <c r="G154" s="157"/>
      <c r="H154" s="157"/>
      <c r="I154" s="157"/>
      <c r="J154" s="158"/>
    </row>
    <row r="155" spans="5:12" ht="21.75" customHeight="1" x14ac:dyDescent="0.2">
      <c r="E155" s="147" t="s">
        <v>1481</v>
      </c>
      <c r="F155" s="147"/>
      <c r="G155" s="147"/>
      <c r="H155" s="147"/>
      <c r="I155" s="147"/>
      <c r="J155" s="147"/>
    </row>
    <row r="156" spans="5:12" ht="21.75" customHeight="1" x14ac:dyDescent="0.2"/>
    <row r="158" spans="5:12" ht="15.75" customHeight="1" x14ac:dyDescent="0.2">
      <c r="E158" s="159" t="s">
        <v>1051</v>
      </c>
      <c r="F158" s="159"/>
      <c r="G158" s="159"/>
      <c r="H158" s="159"/>
      <c r="I158" s="159"/>
      <c r="J158" s="159"/>
      <c r="K158" s="159"/>
      <c r="L158" s="159"/>
    </row>
    <row r="159" spans="5:12" ht="15" customHeight="1" x14ac:dyDescent="0.2">
      <c r="E159" s="152" t="s">
        <v>2538</v>
      </c>
      <c r="F159" s="149"/>
      <c r="G159" s="149"/>
      <c r="H159" s="149"/>
      <c r="I159" s="149"/>
      <c r="J159" s="149"/>
    </row>
    <row r="160" spans="5:12" ht="15" customHeight="1" x14ac:dyDescent="0.2">
      <c r="E160" s="147" t="s">
        <v>2539</v>
      </c>
      <c r="F160" s="147"/>
      <c r="G160" s="147"/>
      <c r="H160" s="147"/>
      <c r="I160" s="147"/>
      <c r="J160" s="147"/>
    </row>
    <row r="162" spans="5:12" ht="12.75" customHeight="1" x14ac:dyDescent="0.2">
      <c r="E162" s="22" t="s">
        <v>2540</v>
      </c>
    </row>
    <row r="163" spans="5:12" ht="15" customHeight="1" x14ac:dyDescent="0.2">
      <c r="E163" s="94"/>
      <c r="F163" s="94"/>
      <c r="G163" s="94"/>
      <c r="H163" s="94"/>
      <c r="I163" s="94" t="s">
        <v>2541</v>
      </c>
    </row>
    <row r="164" spans="5:12" ht="15" customHeight="1" x14ac:dyDescent="0.2">
      <c r="E164" s="94"/>
      <c r="F164" s="94"/>
      <c r="G164" s="94"/>
      <c r="H164" s="94"/>
      <c r="I164" s="94"/>
    </row>
    <row r="165" spans="5:12" ht="15" customHeight="1" x14ac:dyDescent="0.2">
      <c r="E165" s="94"/>
      <c r="F165" s="94" t="s">
        <v>2541</v>
      </c>
      <c r="G165" s="94"/>
      <c r="H165" s="94"/>
      <c r="I165" s="94"/>
    </row>
    <row r="166" spans="5:12" ht="15" customHeight="1" x14ac:dyDescent="0.2">
      <c r="E166" s="94"/>
      <c r="F166" s="94"/>
      <c r="G166" s="94"/>
      <c r="H166" s="94"/>
      <c r="I166" s="94"/>
    </row>
    <row r="167" spans="5:12" ht="15" customHeight="1" x14ac:dyDescent="0.2">
      <c r="E167" s="94"/>
      <c r="F167" s="94"/>
      <c r="G167" s="94"/>
      <c r="H167" s="94"/>
      <c r="I167" s="94"/>
    </row>
    <row r="168" spans="5:12" ht="25.5" customHeight="1" x14ac:dyDescent="0.2"/>
    <row r="169" spans="5:12" ht="12.75" customHeight="1" x14ac:dyDescent="0.2">
      <c r="E169" s="22" t="s">
        <v>2334</v>
      </c>
      <c r="K169" s="24" t="s">
        <v>2335</v>
      </c>
      <c r="L169" s="24" t="s">
        <v>2336</v>
      </c>
    </row>
    <row r="170" spans="5:12" ht="21.75" customHeight="1" x14ac:dyDescent="0.2">
      <c r="E170" s="230" t="s">
        <v>3077</v>
      </c>
      <c r="F170" s="230"/>
      <c r="G170" s="230"/>
      <c r="H170" s="230"/>
      <c r="I170" s="230"/>
      <c r="J170" s="230"/>
      <c r="K170" s="5" t="s">
        <v>2542</v>
      </c>
    </row>
    <row r="171" spans="5:12" ht="15" customHeight="1" x14ac:dyDescent="0.2">
      <c r="E171" s="25" cm="1">
        <f t="array" ref="E171:I175">DistFrom_byDiarmuidEarly($E$163:$I$167,"💚",_xleta.SUM)</f>
        <v>3</v>
      </c>
      <c r="F171" s="96">
        <v>2</v>
      </c>
      <c r="G171" s="96">
        <v>2</v>
      </c>
      <c r="H171" s="96">
        <v>1</v>
      </c>
      <c r="I171" s="96">
        <v>0</v>
      </c>
      <c r="K171" s="78" t="s">
        <v>1988</v>
      </c>
      <c r="L171" s="231" t="s">
        <v>2543</v>
      </c>
    </row>
    <row r="172" spans="5:12" ht="15" customHeight="1" x14ac:dyDescent="0.2">
      <c r="E172" s="96">
        <v>2</v>
      </c>
      <c r="F172" s="96">
        <v>1</v>
      </c>
      <c r="G172" s="96">
        <v>2</v>
      </c>
      <c r="H172" s="96">
        <v>2</v>
      </c>
      <c r="I172" s="96">
        <v>1</v>
      </c>
      <c r="L172" s="231"/>
    </row>
    <row r="173" spans="5:12" ht="15" customHeight="1" x14ac:dyDescent="0.2">
      <c r="E173" s="96">
        <v>1</v>
      </c>
      <c r="F173" s="96">
        <v>0</v>
      </c>
      <c r="G173" s="96">
        <v>1</v>
      </c>
      <c r="H173" s="96">
        <v>2</v>
      </c>
      <c r="I173" s="96">
        <v>2</v>
      </c>
      <c r="L173" s="231"/>
    </row>
    <row r="174" spans="5:12" ht="15" customHeight="1" x14ac:dyDescent="0.2">
      <c r="E174" s="96">
        <v>2</v>
      </c>
      <c r="F174" s="96">
        <v>1</v>
      </c>
      <c r="G174" s="96">
        <v>2</v>
      </c>
      <c r="H174" s="96">
        <v>3</v>
      </c>
      <c r="I174" s="96">
        <v>3</v>
      </c>
      <c r="L174" s="231"/>
    </row>
    <row r="175" spans="5:12" ht="15" customHeight="1" x14ac:dyDescent="0.2">
      <c r="E175" s="96">
        <v>3</v>
      </c>
      <c r="F175" s="96">
        <v>2</v>
      </c>
      <c r="G175" s="96">
        <v>3</v>
      </c>
      <c r="H175" s="96">
        <v>4</v>
      </c>
      <c r="I175" s="96">
        <v>4</v>
      </c>
      <c r="L175" s="231"/>
    </row>
    <row r="177" spans="5:12" ht="15" customHeight="1" x14ac:dyDescent="0.2">
      <c r="E177" s="230" t="s">
        <v>3078</v>
      </c>
      <c r="F177" s="230"/>
      <c r="G177" s="230"/>
      <c r="H177" s="230"/>
      <c r="I177" s="230"/>
      <c r="J177" s="230"/>
      <c r="K177" s="5" t="s">
        <v>2544</v>
      </c>
    </row>
    <row r="178" spans="5:12" ht="15" customHeight="1" x14ac:dyDescent="0.2">
      <c r="E178" s="25" cm="1">
        <f t="array" ref="E178:I182">DistFrom_byDiarmuidEarly($E$163:$I$167,"💚",_xleta.MAX)</f>
        <v>2</v>
      </c>
      <c r="F178" s="96">
        <v>2</v>
      </c>
      <c r="G178" s="96">
        <v>2</v>
      </c>
      <c r="H178" s="96">
        <v>1</v>
      </c>
      <c r="I178" s="96">
        <v>0</v>
      </c>
      <c r="K178" s="78" t="s">
        <v>1988</v>
      </c>
      <c r="L178" s="231" t="s">
        <v>2545</v>
      </c>
    </row>
    <row r="179" spans="5:12" ht="15" customHeight="1" x14ac:dyDescent="0.2">
      <c r="E179" s="96">
        <v>1</v>
      </c>
      <c r="F179" s="96">
        <v>1</v>
      </c>
      <c r="G179" s="96">
        <v>1</v>
      </c>
      <c r="H179" s="96">
        <v>1</v>
      </c>
      <c r="I179" s="96">
        <v>1</v>
      </c>
      <c r="L179" s="231"/>
    </row>
    <row r="180" spans="5:12" ht="15" customHeight="1" x14ac:dyDescent="0.2">
      <c r="E180" s="96">
        <v>1</v>
      </c>
      <c r="F180" s="96">
        <v>0</v>
      </c>
      <c r="G180" s="96">
        <v>1</v>
      </c>
      <c r="H180" s="96">
        <v>2</v>
      </c>
      <c r="I180" s="96">
        <v>2</v>
      </c>
      <c r="L180" s="231"/>
    </row>
    <row r="181" spans="5:12" ht="15" customHeight="1" x14ac:dyDescent="0.2">
      <c r="E181" s="96">
        <v>1</v>
      </c>
      <c r="F181" s="96">
        <v>1</v>
      </c>
      <c r="G181" s="96">
        <v>1</v>
      </c>
      <c r="H181" s="96">
        <v>2</v>
      </c>
      <c r="I181" s="96">
        <v>3</v>
      </c>
      <c r="L181" s="231"/>
    </row>
    <row r="182" spans="5:12" ht="15" customHeight="1" x14ac:dyDescent="0.2">
      <c r="E182" s="96">
        <v>2</v>
      </c>
      <c r="F182" s="96">
        <v>2</v>
      </c>
      <c r="G182" s="96">
        <v>2</v>
      </c>
      <c r="H182" s="96">
        <v>2</v>
      </c>
      <c r="I182" s="96">
        <v>3</v>
      </c>
      <c r="L182" s="231"/>
    </row>
    <row r="184" spans="5:12" ht="21.75" customHeight="1" x14ac:dyDescent="0.2">
      <c r="E184" s="230" t="s">
        <v>3079</v>
      </c>
      <c r="F184" s="230"/>
      <c r="G184" s="230"/>
      <c r="H184" s="230"/>
      <c r="I184" s="230"/>
      <c r="J184" s="230"/>
      <c r="K184" s="5" t="s">
        <v>2546</v>
      </c>
    </row>
    <row r="185" spans="5:12" ht="15" customHeight="1" x14ac:dyDescent="0.2">
      <c r="E185" s="25" cm="1">
        <f t="array" ref="E185:I189">DistFrom_byDiarmuidEarly($E$163:$I$167,"💚",_xlfn.LAMBDA(_xlpm.r,_xlpm.c,SQRT(_xlpm.r^2+_xlpm.c^2)))</f>
        <v>2.2360679774997898</v>
      </c>
      <c r="F185" s="96">
        <v>2</v>
      </c>
      <c r="G185" s="96">
        <v>2</v>
      </c>
      <c r="H185" s="96">
        <v>1</v>
      </c>
      <c r="I185" s="96">
        <v>0</v>
      </c>
      <c r="K185" s="78" t="s">
        <v>1988</v>
      </c>
      <c r="L185" s="231" t="s">
        <v>2547</v>
      </c>
    </row>
    <row r="186" spans="5:12" ht="15" customHeight="1" x14ac:dyDescent="0.2">
      <c r="E186" s="96">
        <v>1.4142135623730951</v>
      </c>
      <c r="F186" s="96">
        <v>1</v>
      </c>
      <c r="G186" s="96">
        <v>1.4142135623730951</v>
      </c>
      <c r="H186" s="96">
        <v>1.4142135623730951</v>
      </c>
      <c r="I186" s="96">
        <v>1</v>
      </c>
      <c r="L186" s="231"/>
    </row>
    <row r="187" spans="5:12" ht="15" customHeight="1" x14ac:dyDescent="0.2">
      <c r="E187" s="96">
        <v>1</v>
      </c>
      <c r="F187" s="96">
        <v>0</v>
      </c>
      <c r="G187" s="96">
        <v>1</v>
      </c>
      <c r="H187" s="96">
        <v>2</v>
      </c>
      <c r="I187" s="96">
        <v>2</v>
      </c>
      <c r="L187" s="231"/>
    </row>
    <row r="188" spans="5:12" ht="15" customHeight="1" x14ac:dyDescent="0.2">
      <c r="E188" s="96">
        <v>1.4142135623730951</v>
      </c>
      <c r="F188" s="96">
        <v>1</v>
      </c>
      <c r="G188" s="96">
        <v>1.4142135623730951</v>
      </c>
      <c r="H188" s="96">
        <v>2.2360679774997898</v>
      </c>
      <c r="I188" s="96">
        <v>3</v>
      </c>
      <c r="L188" s="231"/>
    </row>
    <row r="189" spans="5:12" ht="15" customHeight="1" x14ac:dyDescent="0.2">
      <c r="E189" s="96">
        <v>2.2360679774997898</v>
      </c>
      <c r="F189" s="96">
        <v>2</v>
      </c>
      <c r="G189" s="96">
        <v>2.2360679774997898</v>
      </c>
      <c r="H189" s="96">
        <v>2.8284271247461903</v>
      </c>
      <c r="I189" s="96">
        <v>3.6055512754639891</v>
      </c>
      <c r="L189" s="231"/>
    </row>
    <row r="191" spans="5:12" ht="25.5" customHeight="1" x14ac:dyDescent="0.2">
      <c r="E191" s="152" t="s">
        <v>2548</v>
      </c>
      <c r="F191" s="152"/>
      <c r="G191" s="152"/>
      <c r="H191" s="152"/>
      <c r="I191" s="152"/>
      <c r="J191" s="152"/>
    </row>
    <row r="192" spans="5:12" ht="25.5" customHeight="1" x14ac:dyDescent="0.2">
      <c r="E192" s="156" t="s">
        <v>2549</v>
      </c>
      <c r="F192" s="157"/>
      <c r="G192" s="157"/>
      <c r="H192" s="157"/>
      <c r="I192" s="157"/>
      <c r="J192" s="158"/>
    </row>
    <row r="195" spans="5:12" ht="15.75" customHeight="1" x14ac:dyDescent="0.2">
      <c r="E195" s="159" t="s">
        <v>1054</v>
      </c>
      <c r="F195" s="159"/>
      <c r="G195" s="159"/>
      <c r="H195" s="159"/>
      <c r="I195" s="159"/>
      <c r="J195" s="159"/>
      <c r="K195" s="159"/>
      <c r="L195" s="159"/>
    </row>
    <row r="196" spans="5:12" ht="25.5" customHeight="1" x14ac:dyDescent="0.2">
      <c r="E196" s="152" t="s">
        <v>2550</v>
      </c>
      <c r="F196" s="149"/>
      <c r="G196" s="149"/>
      <c r="H196" s="149"/>
      <c r="I196" s="149"/>
      <c r="J196" s="149"/>
    </row>
    <row r="197" spans="5:12" ht="15" customHeight="1" x14ac:dyDescent="0.2">
      <c r="E197" s="147" t="s">
        <v>2551</v>
      </c>
      <c r="F197" s="147"/>
      <c r="G197" s="147"/>
      <c r="H197" s="147"/>
      <c r="I197" s="147"/>
      <c r="J197" s="147"/>
    </row>
    <row r="199" spans="5:12" ht="12.75" customHeight="1" x14ac:dyDescent="0.2">
      <c r="E199" s="22" t="s">
        <v>2540</v>
      </c>
    </row>
    <row r="200" spans="5:12" ht="15" customHeight="1" x14ac:dyDescent="0.2">
      <c r="E200" s="94"/>
      <c r="F200" s="94"/>
      <c r="G200" s="94" t="s">
        <v>2541</v>
      </c>
      <c r="H200" s="94"/>
      <c r="I200" s="94"/>
      <c r="J200" s="94"/>
    </row>
    <row r="201" spans="5:12" ht="15" customHeight="1" x14ac:dyDescent="0.2">
      <c r="E201" s="94"/>
      <c r="F201" s="94" t="s">
        <v>2552</v>
      </c>
      <c r="G201" s="94"/>
      <c r="H201" s="94"/>
      <c r="I201" s="94"/>
      <c r="J201" s="94" t="s">
        <v>2541</v>
      </c>
    </row>
    <row r="202" spans="5:12" ht="15" customHeight="1" x14ac:dyDescent="0.2">
      <c r="E202" s="94"/>
      <c r="F202" s="94"/>
      <c r="G202" s="94"/>
      <c r="H202" s="94" t="s">
        <v>687</v>
      </c>
      <c r="I202" s="94"/>
      <c r="J202" s="94"/>
    </row>
    <row r="203" spans="5:12" ht="15" customHeight="1" x14ac:dyDescent="0.2">
      <c r="E203" s="94" t="s">
        <v>2541</v>
      </c>
      <c r="F203" s="94"/>
      <c r="G203" s="94"/>
      <c r="H203" s="94"/>
      <c r="I203" s="94"/>
      <c r="J203" s="94"/>
    </row>
    <row r="204" spans="5:12" ht="15" customHeight="1" x14ac:dyDescent="0.2">
      <c r="E204" s="94"/>
      <c r="F204" s="94"/>
      <c r="G204" s="94"/>
      <c r="H204" s="94"/>
      <c r="I204" s="94" t="s">
        <v>2552</v>
      </c>
      <c r="J204" s="94"/>
    </row>
    <row r="205" spans="5:12" ht="21.75" customHeight="1" x14ac:dyDescent="0.2"/>
    <row r="206" spans="5:12" ht="12.75" customHeight="1" x14ac:dyDescent="0.2">
      <c r="E206" s="22" t="s">
        <v>2553</v>
      </c>
    </row>
    <row r="207" spans="5:12" ht="15" customHeight="1" x14ac:dyDescent="0.2">
      <c r="E207" s="94" t="s">
        <v>2541</v>
      </c>
      <c r="F207" s="94" t="s">
        <v>2552</v>
      </c>
    </row>
    <row r="209" spans="5:12" ht="12.75" customHeight="1" x14ac:dyDescent="0.2">
      <c r="E209" s="22" t="s">
        <v>2334</v>
      </c>
      <c r="K209" s="24" t="s">
        <v>2335</v>
      </c>
      <c r="L209" s="24" t="s">
        <v>2336</v>
      </c>
    </row>
    <row r="210" spans="5:12" ht="15" customHeight="1" x14ac:dyDescent="0.2">
      <c r="E210" s="230" t="s">
        <v>3080</v>
      </c>
      <c r="F210" s="230"/>
      <c r="G210" s="230"/>
      <c r="H210" s="230"/>
      <c r="I210" s="230"/>
      <c r="J210" s="230"/>
      <c r="K210" s="5" t="s">
        <v>2554</v>
      </c>
    </row>
    <row r="211" spans="5:12" ht="15" customHeight="1" x14ac:dyDescent="0.2">
      <c r="E211" s="25" t="str" cm="1">
        <f t="array" ref="E211:E213">FindInMap_byHadynWiseman("💚",$E$200:$J$204)</f>
        <v>G200</v>
      </c>
      <c r="K211" s="78" t="s">
        <v>1947</v>
      </c>
      <c r="L211" s="231" t="s">
        <v>3081</v>
      </c>
    </row>
    <row r="212" spans="5:12" ht="15" customHeight="1" x14ac:dyDescent="0.2">
      <c r="E212" s="96" t="str">
        <v>J201</v>
      </c>
      <c r="L212" s="231"/>
    </row>
    <row r="213" spans="5:12" ht="15" customHeight="1" x14ac:dyDescent="0.2">
      <c r="E213" s="96" t="str">
        <v>E203</v>
      </c>
      <c r="L213" s="231"/>
    </row>
    <row r="215" spans="5:12" ht="15" customHeight="1" x14ac:dyDescent="0.2">
      <c r="E215" s="230" t="s">
        <v>3082</v>
      </c>
      <c r="F215" s="230"/>
      <c r="G215" s="230"/>
      <c r="H215" s="230"/>
      <c r="I215" s="230"/>
      <c r="J215" s="230"/>
      <c r="K215" s="5" t="s">
        <v>2555</v>
      </c>
      <c r="L215" s="89" t="s">
        <v>3083</v>
      </c>
    </row>
    <row r="216" spans="5:12" ht="15" customHeight="1" x14ac:dyDescent="0.2">
      <c r="E216" s="25" t="str" cm="1">
        <f t="array" ref="E216">FindInMap_byHadynWiseman("S",$E$200:$J$204)</f>
        <v>H202</v>
      </c>
      <c r="K216" s="78"/>
    </row>
    <row r="218" spans="5:12" ht="15" customHeight="1" x14ac:dyDescent="0.2">
      <c r="E218" s="230" t="s">
        <v>3084</v>
      </c>
      <c r="F218" s="230"/>
      <c r="G218" s="230"/>
      <c r="H218" s="230"/>
      <c r="I218" s="230"/>
      <c r="J218" s="230"/>
      <c r="K218" s="5" t="s">
        <v>2556</v>
      </c>
    </row>
    <row r="219" spans="5:12" ht="15" customHeight="1" x14ac:dyDescent="0.2">
      <c r="E219" s="25" t="str" cm="1">
        <f t="array" ref="E219:E223">FindInMap_byHadynWiseman($E$207:$F$207,$E$200:$J$204)</f>
        <v>G200</v>
      </c>
      <c r="K219" s="78" t="s">
        <v>1944</v>
      </c>
      <c r="L219" s="231" t="s">
        <v>3085</v>
      </c>
    </row>
    <row r="220" spans="5:12" ht="15" customHeight="1" x14ac:dyDescent="0.2">
      <c r="E220" s="96" t="str">
        <v>F201</v>
      </c>
      <c r="L220" s="231"/>
    </row>
    <row r="221" spans="5:12" ht="15" customHeight="1" x14ac:dyDescent="0.2">
      <c r="E221" s="96" t="str">
        <v>J201</v>
      </c>
      <c r="L221" s="231"/>
    </row>
    <row r="222" spans="5:12" ht="15" customHeight="1" x14ac:dyDescent="0.2">
      <c r="E222" s="96" t="str">
        <v>E203</v>
      </c>
      <c r="L222" s="231"/>
    </row>
    <row r="223" spans="5:12" ht="15" customHeight="1" x14ac:dyDescent="0.2">
      <c r="E223" s="96" t="str">
        <v>I204</v>
      </c>
      <c r="L223" s="231"/>
    </row>
    <row r="225" spans="5:12" ht="15" customHeight="1" x14ac:dyDescent="0.2">
      <c r="E225" s="230" t="s">
        <v>3086</v>
      </c>
      <c r="F225" s="230"/>
      <c r="G225" s="230"/>
      <c r="H225" s="230"/>
      <c r="I225" s="230"/>
      <c r="J225" s="230"/>
      <c r="K225" s="5" t="s">
        <v>2557</v>
      </c>
      <c r="L225" s="89" t="s">
        <v>1362</v>
      </c>
    </row>
    <row r="226" spans="5:12" ht="15" customHeight="1" x14ac:dyDescent="0.2">
      <c r="E226" s="25" t="str" cm="1">
        <f t="array" ref="E226">FindInMap_byHadynWiseman("⭐",$E$200:$J$204)</f>
        <v>Not Found</v>
      </c>
      <c r="K226" s="78"/>
    </row>
    <row r="228" spans="5:12" ht="25.5" customHeight="1" x14ac:dyDescent="0.2">
      <c r="E228" s="152" t="s">
        <v>2558</v>
      </c>
      <c r="F228" s="152"/>
      <c r="G228" s="152"/>
      <c r="H228" s="152"/>
      <c r="I228" s="152"/>
      <c r="J228" s="152"/>
    </row>
    <row r="231" spans="5:12" ht="15.75" customHeight="1" x14ac:dyDescent="0.2">
      <c r="E231" s="159" t="s">
        <v>1052</v>
      </c>
      <c r="F231" s="159"/>
      <c r="G231" s="159"/>
      <c r="H231" s="159"/>
      <c r="I231" s="159"/>
      <c r="J231" s="159"/>
      <c r="K231" s="159"/>
      <c r="L231" s="159"/>
    </row>
    <row r="232" spans="5:12" ht="25.5" customHeight="1" x14ac:dyDescent="0.2">
      <c r="E232" s="152" t="s">
        <v>2559</v>
      </c>
      <c r="F232" s="149"/>
      <c r="G232" s="149"/>
      <c r="H232" s="149"/>
      <c r="I232" s="149"/>
      <c r="J232" s="149"/>
    </row>
    <row r="233" spans="5:12" ht="21.75" customHeight="1" x14ac:dyDescent="0.2">
      <c r="E233" s="147" t="s">
        <v>2560</v>
      </c>
      <c r="F233" s="147"/>
      <c r="G233" s="147"/>
      <c r="H233" s="147"/>
      <c r="I233" s="147"/>
      <c r="J233" s="147"/>
    </row>
    <row r="235" spans="5:12" ht="12.75" customHeight="1" x14ac:dyDescent="0.2">
      <c r="E235" s="22" t="s">
        <v>2561</v>
      </c>
    </row>
    <row r="236" spans="5:12" ht="15" customHeight="1" x14ac:dyDescent="0.2">
      <c r="E236" s="94"/>
      <c r="F236" s="94"/>
      <c r="G236" s="94" t="s">
        <v>2541</v>
      </c>
      <c r="H236" s="94"/>
      <c r="I236" s="94"/>
      <c r="J236" s="94"/>
    </row>
    <row r="237" spans="5:12" ht="15" customHeight="1" x14ac:dyDescent="0.2">
      <c r="E237" s="94"/>
      <c r="F237" s="94" t="s">
        <v>2552</v>
      </c>
      <c r="G237" s="94"/>
      <c r="H237" s="94"/>
      <c r="I237" s="94"/>
      <c r="J237" s="94" t="s">
        <v>2541</v>
      </c>
    </row>
    <row r="238" spans="5:12" ht="15" customHeight="1" x14ac:dyDescent="0.2">
      <c r="E238" s="94"/>
      <c r="F238" s="94"/>
      <c r="G238" s="94"/>
      <c r="H238" s="94" t="s">
        <v>687</v>
      </c>
      <c r="I238" s="94"/>
      <c r="J238" s="94"/>
    </row>
    <row r="239" spans="5:12" ht="15" customHeight="1" x14ac:dyDescent="0.2">
      <c r="E239" s="94" t="s">
        <v>2541</v>
      </c>
      <c r="F239" s="94"/>
      <c r="G239" s="94"/>
      <c r="H239" s="94"/>
      <c r="I239" s="94"/>
      <c r="J239" s="94"/>
    </row>
    <row r="240" spans="5:12" ht="15" customHeight="1" x14ac:dyDescent="0.2">
      <c r="E240" s="94"/>
      <c r="F240" s="94"/>
      <c r="G240" s="94"/>
      <c r="H240" s="94"/>
      <c r="I240" s="94" t="s">
        <v>2552</v>
      </c>
      <c r="J240" s="94"/>
    </row>
    <row r="241" spans="5:12" ht="15.75" customHeight="1" x14ac:dyDescent="0.2"/>
    <row r="242" spans="5:12" ht="12.75" customHeight="1" x14ac:dyDescent="0.2">
      <c r="E242" s="22" t="s">
        <v>2334</v>
      </c>
      <c r="K242" s="24" t="s">
        <v>2335</v>
      </c>
      <c r="L242" s="24" t="s">
        <v>2336</v>
      </c>
    </row>
    <row r="243" spans="5:12" ht="15" customHeight="1" x14ac:dyDescent="0.2">
      <c r="E243" s="230" t="s">
        <v>3087</v>
      </c>
      <c r="F243" s="230"/>
      <c r="G243" s="230"/>
      <c r="H243" s="230"/>
      <c r="I243" s="230"/>
      <c r="J243" s="230"/>
      <c r="K243" s="5" t="s">
        <v>2562</v>
      </c>
    </row>
    <row r="244" spans="5:12" ht="15" customHeight="1" x14ac:dyDescent="0.2">
      <c r="E244" s="25" t="str" cm="1">
        <f t="array" ref="E244:G246">ClosestOnMap_byHadynWiseman($E$236:$J$240,"H238",5,"💚")</f>
        <v>💚</v>
      </c>
      <c r="F244" s="96" t="str">
        <v>G236</v>
      </c>
      <c r="G244" s="96">
        <v>2</v>
      </c>
      <c r="K244" s="78" t="s">
        <v>1952</v>
      </c>
      <c r="L244" s="231" t="s">
        <v>3088</v>
      </c>
    </row>
    <row r="245" spans="5:12" ht="15" customHeight="1" x14ac:dyDescent="0.2">
      <c r="E245" s="96" t="str">
        <v>💚</v>
      </c>
      <c r="F245" s="96" t="str">
        <v>J237</v>
      </c>
      <c r="G245" s="96">
        <v>2</v>
      </c>
      <c r="L245" s="231"/>
    </row>
    <row r="246" spans="5:12" ht="15" customHeight="1" x14ac:dyDescent="0.2">
      <c r="E246" s="96" t="str">
        <v>💚</v>
      </c>
      <c r="F246" s="96" t="str">
        <v>E239</v>
      </c>
      <c r="G246" s="96">
        <v>3</v>
      </c>
      <c r="L246" s="231"/>
    </row>
    <row r="248" spans="5:12" ht="15" customHeight="1" x14ac:dyDescent="0.2">
      <c r="E248" s="230" t="s">
        <v>3089</v>
      </c>
      <c r="F248" s="230"/>
      <c r="G248" s="230"/>
      <c r="H248" s="230"/>
      <c r="I248" s="230"/>
      <c r="J248" s="230"/>
      <c r="K248" s="5" t="s">
        <v>2563</v>
      </c>
    </row>
    <row r="249" spans="5:12" ht="15" customHeight="1" x14ac:dyDescent="0.2">
      <c r="E249" s="25" t="str" cm="1">
        <f t="array" ref="E249:G250">ClosestOnMap_byHadynWiseman($E$236:$J$240,"H238",2,"💚")</f>
        <v>💚</v>
      </c>
      <c r="F249" s="96" t="str">
        <v>G236</v>
      </c>
      <c r="G249" s="96">
        <v>2</v>
      </c>
      <c r="K249" s="78" t="s">
        <v>2001</v>
      </c>
      <c r="L249" s="231" t="s">
        <v>3090</v>
      </c>
    </row>
    <row r="250" spans="5:12" ht="15" customHeight="1" x14ac:dyDescent="0.2">
      <c r="E250" s="96" t="str">
        <v>💚</v>
      </c>
      <c r="F250" s="96" t="str">
        <v>J237</v>
      </c>
      <c r="G250" s="96">
        <v>2</v>
      </c>
      <c r="L250" s="231"/>
    </row>
    <row r="252" spans="5:12" ht="15" customHeight="1" x14ac:dyDescent="0.2">
      <c r="E252" s="230" t="s">
        <v>3091</v>
      </c>
      <c r="F252" s="230"/>
      <c r="G252" s="230"/>
      <c r="H252" s="230"/>
      <c r="I252" s="230"/>
      <c r="J252" s="230"/>
      <c r="K252" s="5" t="s">
        <v>2564</v>
      </c>
    </row>
    <row r="253" spans="5:12" ht="15" customHeight="1" x14ac:dyDescent="0.2">
      <c r="E253" s="25" t="str" cm="1">
        <f t="array" ref="E253:G257">ClosestOnMap_byHadynWiseman($E$236:$J$240,"H238",2)</f>
        <v>S</v>
      </c>
      <c r="F253" s="96" t="str">
        <v>H238</v>
      </c>
      <c r="G253" s="96">
        <v>0</v>
      </c>
      <c r="K253" s="78" t="s">
        <v>1950</v>
      </c>
      <c r="L253" s="231" t="s">
        <v>3092</v>
      </c>
    </row>
    <row r="254" spans="5:12" ht="15" customHeight="1" x14ac:dyDescent="0.2">
      <c r="E254" s="96" t="str">
        <v>💚</v>
      </c>
      <c r="F254" s="96" t="str">
        <v>G236</v>
      </c>
      <c r="G254" s="96">
        <v>2</v>
      </c>
      <c r="L254" s="231"/>
    </row>
    <row r="255" spans="5:12" ht="15" customHeight="1" x14ac:dyDescent="0.2">
      <c r="E255" s="96" t="str">
        <v>🍌</v>
      </c>
      <c r="F255" s="96" t="str">
        <v>F237</v>
      </c>
      <c r="G255" s="96">
        <v>2</v>
      </c>
      <c r="L255" s="231"/>
    </row>
    <row r="256" spans="5:12" ht="15" customHeight="1" x14ac:dyDescent="0.2">
      <c r="E256" s="96" t="str">
        <v>💚</v>
      </c>
      <c r="F256" s="96" t="str">
        <v>J237</v>
      </c>
      <c r="G256" s="96">
        <v>2</v>
      </c>
      <c r="L256" s="231"/>
    </row>
    <row r="257" spans="5:12" ht="15" customHeight="1" x14ac:dyDescent="0.2">
      <c r="E257" s="96" t="str">
        <v>🍌</v>
      </c>
      <c r="F257" s="96" t="str">
        <v>I240</v>
      </c>
      <c r="G257" s="96">
        <v>2</v>
      </c>
      <c r="L257" s="231"/>
    </row>
    <row r="259" spans="5:12" ht="21.75" customHeight="1" x14ac:dyDescent="0.2">
      <c r="E259" s="230" t="s">
        <v>3093</v>
      </c>
      <c r="F259" s="230"/>
      <c r="G259" s="230"/>
      <c r="H259" s="230"/>
      <c r="I259" s="230"/>
      <c r="J259" s="230"/>
      <c r="K259" s="5" t="s">
        <v>2565</v>
      </c>
    </row>
    <row r="260" spans="5:12" ht="15" customHeight="1" x14ac:dyDescent="0.2">
      <c r="E260" s="25" t="str" cm="1">
        <f t="array" ref="E260:G262">ClosestOnMap_byHadynWiseman($E$236:$J$240,"H238",5,"💚",_xlfn.LAMBDA(_xlpm.a,_xlpm.b,Distance_byHadynWiseman(_xlpm.a,_xlpm.b,1,1)))</f>
        <v>💚</v>
      </c>
      <c r="F260" s="96" t="str">
        <v>G236</v>
      </c>
      <c r="G260" s="96">
        <v>3</v>
      </c>
      <c r="K260" s="78" t="s">
        <v>1952</v>
      </c>
      <c r="L260" s="231" t="s">
        <v>3094</v>
      </c>
    </row>
    <row r="261" spans="5:12" ht="15" customHeight="1" x14ac:dyDescent="0.2">
      <c r="E261" s="96" t="str">
        <v>💚</v>
      </c>
      <c r="F261" s="96" t="str">
        <v>J237</v>
      </c>
      <c r="G261" s="96">
        <v>3</v>
      </c>
      <c r="L261" s="231"/>
    </row>
    <row r="262" spans="5:12" ht="15" customHeight="1" x14ac:dyDescent="0.2">
      <c r="E262" s="96" t="str">
        <v>💚</v>
      </c>
      <c r="F262" s="96" t="str">
        <v>E239</v>
      </c>
      <c r="G262" s="96">
        <v>4</v>
      </c>
      <c r="L262" s="231"/>
    </row>
    <row r="264" spans="5:12" ht="25.5" customHeight="1" x14ac:dyDescent="0.2">
      <c r="E264" s="152" t="s">
        <v>2566</v>
      </c>
      <c r="F264" s="152"/>
      <c r="G264" s="152"/>
      <c r="H264" s="152"/>
      <c r="I264" s="152"/>
      <c r="J264" s="152"/>
    </row>
    <row r="265" spans="5:12" ht="25.5" customHeight="1" x14ac:dyDescent="0.2">
      <c r="E265" s="156" t="s">
        <v>2567</v>
      </c>
      <c r="F265" s="157"/>
      <c r="G265" s="157"/>
      <c r="H265" s="157"/>
      <c r="I265" s="157"/>
      <c r="J265" s="158"/>
    </row>
    <row r="266" spans="5:12" ht="21.75" customHeight="1" x14ac:dyDescent="0.2">
      <c r="E266" s="147" t="s">
        <v>1484</v>
      </c>
      <c r="F266" s="147"/>
      <c r="G266" s="147"/>
      <c r="H266" s="147"/>
      <c r="I266" s="147"/>
      <c r="J266" s="147"/>
    </row>
    <row r="267" spans="5:12" ht="21.75" customHeight="1" x14ac:dyDescent="0.2"/>
    <row r="269" spans="5:12" ht="15.75" customHeight="1" x14ac:dyDescent="0.2">
      <c r="E269" s="159" t="s">
        <v>1058</v>
      </c>
      <c r="F269" s="159"/>
      <c r="G269" s="159"/>
      <c r="H269" s="159"/>
      <c r="I269" s="159"/>
      <c r="J269" s="159"/>
      <c r="K269" s="159"/>
      <c r="L269" s="159"/>
    </row>
    <row r="270" spans="5:12" ht="15" customHeight="1" x14ac:dyDescent="0.2">
      <c r="E270" s="152" t="s">
        <v>2572</v>
      </c>
      <c r="F270" s="149"/>
      <c r="G270" s="149"/>
      <c r="H270" s="149"/>
      <c r="I270" s="149"/>
      <c r="J270" s="149"/>
    </row>
    <row r="271" spans="5:12" ht="21.75" customHeight="1" x14ac:dyDescent="0.2">
      <c r="E271" s="147" t="s">
        <v>1059</v>
      </c>
      <c r="F271" s="147"/>
      <c r="G271" s="147"/>
      <c r="H271" s="147"/>
      <c r="I271" s="147"/>
      <c r="J271" s="147"/>
    </row>
    <row r="273" spans="5:12" ht="12.75" customHeight="1" x14ac:dyDescent="0.2">
      <c r="E273" s="22" t="s">
        <v>2573</v>
      </c>
    </row>
    <row r="274" spans="5:12" ht="15" customHeight="1" x14ac:dyDescent="0.2">
      <c r="E274" s="94" t="s">
        <v>665</v>
      </c>
      <c r="F274" s="94" t="s">
        <v>666</v>
      </c>
      <c r="G274" s="94" t="s">
        <v>667</v>
      </c>
      <c r="H274" s="94" t="s">
        <v>588</v>
      </c>
      <c r="I274" s="94" t="s">
        <v>590</v>
      </c>
    </row>
    <row r="275" spans="5:12" ht="15" customHeight="1" x14ac:dyDescent="0.2">
      <c r="E275" s="94" t="s">
        <v>691</v>
      </c>
      <c r="F275" s="94" t="s">
        <v>692</v>
      </c>
      <c r="G275" s="94" t="s">
        <v>693</v>
      </c>
      <c r="H275" s="94" t="s">
        <v>645</v>
      </c>
      <c r="I275" s="94" t="s">
        <v>694</v>
      </c>
    </row>
    <row r="276" spans="5:12" ht="15" customHeight="1" x14ac:dyDescent="0.2">
      <c r="E276" s="94" t="s">
        <v>695</v>
      </c>
      <c r="F276" s="94" t="s">
        <v>696</v>
      </c>
      <c r="G276" s="94" t="s">
        <v>2574</v>
      </c>
      <c r="H276" s="94" t="s">
        <v>2575</v>
      </c>
      <c r="I276" s="94" t="s">
        <v>586</v>
      </c>
    </row>
    <row r="277" spans="5:12" ht="15" customHeight="1" x14ac:dyDescent="0.2">
      <c r="E277" s="94" t="s">
        <v>1103</v>
      </c>
      <c r="F277" s="94" t="s">
        <v>640</v>
      </c>
      <c r="G277" s="94" t="s">
        <v>641</v>
      </c>
      <c r="H277" s="94" t="s">
        <v>2576</v>
      </c>
      <c r="I277" s="94" t="s">
        <v>642</v>
      </c>
    </row>
    <row r="278" spans="5:12" ht="15" customHeight="1" x14ac:dyDescent="0.2">
      <c r="E278" s="94" t="s">
        <v>644</v>
      </c>
      <c r="F278" s="94" t="s">
        <v>2577</v>
      </c>
      <c r="G278" s="94" t="s">
        <v>457</v>
      </c>
      <c r="H278" s="94" t="s">
        <v>453</v>
      </c>
      <c r="I278" s="94" t="s">
        <v>643</v>
      </c>
    </row>
    <row r="280" spans="5:12" ht="12.75" customHeight="1" x14ac:dyDescent="0.2">
      <c r="E280" s="22" t="s">
        <v>2334</v>
      </c>
      <c r="K280" s="24" t="s">
        <v>2335</v>
      </c>
      <c r="L280" s="24" t="s">
        <v>2336</v>
      </c>
    </row>
    <row r="281" spans="5:12" ht="21.75" customHeight="1" x14ac:dyDescent="0.2">
      <c r="E281" s="230" t="s">
        <v>3095</v>
      </c>
      <c r="F281" s="230"/>
      <c r="G281" s="230"/>
      <c r="H281" s="230"/>
      <c r="I281" s="230"/>
      <c r="J281" s="230"/>
      <c r="K281" s="5" t="s">
        <v>2578</v>
      </c>
    </row>
    <row r="282" spans="5:12" ht="15" customHeight="1" x14ac:dyDescent="0.2">
      <c r="E282" s="25" t="str" cm="1">
        <f t="array" ref="E282:G284">GetBlock_byJaqKennedy($E$274:$I$278,"G276",3,,,"-")</f>
        <v>g</v>
      </c>
      <c r="F282" s="96" t="str">
        <v>h</v>
      </c>
      <c r="G282" s="96" t="str">
        <v>i</v>
      </c>
      <c r="K282" s="78" t="s">
        <v>1952</v>
      </c>
      <c r="L282" s="231" t="s">
        <v>2579</v>
      </c>
    </row>
    <row r="283" spans="5:12" ht="15" customHeight="1" x14ac:dyDescent="0.2">
      <c r="E283" s="96" t="str">
        <v>l</v>
      </c>
      <c r="F283" s="96" t="str">
        <v>m</v>
      </c>
      <c r="G283" s="96" t="str">
        <v>n</v>
      </c>
      <c r="L283" s="231"/>
    </row>
    <row r="284" spans="5:12" ht="15" customHeight="1" x14ac:dyDescent="0.2">
      <c r="E284" s="96" t="str">
        <v>q</v>
      </c>
      <c r="F284" s="96" t="str">
        <v>r</v>
      </c>
      <c r="G284" s="96" t="str">
        <v>s</v>
      </c>
      <c r="L284" s="231"/>
    </row>
    <row r="286" spans="5:12" ht="15" customHeight="1" x14ac:dyDescent="0.2">
      <c r="E286" s="230" t="s">
        <v>3096</v>
      </c>
      <c r="F286" s="230"/>
      <c r="G286" s="230"/>
      <c r="H286" s="230"/>
      <c r="I286" s="230"/>
      <c r="J286" s="230"/>
      <c r="K286" s="5" t="s">
        <v>2580</v>
      </c>
    </row>
    <row r="287" spans="5:12" ht="15" customHeight="1" x14ac:dyDescent="0.2">
      <c r="E287" s="25" t="str" cm="1">
        <f t="array" ref="E287:G289">GetBlock_byJaqKennedy($E$274:$I$278,"G276",3,,"TL","-")</f>
        <v>m</v>
      </c>
      <c r="F287" s="96" t="str">
        <v>n</v>
      </c>
      <c r="G287" s="96" t="str">
        <v>o</v>
      </c>
      <c r="K287" s="78" t="s">
        <v>1952</v>
      </c>
      <c r="L287" s="231" t="s">
        <v>2581</v>
      </c>
    </row>
    <row r="288" spans="5:12" ht="15" customHeight="1" x14ac:dyDescent="0.2">
      <c r="E288" s="96" t="str">
        <v>r</v>
      </c>
      <c r="F288" s="96" t="str">
        <v>s</v>
      </c>
      <c r="G288" s="96" t="str">
        <v>t</v>
      </c>
      <c r="L288" s="231"/>
    </row>
    <row r="289" spans="5:12" ht="15" customHeight="1" x14ac:dyDescent="0.2">
      <c r="E289" s="96" t="str">
        <v>w</v>
      </c>
      <c r="F289" s="96" t="str">
        <v>x</v>
      </c>
      <c r="G289" s="96" t="str">
        <v>y</v>
      </c>
      <c r="L289" s="231"/>
    </row>
    <row r="291" spans="5:12" ht="15" customHeight="1" x14ac:dyDescent="0.2">
      <c r="E291" s="230" t="s">
        <v>3097</v>
      </c>
      <c r="F291" s="230"/>
      <c r="G291" s="230"/>
      <c r="H291" s="230"/>
      <c r="I291" s="230"/>
      <c r="J291" s="230"/>
      <c r="K291" s="5" t="s">
        <v>2582</v>
      </c>
    </row>
    <row r="292" spans="5:12" ht="15" customHeight="1" x14ac:dyDescent="0.2">
      <c r="E292" s="25" t="str" cm="1">
        <f t="array" ref="E292:G293">GetBlock_byJaqKennedy($E$274:$I$278,"G276",2,3,"TL","-")</f>
        <v>m</v>
      </c>
      <c r="F292" s="96" t="str">
        <v>n</v>
      </c>
      <c r="G292" s="96" t="str">
        <v>o</v>
      </c>
      <c r="K292" s="78" t="s">
        <v>2001</v>
      </c>
      <c r="L292" s="231" t="s">
        <v>2583</v>
      </c>
    </row>
    <row r="293" spans="5:12" ht="15" customHeight="1" x14ac:dyDescent="0.2">
      <c r="E293" s="96" t="str">
        <v>r</v>
      </c>
      <c r="F293" s="96" t="str">
        <v>s</v>
      </c>
      <c r="G293" s="96" t="str">
        <v>t</v>
      </c>
      <c r="L293" s="231"/>
    </row>
    <row r="295" spans="5:12" ht="21.75" customHeight="1" x14ac:dyDescent="0.2">
      <c r="E295" s="230" t="s">
        <v>3098</v>
      </c>
      <c r="F295" s="230"/>
      <c r="G295" s="230"/>
      <c r="H295" s="230"/>
      <c r="I295" s="230"/>
      <c r="J295" s="230"/>
      <c r="K295" s="5" t="s">
        <v>2584</v>
      </c>
      <c r="L295" s="89" t="s">
        <v>2585</v>
      </c>
    </row>
    <row r="296" spans="5:12" ht="15" customHeight="1" x14ac:dyDescent="0.2">
      <c r="E296" s="25" t="str" cm="1">
        <f t="array" ref="E296:G296">GetBlock_byJaqKennedy($E$274:$I$278,"G276",1,3,,"-")</f>
        <v>l</v>
      </c>
      <c r="F296" s="96" t="str">
        <v>m</v>
      </c>
      <c r="G296" s="96" t="str">
        <v>n</v>
      </c>
      <c r="K296" s="78" t="s">
        <v>1978</v>
      </c>
    </row>
    <row r="298" spans="5:12" ht="21.75" customHeight="1" x14ac:dyDescent="0.2">
      <c r="E298" s="230" t="s">
        <v>3099</v>
      </c>
      <c r="F298" s="230"/>
      <c r="G298" s="230"/>
      <c r="H298" s="230"/>
      <c r="I298" s="230"/>
      <c r="J298" s="230"/>
      <c r="K298" s="5" t="s">
        <v>2586</v>
      </c>
    </row>
    <row r="299" spans="5:12" ht="15" customHeight="1" x14ac:dyDescent="0.2">
      <c r="E299" s="25" t="str" cm="1">
        <f t="array" ref="E299:G301">GetBlock_byJaqKennedy($E$274:$I$278,"E274",3,,,"-")</f>
        <v>-</v>
      </c>
      <c r="F299" s="96" t="str">
        <v>-</v>
      </c>
      <c r="G299" s="96" t="str">
        <v>-</v>
      </c>
      <c r="K299" s="78" t="s">
        <v>1952</v>
      </c>
      <c r="L299" s="231" t="s">
        <v>2587</v>
      </c>
    </row>
    <row r="300" spans="5:12" ht="15" customHeight="1" x14ac:dyDescent="0.2">
      <c r="E300" s="96" t="str">
        <v>-</v>
      </c>
      <c r="F300" s="96" t="str">
        <v>a</v>
      </c>
      <c r="G300" s="96" t="str">
        <v>b</v>
      </c>
      <c r="L300" s="231"/>
    </row>
    <row r="301" spans="5:12" ht="15" customHeight="1" x14ac:dyDescent="0.2">
      <c r="E301" s="96" t="str">
        <v>-</v>
      </c>
      <c r="F301" s="96" t="str">
        <v>f</v>
      </c>
      <c r="G301" s="96" t="str">
        <v>g</v>
      </c>
      <c r="L301" s="231"/>
    </row>
    <row r="303" spans="5:12" ht="21.75" customHeight="1" x14ac:dyDescent="0.2">
      <c r="E303" s="230" t="s">
        <v>3100</v>
      </c>
      <c r="F303" s="230"/>
      <c r="G303" s="230"/>
      <c r="H303" s="230"/>
      <c r="I303" s="230"/>
      <c r="J303" s="230"/>
      <c r="K303" s="5" t="s">
        <v>2588</v>
      </c>
    </row>
    <row r="304" spans="5:12" ht="15" customHeight="1" x14ac:dyDescent="0.2">
      <c r="E304" s="25" t="str" cm="1">
        <f t="array" ref="E304:G306">GetBlock_byJaqKennedy($E$274:$I$278,"E274",3,,,"-",1)</f>
        <v>y</v>
      </c>
      <c r="F304" s="96" t="str">
        <v>u</v>
      </c>
      <c r="G304" s="96" t="str">
        <v>v</v>
      </c>
      <c r="K304" s="78" t="s">
        <v>1952</v>
      </c>
      <c r="L304" s="231" t="s">
        <v>2589</v>
      </c>
    </row>
    <row r="305" spans="5:12" ht="15" customHeight="1" x14ac:dyDescent="0.2">
      <c r="E305" s="96" t="str">
        <v>e</v>
      </c>
      <c r="F305" s="96" t="str">
        <v>a</v>
      </c>
      <c r="G305" s="96" t="str">
        <v>b</v>
      </c>
      <c r="L305" s="231"/>
    </row>
    <row r="306" spans="5:12" ht="15" customHeight="1" x14ac:dyDescent="0.2">
      <c r="E306" s="96" t="str">
        <v>j</v>
      </c>
      <c r="F306" s="96" t="str">
        <v>f</v>
      </c>
      <c r="G306" s="96" t="str">
        <v>g</v>
      </c>
      <c r="L306" s="231"/>
    </row>
    <row r="308" spans="5:12" ht="25.5" customHeight="1" x14ac:dyDescent="0.2">
      <c r="E308" s="152" t="s">
        <v>2590</v>
      </c>
      <c r="F308" s="152"/>
      <c r="G308" s="152"/>
      <c r="H308" s="152"/>
      <c r="I308" s="152"/>
      <c r="J308" s="152"/>
    </row>
    <row r="309" spans="5:12" ht="21.75" customHeight="1" x14ac:dyDescent="0.2">
      <c r="E309" s="147" t="s">
        <v>1487</v>
      </c>
      <c r="F309" s="147"/>
      <c r="G309" s="147"/>
      <c r="H309" s="147"/>
      <c r="I309" s="147"/>
      <c r="J309" s="147"/>
    </row>
    <row r="310" spans="5:12" ht="12.75" customHeight="1" x14ac:dyDescent="0.2"/>
    <row r="312" spans="5:12" ht="15.75" customHeight="1" x14ac:dyDescent="0.2">
      <c r="E312" s="159" t="s">
        <v>1049</v>
      </c>
      <c r="F312" s="159"/>
      <c r="G312" s="159"/>
      <c r="H312" s="159"/>
      <c r="I312" s="159"/>
      <c r="J312" s="159"/>
      <c r="K312" s="159"/>
      <c r="L312" s="159"/>
    </row>
    <row r="313" spans="5:12" ht="25.5" customHeight="1" x14ac:dyDescent="0.2">
      <c r="E313" s="152" t="s">
        <v>2591</v>
      </c>
      <c r="F313" s="149"/>
      <c r="G313" s="149"/>
      <c r="H313" s="149"/>
      <c r="I313" s="149"/>
      <c r="J313" s="149"/>
    </row>
    <row r="314" spans="5:12" ht="15" customHeight="1" x14ac:dyDescent="0.2">
      <c r="E314" s="147" t="s">
        <v>2592</v>
      </c>
      <c r="F314" s="147"/>
      <c r="G314" s="147"/>
      <c r="H314" s="147"/>
      <c r="I314" s="147"/>
      <c r="J314" s="147"/>
    </row>
    <row r="316" spans="5:12" ht="12.75" customHeight="1" x14ac:dyDescent="0.2">
      <c r="E316" s="22" t="s">
        <v>2593</v>
      </c>
    </row>
    <row r="317" spans="5:12" ht="15" customHeight="1" x14ac:dyDescent="0.2">
      <c r="E317" s="94"/>
      <c r="F317" s="94"/>
      <c r="G317" s="94"/>
      <c r="H317" s="94"/>
      <c r="I317" s="94" t="s">
        <v>453</v>
      </c>
      <c r="J317" s="94"/>
    </row>
    <row r="318" spans="5:12" ht="15" customHeight="1" x14ac:dyDescent="0.2">
      <c r="E318" s="94"/>
      <c r="F318" s="94" t="s">
        <v>453</v>
      </c>
      <c r="G318" s="94" t="s">
        <v>453</v>
      </c>
      <c r="H318" s="94"/>
      <c r="I318" s="94" t="s">
        <v>453</v>
      </c>
      <c r="J318" s="94"/>
    </row>
    <row r="319" spans="5:12" ht="15" customHeight="1" x14ac:dyDescent="0.2">
      <c r="E319" s="94"/>
      <c r="F319" s="94" t="s">
        <v>453</v>
      </c>
      <c r="G319" s="94"/>
      <c r="H319" s="94"/>
      <c r="I319" s="94"/>
      <c r="J319" s="94"/>
    </row>
    <row r="320" spans="5:12" ht="15" customHeight="1" x14ac:dyDescent="0.2">
      <c r="E320" s="94"/>
      <c r="F320" s="94" t="s">
        <v>453</v>
      </c>
      <c r="G320" s="94"/>
      <c r="H320" s="94" t="s">
        <v>453</v>
      </c>
      <c r="I320" s="94" t="s">
        <v>453</v>
      </c>
      <c r="J320" s="94" t="s">
        <v>453</v>
      </c>
    </row>
    <row r="321" spans="5:12" ht="15" customHeight="1" x14ac:dyDescent="0.2">
      <c r="E321" s="94"/>
      <c r="F321" s="94"/>
      <c r="G321" s="94"/>
      <c r="H321" s="94" t="s">
        <v>453</v>
      </c>
      <c r="I321" s="94"/>
      <c r="J321" s="94"/>
    </row>
    <row r="322" spans="5:12" ht="15" customHeight="1" x14ac:dyDescent="0.2">
      <c r="E322" s="94" t="s">
        <v>453</v>
      </c>
      <c r="F322" s="94" t="s">
        <v>453</v>
      </c>
      <c r="G322" s="94"/>
      <c r="H322" s="94" t="s">
        <v>453</v>
      </c>
      <c r="I322" s="94"/>
      <c r="J322" s="94"/>
    </row>
    <row r="324" spans="5:12" ht="12.75" customHeight="1" x14ac:dyDescent="0.2">
      <c r="E324" s="22" t="s">
        <v>2594</v>
      </c>
    </row>
    <row r="325" spans="5:12" ht="15" customHeight="1" x14ac:dyDescent="0.2">
      <c r="E325" s="94">
        <v>1</v>
      </c>
      <c r="F325" s="94">
        <v>1000000</v>
      </c>
    </row>
    <row r="327" spans="5:12" ht="12.75" customHeight="1" x14ac:dyDescent="0.2">
      <c r="E327" s="22" t="s">
        <v>2334</v>
      </c>
      <c r="K327" s="24" t="s">
        <v>2335</v>
      </c>
      <c r="L327" s="24" t="s">
        <v>2336</v>
      </c>
    </row>
    <row r="328" spans="5:12" ht="21.75" customHeight="1" x14ac:dyDescent="0.2">
      <c r="E328" s="230" t="s">
        <v>3101</v>
      </c>
      <c r="F328" s="230"/>
      <c r="G328" s="230"/>
      <c r="H328" s="230"/>
      <c r="I328" s="230"/>
      <c r="J328" s="230"/>
      <c r="K328" s="5" t="s">
        <v>2595</v>
      </c>
    </row>
    <row r="329" spans="5:12" ht="15" customHeight="1" x14ac:dyDescent="0.2">
      <c r="E329" s="25" cm="1">
        <f t="array" ref="E329:J334">Maze_byHadynWiseman($E$317:$J$322,"E317",,1,$E$317:$J$322&lt;&gt;"x")</f>
        <v>0</v>
      </c>
      <c r="F329" s="96">
        <v>1</v>
      </c>
      <c r="G329" s="96">
        <v>2</v>
      </c>
      <c r="H329" s="96">
        <v>3</v>
      </c>
      <c r="I329" s="96" t="str">
        <v/>
      </c>
      <c r="J329" s="96">
        <v>9</v>
      </c>
      <c r="K329" s="78" t="s">
        <v>2097</v>
      </c>
      <c r="L329" s="231" t="s">
        <v>2596</v>
      </c>
    </row>
    <row r="330" spans="5:12" ht="15" customHeight="1" x14ac:dyDescent="0.2">
      <c r="E330" s="96">
        <v>1</v>
      </c>
      <c r="F330" s="96" t="str">
        <v/>
      </c>
      <c r="G330" s="96" t="str">
        <v/>
      </c>
      <c r="H330" s="96">
        <v>4</v>
      </c>
      <c r="I330" s="96" t="str">
        <v/>
      </c>
      <c r="J330" s="96">
        <v>8</v>
      </c>
      <c r="L330" s="231"/>
    </row>
    <row r="331" spans="5:12" ht="15" customHeight="1" x14ac:dyDescent="0.2">
      <c r="E331" s="96">
        <v>2</v>
      </c>
      <c r="F331" s="96" t="str">
        <v/>
      </c>
      <c r="G331" s="96">
        <v>6</v>
      </c>
      <c r="H331" s="96">
        <v>5</v>
      </c>
      <c r="I331" s="96">
        <v>6</v>
      </c>
      <c r="J331" s="96">
        <v>7</v>
      </c>
      <c r="L331" s="231"/>
    </row>
    <row r="332" spans="5:12" ht="15" customHeight="1" x14ac:dyDescent="0.2">
      <c r="E332" s="96">
        <v>3</v>
      </c>
      <c r="F332" s="96" t="str">
        <v/>
      </c>
      <c r="G332" s="96">
        <v>7</v>
      </c>
      <c r="H332" s="96" t="str">
        <v/>
      </c>
      <c r="I332" s="96" t="str">
        <v/>
      </c>
      <c r="J332" s="96" t="str">
        <v/>
      </c>
      <c r="L332" s="231"/>
    </row>
    <row r="333" spans="5:12" ht="15" customHeight="1" x14ac:dyDescent="0.2">
      <c r="E333" s="96">
        <v>4</v>
      </c>
      <c r="F333" s="96">
        <v>5</v>
      </c>
      <c r="G333" s="96">
        <v>6</v>
      </c>
      <c r="H333" s="96" t="str">
        <v/>
      </c>
      <c r="I333" s="96" t="str">
        <v/>
      </c>
      <c r="J333" s="96" t="str">
        <v/>
      </c>
      <c r="L333" s="231"/>
    </row>
    <row r="334" spans="5:12" ht="15" customHeight="1" x14ac:dyDescent="0.2">
      <c r="E334" s="96" t="str">
        <v/>
      </c>
      <c r="F334" s="96" t="str">
        <v/>
      </c>
      <c r="G334" s="96">
        <v>7</v>
      </c>
      <c r="H334" s="96" t="str">
        <v/>
      </c>
      <c r="I334" s="96" t="str">
        <v/>
      </c>
      <c r="J334" s="96" t="str">
        <v/>
      </c>
      <c r="L334" s="231"/>
    </row>
    <row r="336" spans="5:12" ht="21.75" customHeight="1" x14ac:dyDescent="0.2">
      <c r="E336" s="230" t="s">
        <v>3102</v>
      </c>
      <c r="F336" s="230"/>
      <c r="G336" s="230"/>
      <c r="H336" s="230"/>
      <c r="I336" s="230"/>
      <c r="J336" s="230"/>
      <c r="K336" s="5" t="s">
        <v>2597</v>
      </c>
    </row>
    <row r="337" spans="5:12" ht="15" customHeight="1" x14ac:dyDescent="0.2">
      <c r="E337" s="25" cm="1">
        <f t="array" ref="E337:J342">Maze_byHadynWiseman($E$317:$J$322,"E317",,0,$E$317:$J$322&lt;&gt;"x")</f>
        <v>0</v>
      </c>
      <c r="F337" s="96">
        <v>1</v>
      </c>
      <c r="G337" s="96">
        <v>2</v>
      </c>
      <c r="H337" s="96">
        <v>3</v>
      </c>
      <c r="I337" s="96" t="str">
        <v/>
      </c>
      <c r="J337" s="96">
        <v>6</v>
      </c>
      <c r="K337" s="78" t="s">
        <v>2097</v>
      </c>
      <c r="L337" s="231" t="s">
        <v>2598</v>
      </c>
    </row>
    <row r="338" spans="5:12" ht="15" customHeight="1" x14ac:dyDescent="0.2">
      <c r="E338" s="96">
        <v>1</v>
      </c>
      <c r="F338" s="96" t="str">
        <v/>
      </c>
      <c r="G338" s="96" t="str">
        <v/>
      </c>
      <c r="H338" s="96">
        <v>3</v>
      </c>
      <c r="I338" s="96" t="str">
        <v/>
      </c>
      <c r="J338" s="96">
        <v>5</v>
      </c>
      <c r="L338" s="231"/>
    </row>
    <row r="339" spans="5:12" ht="15" customHeight="1" x14ac:dyDescent="0.2">
      <c r="E339" s="96">
        <v>2</v>
      </c>
      <c r="F339" s="96" t="str">
        <v/>
      </c>
      <c r="G339" s="96">
        <v>4</v>
      </c>
      <c r="H339" s="96">
        <v>4</v>
      </c>
      <c r="I339" s="96">
        <v>4</v>
      </c>
      <c r="J339" s="96">
        <v>5</v>
      </c>
      <c r="L339" s="231"/>
    </row>
    <row r="340" spans="5:12" ht="15" customHeight="1" x14ac:dyDescent="0.2">
      <c r="E340" s="96">
        <v>3</v>
      </c>
      <c r="F340" s="96" t="str">
        <v/>
      </c>
      <c r="G340" s="96">
        <v>5</v>
      </c>
      <c r="H340" s="96" t="str">
        <v/>
      </c>
      <c r="I340" s="96" t="str">
        <v/>
      </c>
      <c r="J340" s="96" t="str">
        <v/>
      </c>
      <c r="L340" s="231"/>
    </row>
    <row r="341" spans="5:12" ht="15" customHeight="1" x14ac:dyDescent="0.2">
      <c r="E341" s="96">
        <v>4</v>
      </c>
      <c r="F341" s="96">
        <v>4</v>
      </c>
      <c r="G341" s="96">
        <v>5</v>
      </c>
      <c r="H341" s="96" t="str">
        <v/>
      </c>
      <c r="I341" s="96" t="str">
        <v/>
      </c>
      <c r="J341" s="96" t="str">
        <v/>
      </c>
      <c r="L341" s="231"/>
    </row>
    <row r="342" spans="5:12" ht="15" customHeight="1" x14ac:dyDescent="0.2">
      <c r="E342" s="96" t="str">
        <v/>
      </c>
      <c r="F342" s="96" t="str">
        <v/>
      </c>
      <c r="G342" s="96">
        <v>5</v>
      </c>
      <c r="H342" s="96" t="str">
        <v/>
      </c>
      <c r="I342" s="96" t="str">
        <v/>
      </c>
      <c r="J342" s="96" t="str">
        <v/>
      </c>
      <c r="L342" s="231"/>
    </row>
    <row r="344" spans="5:12" ht="15" customHeight="1" x14ac:dyDescent="0.2">
      <c r="E344" s="230" t="s">
        <v>3103</v>
      </c>
      <c r="F344" s="230"/>
      <c r="G344" s="230"/>
      <c r="H344" s="230"/>
      <c r="I344" s="230"/>
      <c r="J344" s="230"/>
      <c r="K344" s="5" t="s">
        <v>2599</v>
      </c>
      <c r="L344" s="89" t="s">
        <v>2600</v>
      </c>
    </row>
    <row r="345" spans="5:12" ht="15" customHeight="1" x14ac:dyDescent="0.2">
      <c r="E345" s="25" cm="1">
        <f t="array" ref="E345">Maze_byHadynWiseman($E$317:$J$322,"E317","G322",1,$E$317:$J$322&lt;&gt;"x")</f>
        <v>7</v>
      </c>
      <c r="K345" s="78"/>
    </row>
    <row r="347" spans="5:12" ht="15" customHeight="1" x14ac:dyDescent="0.2">
      <c r="E347" s="230" t="s">
        <v>3104</v>
      </c>
      <c r="F347" s="230"/>
      <c r="G347" s="230"/>
      <c r="H347" s="230"/>
      <c r="I347" s="230"/>
      <c r="J347" s="230"/>
      <c r="K347" s="5" t="s">
        <v>2601</v>
      </c>
      <c r="L347" s="89" t="s">
        <v>2329</v>
      </c>
    </row>
    <row r="348" spans="5:12" ht="15" customHeight="1" x14ac:dyDescent="0.2">
      <c r="E348" s="25" t="str" cm="1">
        <f t="array" ref="E348">Maze_byHadynWiseman($E$317:$J$322,"E317","J322",1,$E$317:$J$322&lt;&gt;"x")</f>
        <v>OOB</v>
      </c>
      <c r="K348" s="78"/>
    </row>
    <row r="350" spans="5:12" ht="21.75" customHeight="1" x14ac:dyDescent="0.2">
      <c r="E350" s="230" t="s">
        <v>3105</v>
      </c>
      <c r="F350" s="230"/>
      <c r="G350" s="230"/>
      <c r="H350" s="230"/>
      <c r="I350" s="230"/>
      <c r="J350" s="230"/>
      <c r="K350" s="5" t="s">
        <v>2602</v>
      </c>
    </row>
    <row r="351" spans="5:12" ht="15" customHeight="1" x14ac:dyDescent="0.2">
      <c r="E351" s="25" cm="1">
        <f t="array" ref="E351:J356">Maze_byHadynWiseman($E$317:$J$322,"E317",,1,$E$317:$J$322&lt;&gt;"x",$E$325:$F$325)</f>
        <v>0</v>
      </c>
      <c r="F351" s="96">
        <v>1</v>
      </c>
      <c r="G351" s="96">
        <v>2</v>
      </c>
      <c r="H351" s="96">
        <v>3</v>
      </c>
      <c r="I351" s="96" t="str">
        <v/>
      </c>
      <c r="J351" s="96" t="str">
        <v/>
      </c>
      <c r="K351" s="78" t="s">
        <v>2097</v>
      </c>
      <c r="L351" s="231" t="s">
        <v>2603</v>
      </c>
    </row>
    <row r="352" spans="5:12" ht="15" customHeight="1" x14ac:dyDescent="0.2">
      <c r="E352" s="96">
        <v>1</v>
      </c>
      <c r="F352" s="96" t="str">
        <v/>
      </c>
      <c r="G352" s="96" t="str">
        <v/>
      </c>
      <c r="H352" s="96">
        <v>4</v>
      </c>
      <c r="I352" s="96" t="str">
        <v/>
      </c>
      <c r="J352" s="96" t="str">
        <v/>
      </c>
      <c r="L352" s="231"/>
    </row>
    <row r="353" spans="5:12" ht="15" customHeight="1" x14ac:dyDescent="0.2">
      <c r="E353" s="96">
        <v>2</v>
      </c>
      <c r="F353" s="96" t="str">
        <v/>
      </c>
      <c r="G353" s="96" t="str">
        <v/>
      </c>
      <c r="H353" s="96">
        <v>5</v>
      </c>
      <c r="I353" s="96">
        <v>6</v>
      </c>
      <c r="J353" s="96">
        <v>7</v>
      </c>
      <c r="L353" s="231"/>
    </row>
    <row r="354" spans="5:12" ht="15" customHeight="1" x14ac:dyDescent="0.2">
      <c r="E354" s="96">
        <v>3</v>
      </c>
      <c r="F354" s="96" t="str">
        <v/>
      </c>
      <c r="G354" s="96" t="str">
        <v/>
      </c>
      <c r="H354" s="96" t="str">
        <v/>
      </c>
      <c r="I354" s="96" t="str">
        <v/>
      </c>
      <c r="J354" s="96" t="str">
        <v/>
      </c>
      <c r="L354" s="231"/>
    </row>
    <row r="355" spans="5:12" ht="15" customHeight="1" x14ac:dyDescent="0.2">
      <c r="E355" s="96">
        <v>4</v>
      </c>
      <c r="F355" s="96">
        <v>5</v>
      </c>
      <c r="G355" s="96">
        <v>6</v>
      </c>
      <c r="H355" s="96" t="str">
        <v/>
      </c>
      <c r="I355" s="96" t="str">
        <v/>
      </c>
      <c r="J355" s="96" t="str">
        <v/>
      </c>
      <c r="L355" s="231"/>
    </row>
    <row r="356" spans="5:12" ht="15" customHeight="1" x14ac:dyDescent="0.2">
      <c r="E356" s="96" t="str">
        <v/>
      </c>
      <c r="F356" s="96" t="str">
        <v/>
      </c>
      <c r="G356" s="96">
        <v>7</v>
      </c>
      <c r="H356" s="96" t="str">
        <v/>
      </c>
      <c r="I356" s="96" t="str">
        <v/>
      </c>
      <c r="J356" s="96" t="str">
        <v/>
      </c>
      <c r="L356" s="231"/>
    </row>
    <row r="358" spans="5:12" ht="15" customHeight="1" x14ac:dyDescent="0.2">
      <c r="E358" s="152" t="s">
        <v>2604</v>
      </c>
      <c r="F358" s="152"/>
      <c r="G358" s="152"/>
      <c r="H358" s="152"/>
      <c r="I358" s="152"/>
      <c r="J358" s="152"/>
    </row>
    <row r="359" spans="5:12" ht="25.5" customHeight="1" x14ac:dyDescent="0.2">
      <c r="E359" s="156" t="s">
        <v>2605</v>
      </c>
      <c r="F359" s="157"/>
      <c r="G359" s="157"/>
      <c r="H359" s="157"/>
      <c r="I359" s="157"/>
      <c r="J359" s="158"/>
    </row>
    <row r="360" spans="5:12" ht="21.75" customHeight="1" x14ac:dyDescent="0.2">
      <c r="E360" s="147" t="s">
        <v>2606</v>
      </c>
      <c r="F360" s="147"/>
      <c r="G360" s="147"/>
      <c r="H360" s="147"/>
      <c r="I360" s="147"/>
      <c r="J360" s="147"/>
    </row>
    <row r="363" spans="5:12" ht="15.75" customHeight="1" x14ac:dyDescent="0.2">
      <c r="E363" s="159" t="s">
        <v>1053</v>
      </c>
      <c r="F363" s="159"/>
      <c r="G363" s="159"/>
      <c r="H363" s="159"/>
      <c r="I363" s="159"/>
      <c r="J363" s="159"/>
      <c r="K363" s="159"/>
      <c r="L363" s="159"/>
    </row>
    <row r="364" spans="5:12" ht="15" customHeight="1" x14ac:dyDescent="0.2">
      <c r="E364" s="152" t="s">
        <v>2607</v>
      </c>
      <c r="F364" s="149"/>
      <c r="G364" s="149"/>
      <c r="H364" s="149"/>
      <c r="I364" s="149"/>
      <c r="J364" s="149"/>
    </row>
    <row r="365" spans="5:12" ht="21.75" customHeight="1" x14ac:dyDescent="0.2">
      <c r="E365" s="147" t="s">
        <v>2608</v>
      </c>
      <c r="F365" s="147"/>
      <c r="G365" s="147"/>
      <c r="H365" s="147"/>
      <c r="I365" s="147"/>
      <c r="J365" s="147"/>
    </row>
    <row r="367" spans="5:12" ht="12.75" customHeight="1" x14ac:dyDescent="0.2">
      <c r="E367" s="22" t="s">
        <v>2609</v>
      </c>
    </row>
    <row r="368" spans="5:12" ht="15" customHeight="1" x14ac:dyDescent="0.2">
      <c r="E368" s="94"/>
      <c r="F368" s="94"/>
      <c r="G368" s="94"/>
      <c r="H368" s="94"/>
      <c r="I368" s="94"/>
      <c r="J368" s="94"/>
    </row>
    <row r="369" spans="5:12" ht="15" customHeight="1" x14ac:dyDescent="0.2">
      <c r="E369" s="94"/>
      <c r="F369" s="94"/>
      <c r="G369" s="94"/>
      <c r="H369" s="94"/>
      <c r="I369" s="94"/>
      <c r="J369" s="94"/>
    </row>
    <row r="370" spans="5:12" ht="15" customHeight="1" x14ac:dyDescent="0.2">
      <c r="E370" s="94"/>
      <c r="F370" s="94"/>
      <c r="G370" s="94"/>
      <c r="H370" s="94"/>
      <c r="I370" s="94"/>
      <c r="J370" s="94"/>
    </row>
    <row r="371" spans="5:12" ht="15" customHeight="1" x14ac:dyDescent="0.2">
      <c r="E371" s="94"/>
      <c r="F371" s="94"/>
      <c r="G371" s="94" t="s">
        <v>453</v>
      </c>
      <c r="H371" s="94" t="s">
        <v>453</v>
      </c>
      <c r="I371" s="94"/>
      <c r="J371" s="94"/>
    </row>
    <row r="372" spans="5:12" ht="15" customHeight="1" x14ac:dyDescent="0.2">
      <c r="E372" s="94"/>
      <c r="F372" s="94"/>
      <c r="G372" s="94"/>
      <c r="H372" s="94"/>
      <c r="I372" s="94"/>
      <c r="J372" s="94"/>
    </row>
    <row r="374" spans="5:12" ht="12.75" customHeight="1" x14ac:dyDescent="0.2">
      <c r="E374" s="22" t="s">
        <v>2334</v>
      </c>
      <c r="K374" s="24" t="s">
        <v>2335</v>
      </c>
      <c r="L374" s="24" t="s">
        <v>2336</v>
      </c>
    </row>
    <row r="375" spans="5:12" ht="15" customHeight="1" x14ac:dyDescent="0.2">
      <c r="E375" s="230" t="s">
        <v>3106</v>
      </c>
      <c r="F375" s="230"/>
      <c r="G375" s="230"/>
      <c r="H375" s="230"/>
      <c r="I375" s="230"/>
      <c r="J375" s="230"/>
      <c r="K375" s="5" t="s">
        <v>2610</v>
      </c>
      <c r="L375" s="89" t="s">
        <v>3107</v>
      </c>
    </row>
    <row r="376" spans="5:12" ht="15" customHeight="1" x14ac:dyDescent="0.2">
      <c r="E376" s="25" t="str" cm="1">
        <f t="array" ref="E376">MoveOnMap_byHadynWiseman("E368","→",2)</f>
        <v>G368</v>
      </c>
      <c r="K376" s="78"/>
    </row>
    <row r="378" spans="5:12" ht="15" customHeight="1" x14ac:dyDescent="0.2">
      <c r="E378" s="230" t="s">
        <v>3108</v>
      </c>
      <c r="F378" s="230"/>
      <c r="G378" s="230"/>
      <c r="H378" s="230"/>
      <c r="I378" s="230"/>
      <c r="J378" s="230"/>
      <c r="K378" s="5" t="s">
        <v>2611</v>
      </c>
    </row>
    <row r="379" spans="5:12" ht="15" customHeight="1" x14ac:dyDescent="0.2">
      <c r="E379" s="25" t="str" cm="1">
        <f t="array" ref="E379:E381">MoveOnMap_byHadynWiseman("E368","→",2,,1)</f>
        <v>E368</v>
      </c>
      <c r="K379" s="78" t="s">
        <v>1947</v>
      </c>
      <c r="L379" s="231" t="s">
        <v>3109</v>
      </c>
    </row>
    <row r="380" spans="5:12" ht="15" customHeight="1" x14ac:dyDescent="0.2">
      <c r="E380" s="96" t="str">
        <v>F368</v>
      </c>
      <c r="L380" s="231"/>
    </row>
    <row r="381" spans="5:12" ht="15" customHeight="1" x14ac:dyDescent="0.2">
      <c r="E381" s="96" t="str">
        <v>G368</v>
      </c>
      <c r="L381" s="231"/>
    </row>
    <row r="383" spans="5:12" ht="21.75" customHeight="1" x14ac:dyDescent="0.2">
      <c r="E383" s="230" t="s">
        <v>3110</v>
      </c>
      <c r="F383" s="230"/>
      <c r="G383" s="230"/>
      <c r="H383" s="230"/>
      <c r="I383" s="230"/>
      <c r="J383" s="230"/>
      <c r="K383" s="5" t="s">
        <v>2612</v>
      </c>
    </row>
    <row r="384" spans="5:12" ht="15" customHeight="1" x14ac:dyDescent="0.2">
      <c r="E384" s="25" t="str" cm="1">
        <f t="array" ref="E384:E386">MoveOnMap_byHadynWiseman("E368","↘",5,$E$368:$J$372,1,1,,,,,$E$368:$J$372&lt;&gt;"x")</f>
        <v>E368</v>
      </c>
      <c r="K384" s="78" t="s">
        <v>1947</v>
      </c>
      <c r="L384" s="231" t="s">
        <v>3111</v>
      </c>
    </row>
    <row r="385" spans="5:12" ht="15" customHeight="1" x14ac:dyDescent="0.2">
      <c r="E385" s="96" t="str">
        <v>F369</v>
      </c>
      <c r="L385" s="231"/>
    </row>
    <row r="386" spans="5:12" ht="15" customHeight="1" x14ac:dyDescent="0.2">
      <c r="E386" s="96" t="str">
        <v>G370</v>
      </c>
      <c r="L386" s="231"/>
    </row>
    <row r="388" spans="5:12" ht="21.75" customHeight="1" x14ac:dyDescent="0.2">
      <c r="E388" s="230" t="s">
        <v>3112</v>
      </c>
      <c r="F388" s="230"/>
      <c r="G388" s="230"/>
      <c r="H388" s="230"/>
      <c r="I388" s="230"/>
      <c r="J388" s="230"/>
      <c r="K388" s="5" t="s">
        <v>2613</v>
      </c>
    </row>
    <row r="389" spans="5:12" ht="15" customHeight="1" x14ac:dyDescent="0.2">
      <c r="E389" s="25" t="str" cm="1">
        <f t="array" ref="E389:E394">MoveOnMap_byHadynWiseman("E368","↘",5,$E$368:$J$372,1,,1,,,,$E$368:$J$372&lt;&gt;"x")</f>
        <v>E368</v>
      </c>
      <c r="K389" s="78" t="s">
        <v>1942</v>
      </c>
      <c r="L389" s="231" t="s">
        <v>3113</v>
      </c>
    </row>
    <row r="390" spans="5:12" ht="15" customHeight="1" x14ac:dyDescent="0.2">
      <c r="E390" s="96" t="str">
        <v>F369</v>
      </c>
      <c r="L390" s="231"/>
    </row>
    <row r="391" spans="5:12" ht="15" customHeight="1" x14ac:dyDescent="0.2">
      <c r="E391" s="96" t="str">
        <v>G370</v>
      </c>
      <c r="L391" s="231"/>
    </row>
    <row r="392" spans="5:12" ht="15" customHeight="1" x14ac:dyDescent="0.2">
      <c r="E392" s="96" t="str">
        <v>H370</v>
      </c>
      <c r="L392" s="231"/>
    </row>
    <row r="393" spans="5:12" ht="15" customHeight="1" x14ac:dyDescent="0.2">
      <c r="E393" s="96" t="str">
        <v>I371</v>
      </c>
      <c r="L393" s="231"/>
    </row>
    <row r="394" spans="5:12" ht="15" customHeight="1" x14ac:dyDescent="0.2">
      <c r="E394" s="96" t="str">
        <v>J372</v>
      </c>
      <c r="L394" s="231"/>
    </row>
    <row r="396" spans="5:12" ht="21.75" customHeight="1" x14ac:dyDescent="0.2">
      <c r="E396" s="230" t="s">
        <v>3114</v>
      </c>
      <c r="F396" s="230"/>
      <c r="G396" s="230"/>
      <c r="H396" s="230"/>
      <c r="I396" s="230"/>
      <c r="J396" s="230"/>
      <c r="K396" s="5" t="s">
        <v>2614</v>
      </c>
    </row>
    <row r="397" spans="5:12" ht="15" customHeight="1" x14ac:dyDescent="0.2">
      <c r="E397" s="25" t="str" cm="1">
        <f t="array" ref="E397:E402">MoveOnMap_byHadynWiseman("E368","↘",5,$E$368:$J$372,1,,,1,,,$E$368:$J$372&lt;&gt;"x")</f>
        <v>E368</v>
      </c>
      <c r="K397" s="78" t="s">
        <v>1942</v>
      </c>
      <c r="L397" s="231" t="s">
        <v>3115</v>
      </c>
    </row>
    <row r="398" spans="5:12" ht="15" customHeight="1" x14ac:dyDescent="0.2">
      <c r="E398" s="96" t="str">
        <v>F369</v>
      </c>
      <c r="L398" s="231"/>
    </row>
    <row r="399" spans="5:12" ht="15" customHeight="1" x14ac:dyDescent="0.2">
      <c r="E399" s="96" t="str">
        <v>G370</v>
      </c>
      <c r="L399" s="231"/>
    </row>
    <row r="400" spans="5:12" ht="15" customHeight="1" x14ac:dyDescent="0.2">
      <c r="E400" s="96" t="str">
        <v>H369</v>
      </c>
      <c r="L400" s="231"/>
    </row>
    <row r="401" spans="5:12" ht="15" customHeight="1" x14ac:dyDescent="0.2">
      <c r="E401" s="96" t="str">
        <v>I368</v>
      </c>
      <c r="L401" s="231"/>
    </row>
    <row r="402" spans="5:12" ht="15" customHeight="1" x14ac:dyDescent="0.2">
      <c r="E402" s="96" t="str">
        <v>J369</v>
      </c>
      <c r="L402" s="231"/>
    </row>
    <row r="404" spans="5:12" ht="21.75" customHeight="1" x14ac:dyDescent="0.2">
      <c r="E404" s="230" t="s">
        <v>3116</v>
      </c>
      <c r="F404" s="230"/>
      <c r="G404" s="230"/>
      <c r="H404" s="230"/>
      <c r="I404" s="230"/>
      <c r="J404" s="230"/>
      <c r="K404" s="5" t="s">
        <v>2615</v>
      </c>
    </row>
    <row r="405" spans="5:12" ht="15" customHeight="1" x14ac:dyDescent="0.2">
      <c r="E405" s="25" t="str" cm="1">
        <f t="array" ref="E405:E413">MoveOnMap_byHadynWiseman("E369","→",8,$E$368:$J$372,1,,,,1)</f>
        <v>E369</v>
      </c>
      <c r="K405" s="78" t="s">
        <v>2406</v>
      </c>
      <c r="L405" s="231" t="s">
        <v>3117</v>
      </c>
    </row>
    <row r="406" spans="5:12" ht="15" customHeight="1" x14ac:dyDescent="0.2">
      <c r="E406" s="96" t="str">
        <v>F369</v>
      </c>
      <c r="L406" s="231"/>
    </row>
    <row r="407" spans="5:12" ht="15" customHeight="1" x14ac:dyDescent="0.2">
      <c r="E407" s="96" t="str">
        <v>G369</v>
      </c>
      <c r="L407" s="231"/>
    </row>
    <row r="408" spans="5:12" ht="15" customHeight="1" x14ac:dyDescent="0.2">
      <c r="E408" s="96" t="str">
        <v>H369</v>
      </c>
      <c r="L408" s="231"/>
    </row>
    <row r="409" spans="5:12" ht="15" customHeight="1" x14ac:dyDescent="0.2">
      <c r="E409" s="96" t="str">
        <v>I369</v>
      </c>
      <c r="L409" s="231"/>
    </row>
    <row r="410" spans="5:12" ht="15" customHeight="1" x14ac:dyDescent="0.2">
      <c r="E410" s="96" t="str">
        <v>J369</v>
      </c>
      <c r="L410" s="231"/>
    </row>
    <row r="411" spans="5:12" ht="15" customHeight="1" x14ac:dyDescent="0.2">
      <c r="E411" s="96" t="str">
        <v>E369</v>
      </c>
      <c r="L411" s="231"/>
    </row>
    <row r="412" spans="5:12" ht="15" customHeight="1" x14ac:dyDescent="0.2">
      <c r="E412" s="96" t="str">
        <v>F369</v>
      </c>
      <c r="L412" s="231"/>
    </row>
    <row r="413" spans="5:12" ht="15" customHeight="1" x14ac:dyDescent="0.2">
      <c r="E413" s="96" t="str">
        <v>G369</v>
      </c>
      <c r="L413" s="231"/>
    </row>
    <row r="415" spans="5:12" ht="21.75" customHeight="1" x14ac:dyDescent="0.2">
      <c r="E415" s="230" t="s">
        <v>3118</v>
      </c>
      <c r="F415" s="230"/>
      <c r="G415" s="230"/>
      <c r="H415" s="230"/>
      <c r="I415" s="230"/>
      <c r="J415" s="230"/>
      <c r="K415" s="5" t="s">
        <v>2616</v>
      </c>
    </row>
    <row r="416" spans="5:12" ht="15" customHeight="1" x14ac:dyDescent="0.2">
      <c r="E416" s="25" t="str" cm="1">
        <f t="array" ref="E416:G421">MoveOnMap_byHadynWiseman("E368","↘",5,$E$368:$J$372,1,,,1,,,$E$368:$J$372&lt;&gt;"x",1)</f>
        <v>E368</v>
      </c>
      <c r="F416" s="96" t="str">
        <v>↘</v>
      </c>
      <c r="G416" s="96" t="str">
        <v>↘</v>
      </c>
      <c r="K416" s="78" t="s">
        <v>2101</v>
      </c>
      <c r="L416" s="231" t="s">
        <v>3119</v>
      </c>
    </row>
    <row r="417" spans="5:12" ht="15" customHeight="1" x14ac:dyDescent="0.2">
      <c r="E417" s="96" t="str">
        <v>F369</v>
      </c>
      <c r="F417" s="96" t="str">
        <v>↘</v>
      </c>
      <c r="G417" s="96" t="str">
        <v>↘</v>
      </c>
      <c r="L417" s="231"/>
    </row>
    <row r="418" spans="5:12" ht="15" customHeight="1" x14ac:dyDescent="0.2">
      <c r="E418" s="96" t="str">
        <v>G370</v>
      </c>
      <c r="F418" s="96" t="str">
        <v>↘</v>
      </c>
      <c r="G418" s="96" t="str">
        <v>↗</v>
      </c>
      <c r="L418" s="231"/>
    </row>
    <row r="419" spans="5:12" ht="15" customHeight="1" x14ac:dyDescent="0.2">
      <c r="E419" s="96" t="str">
        <v>H369</v>
      </c>
      <c r="F419" s="96" t="str">
        <v>↗</v>
      </c>
      <c r="G419" s="96" t="str">
        <v>↗</v>
      </c>
      <c r="L419" s="231"/>
    </row>
    <row r="420" spans="5:12" ht="15" customHeight="1" x14ac:dyDescent="0.2">
      <c r="E420" s="96" t="str">
        <v>I368</v>
      </c>
      <c r="F420" s="96" t="str">
        <v>↗</v>
      </c>
      <c r="G420" s="96" t="str">
        <v>↘</v>
      </c>
      <c r="L420" s="231"/>
    </row>
    <row r="421" spans="5:12" ht="15" customHeight="1" x14ac:dyDescent="0.2">
      <c r="E421" s="96" t="str">
        <v>J369</v>
      </c>
      <c r="F421" s="96">
        <v>0</v>
      </c>
      <c r="G421" s="96">
        <v>0</v>
      </c>
      <c r="L421" s="231"/>
    </row>
    <row r="423" spans="5:12" ht="25.5" customHeight="1" x14ac:dyDescent="0.2">
      <c r="E423" s="152" t="s">
        <v>2617</v>
      </c>
      <c r="F423" s="152"/>
      <c r="G423" s="152"/>
      <c r="H423" s="152"/>
      <c r="I423" s="152"/>
      <c r="J423" s="152"/>
    </row>
    <row r="424" spans="5:12" ht="25.5" customHeight="1" x14ac:dyDescent="0.2">
      <c r="E424" s="156" t="s">
        <v>2618</v>
      </c>
      <c r="F424" s="157"/>
      <c r="G424" s="157"/>
      <c r="H424" s="157"/>
      <c r="I424" s="157"/>
      <c r="J424" s="158"/>
    </row>
    <row r="425" spans="5:12" ht="15" customHeight="1" x14ac:dyDescent="0.2">
      <c r="E425" s="147" t="s">
        <v>1485</v>
      </c>
      <c r="F425" s="147"/>
      <c r="G425" s="147"/>
      <c r="H425" s="147"/>
      <c r="I425" s="147"/>
      <c r="J425" s="147"/>
    </row>
    <row r="428" spans="5:12" ht="15.75" customHeight="1" x14ac:dyDescent="0.2">
      <c r="E428" s="159" t="s">
        <v>1050</v>
      </c>
      <c r="F428" s="159"/>
      <c r="G428" s="159"/>
      <c r="H428" s="159"/>
      <c r="I428" s="159"/>
      <c r="J428" s="159"/>
      <c r="K428" s="159"/>
      <c r="L428" s="159"/>
    </row>
    <row r="429" spans="5:12" ht="25.5" customHeight="1" x14ac:dyDescent="0.2">
      <c r="E429" s="152" t="s">
        <v>2619</v>
      </c>
      <c r="F429" s="149"/>
      <c r="G429" s="149"/>
      <c r="H429" s="149"/>
      <c r="I429" s="149"/>
      <c r="J429" s="149"/>
    </row>
    <row r="430" spans="5:12" ht="21.75" customHeight="1" x14ac:dyDescent="0.2">
      <c r="E430" s="147" t="s">
        <v>2620</v>
      </c>
      <c r="F430" s="147"/>
      <c r="G430" s="147"/>
      <c r="H430" s="147"/>
      <c r="I430" s="147"/>
      <c r="J430" s="147"/>
    </row>
    <row r="432" spans="5:12" ht="12.75" customHeight="1" x14ac:dyDescent="0.2">
      <c r="E432" s="22" t="s">
        <v>2621</v>
      </c>
    </row>
    <row r="433" spans="5:12" ht="15" customHeight="1" x14ac:dyDescent="0.2">
      <c r="E433" s="94">
        <v>1</v>
      </c>
      <c r="F433" s="94">
        <v>1</v>
      </c>
      <c r="G433" s="94">
        <v>1</v>
      </c>
      <c r="H433" s="94">
        <v>1</v>
      </c>
      <c r="I433" s="94">
        <v>1</v>
      </c>
    </row>
    <row r="434" spans="5:12" ht="15" customHeight="1" x14ac:dyDescent="0.2">
      <c r="E434" s="94">
        <v>1</v>
      </c>
      <c r="F434" s="94" t="s">
        <v>453</v>
      </c>
      <c r="G434" s="94">
        <v>7</v>
      </c>
      <c r="H434" s="94" t="s">
        <v>453</v>
      </c>
      <c r="I434" s="94">
        <v>1</v>
      </c>
    </row>
    <row r="435" spans="5:12" ht="15" customHeight="1" x14ac:dyDescent="0.2">
      <c r="E435" s="94">
        <v>1</v>
      </c>
      <c r="F435" s="94" t="s">
        <v>453</v>
      </c>
      <c r="G435" s="94">
        <v>1</v>
      </c>
      <c r="H435" s="94" t="s">
        <v>453</v>
      </c>
      <c r="I435" s="94">
        <v>1</v>
      </c>
    </row>
    <row r="436" spans="5:12" ht="15" customHeight="1" x14ac:dyDescent="0.2">
      <c r="E436" s="94">
        <v>1</v>
      </c>
      <c r="F436" s="94" t="s">
        <v>453</v>
      </c>
      <c r="G436" s="94">
        <v>1</v>
      </c>
      <c r="H436" s="94" t="s">
        <v>453</v>
      </c>
      <c r="I436" s="94">
        <v>1</v>
      </c>
    </row>
    <row r="437" spans="5:12" ht="15" customHeight="1" x14ac:dyDescent="0.2">
      <c r="E437" s="94">
        <v>1</v>
      </c>
      <c r="F437" s="94">
        <v>1</v>
      </c>
      <c r="G437" s="94">
        <v>1</v>
      </c>
      <c r="H437" s="94">
        <v>1</v>
      </c>
      <c r="I437" s="94">
        <v>1</v>
      </c>
    </row>
    <row r="439" spans="5:12" ht="12.75" customHeight="1" x14ac:dyDescent="0.2">
      <c r="E439" s="22" t="s">
        <v>2622</v>
      </c>
    </row>
    <row r="440" spans="5:12" ht="15" customHeight="1" x14ac:dyDescent="0.2">
      <c r="E440" s="94">
        <v>1999999</v>
      </c>
      <c r="F440" s="94">
        <v>2000001</v>
      </c>
      <c r="G440" s="94">
        <v>-1999999</v>
      </c>
      <c r="H440" s="94">
        <v>-2000001</v>
      </c>
    </row>
    <row r="441" spans="5:12" ht="15" customHeight="1" x14ac:dyDescent="0.2">
      <c r="E441" s="94">
        <v>999998</v>
      </c>
      <c r="F441" s="94">
        <v>1000002</v>
      </c>
      <c r="G441" s="94">
        <v>-999998</v>
      </c>
      <c r="H441" s="94">
        <v>-1000002</v>
      </c>
    </row>
    <row r="443" spans="5:12" ht="12.75" customHeight="1" x14ac:dyDescent="0.2">
      <c r="E443" s="22" t="s">
        <v>2334</v>
      </c>
      <c r="K443" s="24" t="s">
        <v>2335</v>
      </c>
      <c r="L443" s="24" t="s">
        <v>2336</v>
      </c>
    </row>
    <row r="444" spans="5:12" ht="21.75" customHeight="1" x14ac:dyDescent="0.2">
      <c r="E444" s="230" t="s">
        <v>3120</v>
      </c>
      <c r="F444" s="230"/>
      <c r="G444" s="230"/>
      <c r="H444" s="230"/>
      <c r="I444" s="230"/>
      <c r="J444" s="230"/>
      <c r="K444" s="5" t="s">
        <v>2623</v>
      </c>
    </row>
    <row r="445" spans="5:12" ht="15" customHeight="1" x14ac:dyDescent="0.2">
      <c r="E445" s="25" cm="1">
        <f t="array" ref="E445:I449">MazeDistance_byHadynWiseman($E$433:$I$437,"E433",,1,$E$433:$I$437&lt;&gt;"x")</f>
        <v>0</v>
      </c>
      <c r="F445" s="96">
        <v>1</v>
      </c>
      <c r="G445" s="96">
        <v>2</v>
      </c>
      <c r="H445" s="96">
        <v>3</v>
      </c>
      <c r="I445" s="96">
        <v>4</v>
      </c>
      <c r="K445" s="78" t="s">
        <v>1988</v>
      </c>
      <c r="L445" s="231" t="s">
        <v>2624</v>
      </c>
    </row>
    <row r="446" spans="5:12" ht="15" customHeight="1" x14ac:dyDescent="0.2">
      <c r="E446" s="96">
        <v>1</v>
      </c>
      <c r="F446" s="96" t="str">
        <v/>
      </c>
      <c r="G446" s="96">
        <v>9</v>
      </c>
      <c r="H446" s="96" t="str">
        <v/>
      </c>
      <c r="I446" s="96">
        <v>5</v>
      </c>
      <c r="L446" s="231"/>
    </row>
    <row r="447" spans="5:12" ht="15" customHeight="1" x14ac:dyDescent="0.2">
      <c r="E447" s="96">
        <v>2</v>
      </c>
      <c r="F447" s="96" t="str">
        <v/>
      </c>
      <c r="G447" s="96">
        <v>8</v>
      </c>
      <c r="H447" s="96" t="str">
        <v/>
      </c>
      <c r="I447" s="96">
        <v>6</v>
      </c>
      <c r="L447" s="231"/>
    </row>
    <row r="448" spans="5:12" ht="15" customHeight="1" x14ac:dyDescent="0.2">
      <c r="E448" s="96">
        <v>3</v>
      </c>
      <c r="F448" s="96" t="str">
        <v/>
      </c>
      <c r="G448" s="96">
        <v>7</v>
      </c>
      <c r="H448" s="96" t="str">
        <v/>
      </c>
      <c r="I448" s="96">
        <v>7</v>
      </c>
      <c r="L448" s="231"/>
    </row>
    <row r="449" spans="5:12" ht="15" customHeight="1" x14ac:dyDescent="0.2">
      <c r="E449" s="96">
        <v>4</v>
      </c>
      <c r="F449" s="96">
        <v>5</v>
      </c>
      <c r="G449" s="96">
        <v>6</v>
      </c>
      <c r="H449" s="96">
        <v>7</v>
      </c>
      <c r="I449" s="96">
        <v>8</v>
      </c>
      <c r="L449" s="231"/>
    </row>
    <row r="451" spans="5:12" ht="21.75" customHeight="1" x14ac:dyDescent="0.2">
      <c r="E451" s="230" t="s">
        <v>3121</v>
      </c>
      <c r="F451" s="230"/>
      <c r="G451" s="230"/>
      <c r="H451" s="230"/>
      <c r="I451" s="230"/>
      <c r="J451" s="230"/>
      <c r="K451" s="5" t="s">
        <v>2625</v>
      </c>
    </row>
    <row r="452" spans="5:12" ht="15" customHeight="1" x14ac:dyDescent="0.2">
      <c r="E452" s="25" cm="1">
        <f t="array" ref="E452:I456">MazeDistance_byHadynWiseman($E$433:$I$437,"E433",,1,$E$433:$I$437&lt;&gt;"x",1)</f>
        <v>0</v>
      </c>
      <c r="F452" s="96">
        <v>1</v>
      </c>
      <c r="G452" s="96">
        <v>2</v>
      </c>
      <c r="H452" s="96">
        <v>3</v>
      </c>
      <c r="I452" s="96">
        <v>4</v>
      </c>
      <c r="K452" s="78" t="s">
        <v>1988</v>
      </c>
      <c r="L452" s="231" t="s">
        <v>2626</v>
      </c>
    </row>
    <row r="453" spans="5:12" ht="15" customHeight="1" x14ac:dyDescent="0.2">
      <c r="E453" s="96">
        <v>1</v>
      </c>
      <c r="F453" s="96" t="str">
        <v/>
      </c>
      <c r="G453" s="96">
        <v>3</v>
      </c>
      <c r="H453" s="96" t="str">
        <v/>
      </c>
      <c r="I453" s="96">
        <v>5</v>
      </c>
      <c r="L453" s="231"/>
    </row>
    <row r="454" spans="5:12" ht="15" customHeight="1" x14ac:dyDescent="0.2">
      <c r="E454" s="96">
        <v>2</v>
      </c>
      <c r="F454" s="96" t="str">
        <v/>
      </c>
      <c r="G454" s="96">
        <v>8</v>
      </c>
      <c r="H454" s="96" t="str">
        <v/>
      </c>
      <c r="I454" s="96">
        <v>6</v>
      </c>
      <c r="L454" s="231"/>
    </row>
    <row r="455" spans="5:12" ht="15" customHeight="1" x14ac:dyDescent="0.2">
      <c r="E455" s="96">
        <v>3</v>
      </c>
      <c r="F455" s="96" t="str">
        <v/>
      </c>
      <c r="G455" s="96">
        <v>7</v>
      </c>
      <c r="H455" s="96" t="str">
        <v/>
      </c>
      <c r="I455" s="96">
        <v>7</v>
      </c>
      <c r="L455" s="231"/>
    </row>
    <row r="456" spans="5:12" ht="15" customHeight="1" x14ac:dyDescent="0.2">
      <c r="E456" s="96">
        <v>4</v>
      </c>
      <c r="F456" s="96">
        <v>5</v>
      </c>
      <c r="G456" s="96">
        <v>6</v>
      </c>
      <c r="H456" s="96">
        <v>7</v>
      </c>
      <c r="I456" s="96">
        <v>8</v>
      </c>
      <c r="L456" s="231"/>
    </row>
    <row r="458" spans="5:12" ht="15" customHeight="1" x14ac:dyDescent="0.2">
      <c r="E458" s="230" t="s">
        <v>3122</v>
      </c>
      <c r="F458" s="230"/>
      <c r="G458" s="230"/>
      <c r="H458" s="230"/>
      <c r="I458" s="230"/>
      <c r="J458" s="230"/>
      <c r="K458" s="5" t="s">
        <v>2627</v>
      </c>
    </row>
    <row r="459" spans="5:12" ht="15" customHeight="1" x14ac:dyDescent="0.2">
      <c r="E459" s="25" cm="1">
        <f t="array" ref="E459:I463">MazeDistance_byHadynWiseman($E$433:$I$437,"E433",,0,$E$433:$I$437&lt;&gt;"x")</f>
        <v>0</v>
      </c>
      <c r="F459" s="96">
        <v>1</v>
      </c>
      <c r="G459" s="96">
        <v>2</v>
      </c>
      <c r="H459" s="96">
        <v>3</v>
      </c>
      <c r="I459" s="96">
        <v>4</v>
      </c>
      <c r="K459" s="78" t="s">
        <v>1988</v>
      </c>
      <c r="L459" s="231" t="s">
        <v>2628</v>
      </c>
    </row>
    <row r="460" spans="5:12" ht="15" customHeight="1" x14ac:dyDescent="0.2">
      <c r="E460" s="96">
        <v>1</v>
      </c>
      <c r="F460" s="96" t="str">
        <v/>
      </c>
      <c r="G460" s="96">
        <v>8</v>
      </c>
      <c r="H460" s="96" t="str">
        <v/>
      </c>
      <c r="I460" s="96">
        <v>4</v>
      </c>
      <c r="L460" s="231"/>
    </row>
    <row r="461" spans="5:12" ht="15" customHeight="1" x14ac:dyDescent="0.2">
      <c r="E461" s="96">
        <v>2</v>
      </c>
      <c r="F461" s="96" t="str">
        <v/>
      </c>
      <c r="G461" s="96">
        <v>6</v>
      </c>
      <c r="H461" s="96" t="str">
        <v/>
      </c>
      <c r="I461" s="96">
        <v>5</v>
      </c>
      <c r="L461" s="231"/>
    </row>
    <row r="462" spans="5:12" ht="15" customHeight="1" x14ac:dyDescent="0.2">
      <c r="E462" s="96">
        <v>3</v>
      </c>
      <c r="F462" s="96" t="str">
        <v/>
      </c>
      <c r="G462" s="96">
        <v>5</v>
      </c>
      <c r="H462" s="96" t="str">
        <v/>
      </c>
      <c r="I462" s="96">
        <v>6</v>
      </c>
      <c r="L462" s="231"/>
    </row>
    <row r="463" spans="5:12" ht="15" customHeight="1" x14ac:dyDescent="0.2">
      <c r="E463" s="96">
        <v>4</v>
      </c>
      <c r="F463" s="96">
        <v>4</v>
      </c>
      <c r="G463" s="96">
        <v>5</v>
      </c>
      <c r="H463" s="96">
        <v>6</v>
      </c>
      <c r="I463" s="96">
        <v>7</v>
      </c>
      <c r="L463" s="231"/>
    </row>
    <row r="465" spans="5:12" ht="15" customHeight="1" x14ac:dyDescent="0.2">
      <c r="E465" s="230" t="s">
        <v>3123</v>
      </c>
      <c r="F465" s="230"/>
      <c r="G465" s="230"/>
      <c r="H465" s="230"/>
      <c r="I465" s="230"/>
      <c r="J465" s="230"/>
      <c r="K465" s="5" t="s">
        <v>2629</v>
      </c>
      <c r="L465" s="89" t="s">
        <v>96</v>
      </c>
    </row>
    <row r="466" spans="5:12" ht="15" customHeight="1" x14ac:dyDescent="0.2">
      <c r="E466" s="25" cm="1">
        <f t="array" ref="E466">MazeDistance_byHadynWiseman($E$433:$I$437,"E433","I437",1,$E$433:$I$437&lt;&gt;"x")</f>
        <v>8</v>
      </c>
      <c r="K466" s="78"/>
    </row>
    <row r="468" spans="5:12" ht="21.75" customHeight="1" x14ac:dyDescent="0.2">
      <c r="E468" s="230" t="s">
        <v>3124</v>
      </c>
      <c r="F468" s="230"/>
      <c r="G468" s="230"/>
      <c r="H468" s="230"/>
      <c r="I468" s="230"/>
      <c r="J468" s="230"/>
      <c r="K468" s="5" t="s">
        <v>2630</v>
      </c>
    </row>
    <row r="469" spans="5:12" ht="15" customHeight="1" x14ac:dyDescent="0.2">
      <c r="E469" s="25" cm="1">
        <f t="array" ref="E469:I473">MazeDistance_byHadynWiseman($E$433:$I$437,_xlfn.VSTACK("E433","I437"),,1,$E$433:$I$437&lt;&gt;"x")</f>
        <v>0</v>
      </c>
      <c r="F469" s="96">
        <v>1</v>
      </c>
      <c r="G469" s="96">
        <v>2</v>
      </c>
      <c r="H469" s="96">
        <v>3</v>
      </c>
      <c r="I469" s="96">
        <v>4</v>
      </c>
      <c r="K469" s="78" t="s">
        <v>1988</v>
      </c>
      <c r="L469" s="231" t="s">
        <v>2631</v>
      </c>
    </row>
    <row r="470" spans="5:12" ht="15" customHeight="1" x14ac:dyDescent="0.2">
      <c r="E470" s="96">
        <v>1</v>
      </c>
      <c r="F470" s="96" t="str">
        <v/>
      </c>
      <c r="G470" s="96">
        <v>9</v>
      </c>
      <c r="H470" s="96" t="str">
        <v/>
      </c>
      <c r="I470" s="96">
        <v>3</v>
      </c>
      <c r="L470" s="231"/>
    </row>
    <row r="471" spans="5:12" ht="15" customHeight="1" x14ac:dyDescent="0.2">
      <c r="E471" s="96">
        <v>2</v>
      </c>
      <c r="F471" s="96" t="str">
        <v/>
      </c>
      <c r="G471" s="96">
        <v>4</v>
      </c>
      <c r="H471" s="96" t="str">
        <v/>
      </c>
      <c r="I471" s="96">
        <v>2</v>
      </c>
      <c r="L471" s="231"/>
    </row>
    <row r="472" spans="5:12" ht="15" customHeight="1" x14ac:dyDescent="0.2">
      <c r="E472" s="96">
        <v>3</v>
      </c>
      <c r="F472" s="96" t="str">
        <v/>
      </c>
      <c r="G472" s="96">
        <v>3</v>
      </c>
      <c r="H472" s="96" t="str">
        <v/>
      </c>
      <c r="I472" s="96">
        <v>1</v>
      </c>
      <c r="L472" s="231"/>
    </row>
    <row r="473" spans="5:12" ht="15" customHeight="1" x14ac:dyDescent="0.2">
      <c r="E473" s="96">
        <v>4</v>
      </c>
      <c r="F473" s="96">
        <v>3</v>
      </c>
      <c r="G473" s="96">
        <v>2</v>
      </c>
      <c r="H473" s="96">
        <v>1</v>
      </c>
      <c r="I473" s="96">
        <v>0</v>
      </c>
      <c r="L473" s="231"/>
    </row>
    <row r="475" spans="5:12" ht="15" customHeight="1" x14ac:dyDescent="0.2">
      <c r="E475" s="230" t="s">
        <v>3125</v>
      </c>
      <c r="F475" s="230"/>
      <c r="G475" s="230"/>
      <c r="H475" s="230"/>
      <c r="I475" s="230"/>
      <c r="J475" s="230"/>
      <c r="K475" s="5" t="s">
        <v>2632</v>
      </c>
    </row>
    <row r="476" spans="5:12" ht="15" customHeight="1" x14ac:dyDescent="0.2">
      <c r="E476" s="25" cm="1">
        <f t="array" ref="E476:I480">MazeDistance_byHadynWiseman($E$433:$I$437,"E433",,1,$E$433:$I$437&lt;&gt;"x",,$E$440:$H$441)</f>
        <v>0</v>
      </c>
      <c r="F476" s="96">
        <v>9</v>
      </c>
      <c r="G476" s="96">
        <v>12</v>
      </c>
      <c r="H476" s="96">
        <v>9</v>
      </c>
      <c r="I476" s="96">
        <v>8</v>
      </c>
      <c r="K476" s="78" t="s">
        <v>1988</v>
      </c>
      <c r="L476" s="231" t="s">
        <v>2633</v>
      </c>
    </row>
    <row r="477" spans="5:12" ht="15" customHeight="1" x14ac:dyDescent="0.2">
      <c r="E477" s="96">
        <v>11</v>
      </c>
      <c r="F477" s="96" t="str">
        <v/>
      </c>
      <c r="G477" s="96">
        <v>7</v>
      </c>
      <c r="H477" s="96" t="str">
        <v/>
      </c>
      <c r="I477" s="96">
        <v>11</v>
      </c>
      <c r="L477" s="231"/>
    </row>
    <row r="478" spans="5:12" ht="15" customHeight="1" x14ac:dyDescent="0.2">
      <c r="E478" s="96">
        <v>8</v>
      </c>
      <c r="F478" s="96" t="str">
        <v/>
      </c>
      <c r="G478" s="96">
        <v>10</v>
      </c>
      <c r="H478" s="96" t="str">
        <v/>
      </c>
      <c r="I478" s="96">
        <v>8</v>
      </c>
      <c r="L478" s="231"/>
    </row>
    <row r="479" spans="5:12" ht="15" customHeight="1" x14ac:dyDescent="0.2">
      <c r="E479" s="96">
        <v>11</v>
      </c>
      <c r="F479" s="96" t="str">
        <v/>
      </c>
      <c r="G479" s="96">
        <v>9</v>
      </c>
      <c r="H479" s="96" t="str">
        <v/>
      </c>
      <c r="I479" s="96">
        <v>11</v>
      </c>
      <c r="L479" s="231"/>
    </row>
    <row r="480" spans="5:12" ht="15" customHeight="1" x14ac:dyDescent="0.2">
      <c r="E480" s="96">
        <v>10</v>
      </c>
      <c r="F480" s="96">
        <v>9</v>
      </c>
      <c r="G480" s="96">
        <v>12</v>
      </c>
      <c r="H480" s="96">
        <v>9</v>
      </c>
      <c r="I480" s="96">
        <v>10</v>
      </c>
      <c r="L480" s="231"/>
    </row>
    <row r="482" spans="5:12" ht="32.25" customHeight="1" x14ac:dyDescent="0.2">
      <c r="E482" s="230" t="s">
        <v>3126</v>
      </c>
      <c r="F482" s="230"/>
      <c r="G482" s="230"/>
      <c r="H482" s="230"/>
      <c r="I482" s="230"/>
      <c r="J482" s="230"/>
      <c r="K482" s="5" t="s">
        <v>2634</v>
      </c>
    </row>
    <row r="483" spans="5:12" ht="15" customHeight="1" x14ac:dyDescent="0.2">
      <c r="E483" s="25" cm="1">
        <f t="array" ref="E483:I487">MazeDistance_byHadynWiseman($E$433:$I$437,"E433",,0,$E$433:$I$437&lt;&gt;"x",,,_xlfn.LAMBDA(_xlpm.fromValue,_xlpm.toValue,_xlpm.from,_xlpm.to,_xlpm.steps,_xlpm.dist,_xlpm.dir,IF((ABS(_xlpm.dir)=1)+(ABS(_xlpm.dir)=1000000),_xlpm.toValue,_xlpm.toValue*1.5)))</f>
        <v>0</v>
      </c>
      <c r="F483" s="96">
        <v>1</v>
      </c>
      <c r="G483" s="96">
        <v>2</v>
      </c>
      <c r="H483" s="96">
        <v>3</v>
      </c>
      <c r="I483" s="96">
        <v>4</v>
      </c>
      <c r="K483" s="78" t="s">
        <v>1988</v>
      </c>
      <c r="L483" s="231" t="s">
        <v>2635</v>
      </c>
    </row>
    <row r="484" spans="5:12" ht="15" customHeight="1" x14ac:dyDescent="0.2">
      <c r="E484" s="96">
        <v>1</v>
      </c>
      <c r="F484" s="96" t="str">
        <v/>
      </c>
      <c r="G484" s="96">
        <v>9</v>
      </c>
      <c r="H484" s="96" t="str">
        <v/>
      </c>
      <c r="I484" s="96">
        <v>4.5</v>
      </c>
      <c r="L484" s="231"/>
    </row>
    <row r="485" spans="5:12" ht="15" customHeight="1" x14ac:dyDescent="0.2">
      <c r="E485" s="96">
        <v>2</v>
      </c>
      <c r="F485" s="96" t="str">
        <v/>
      </c>
      <c r="G485" s="96">
        <v>7</v>
      </c>
      <c r="H485" s="96" t="str">
        <v/>
      </c>
      <c r="I485" s="96">
        <v>5.5</v>
      </c>
      <c r="L485" s="231"/>
    </row>
    <row r="486" spans="5:12" ht="15" customHeight="1" x14ac:dyDescent="0.2">
      <c r="E486" s="96">
        <v>3</v>
      </c>
      <c r="F486" s="96" t="str">
        <v/>
      </c>
      <c r="G486" s="96">
        <v>6</v>
      </c>
      <c r="H486" s="96" t="str">
        <v/>
      </c>
      <c r="I486" s="96">
        <v>6.5</v>
      </c>
      <c r="L486" s="231"/>
    </row>
    <row r="487" spans="5:12" ht="15" customHeight="1" x14ac:dyDescent="0.2">
      <c r="E487" s="96">
        <v>4</v>
      </c>
      <c r="F487" s="96">
        <v>4.5</v>
      </c>
      <c r="G487" s="96">
        <v>5.5</v>
      </c>
      <c r="H487" s="96">
        <v>6.5</v>
      </c>
      <c r="I487" s="96">
        <v>7.5</v>
      </c>
      <c r="L487" s="231"/>
    </row>
    <row r="489" spans="5:12" ht="25.5" customHeight="1" x14ac:dyDescent="0.2">
      <c r="E489" s="152" t="s">
        <v>2636</v>
      </c>
      <c r="F489" s="152"/>
      <c r="G489" s="152"/>
      <c r="H489" s="152"/>
      <c r="I489" s="152"/>
      <c r="J489" s="152"/>
    </row>
    <row r="490" spans="5:12" ht="38.25" customHeight="1" x14ac:dyDescent="0.2">
      <c r="E490" s="156" t="s">
        <v>2637</v>
      </c>
      <c r="F490" s="157"/>
      <c r="G490" s="157"/>
      <c r="H490" s="157"/>
      <c r="I490" s="157"/>
      <c r="J490" s="158"/>
    </row>
    <row r="491" spans="5:12" ht="32.25" customHeight="1" x14ac:dyDescent="0.2">
      <c r="E491" s="147" t="s">
        <v>1483</v>
      </c>
      <c r="F491" s="147"/>
      <c r="G491" s="147"/>
      <c r="H491" s="147"/>
      <c r="I491" s="147"/>
      <c r="J491" s="147"/>
    </row>
    <row r="494" spans="5:12" ht="15.75" customHeight="1" x14ac:dyDescent="0.2">
      <c r="E494" s="159" t="s">
        <v>1060</v>
      </c>
      <c r="F494" s="159"/>
      <c r="G494" s="159"/>
      <c r="H494" s="159"/>
      <c r="I494" s="159"/>
      <c r="J494" s="159"/>
      <c r="K494" s="159"/>
      <c r="L494" s="159"/>
    </row>
    <row r="495" spans="5:12" ht="15" customHeight="1" x14ac:dyDescent="0.2">
      <c r="E495" s="152" t="s">
        <v>2638</v>
      </c>
      <c r="F495" s="149"/>
      <c r="G495" s="149"/>
      <c r="H495" s="149"/>
      <c r="I495" s="149"/>
      <c r="J495" s="149"/>
    </row>
    <row r="496" spans="5:12" ht="15" customHeight="1" x14ac:dyDescent="0.2">
      <c r="E496" s="147" t="s">
        <v>2639</v>
      </c>
      <c r="F496" s="147"/>
      <c r="G496" s="147"/>
      <c r="H496" s="147"/>
      <c r="I496" s="147"/>
      <c r="J496" s="147"/>
    </row>
    <row r="498" spans="5:12" ht="12.75" customHeight="1" x14ac:dyDescent="0.2">
      <c r="E498" s="22" t="s">
        <v>2640</v>
      </c>
    </row>
    <row r="499" spans="5:12" ht="15" customHeight="1" x14ac:dyDescent="0.2">
      <c r="E499" s="94" t="s">
        <v>665</v>
      </c>
      <c r="F499" s="94" t="s">
        <v>666</v>
      </c>
      <c r="G499" s="94" t="s">
        <v>667</v>
      </c>
      <c r="H499" s="94" t="s">
        <v>588</v>
      </c>
    </row>
    <row r="500" spans="5:12" ht="15" customHeight="1" x14ac:dyDescent="0.2">
      <c r="E500" s="94" t="s">
        <v>590</v>
      </c>
      <c r="F500" s="94" t="s">
        <v>691</v>
      </c>
      <c r="G500" s="94" t="s">
        <v>692</v>
      </c>
      <c r="H500" s="94" t="s">
        <v>693</v>
      </c>
    </row>
    <row r="501" spans="5:12" ht="15" customHeight="1" x14ac:dyDescent="0.2">
      <c r="E501" s="94" t="s">
        <v>645</v>
      </c>
      <c r="F501" s="94" t="s">
        <v>694</v>
      </c>
      <c r="G501" s="94" t="s">
        <v>695</v>
      </c>
      <c r="H501" s="94" t="s">
        <v>696</v>
      </c>
    </row>
    <row r="503" spans="5:12" ht="12.75" customHeight="1" x14ac:dyDescent="0.2">
      <c r="E503" s="22" t="s">
        <v>2334</v>
      </c>
      <c r="K503" s="24" t="s">
        <v>2335</v>
      </c>
      <c r="L503" s="24" t="s">
        <v>2336</v>
      </c>
    </row>
    <row r="504" spans="5:12" ht="15" customHeight="1" x14ac:dyDescent="0.2">
      <c r="E504" s="230" t="s">
        <v>3127</v>
      </c>
      <c r="F504" s="230"/>
      <c r="G504" s="230"/>
      <c r="H504" s="230"/>
      <c r="I504" s="230"/>
      <c r="J504" s="230"/>
      <c r="K504" s="5" t="s">
        <v>2641</v>
      </c>
    </row>
    <row r="505" spans="5:12" ht="15" customHeight="1" x14ac:dyDescent="0.2">
      <c r="E505" s="25" t="str" cm="1">
        <f t="array" ref="E505:H507">Snake_byHadynWiseman($E$499:$H$501)</f>
        <v>a</v>
      </c>
      <c r="F505" s="96" t="str">
        <v>b</v>
      </c>
      <c r="G505" s="96" t="str">
        <v>c</v>
      </c>
      <c r="H505" s="96" t="str">
        <v>d</v>
      </c>
      <c r="K505" s="78" t="s">
        <v>1985</v>
      </c>
      <c r="L505" s="231" t="s">
        <v>2642</v>
      </c>
    </row>
    <row r="506" spans="5:12" ht="15" customHeight="1" x14ac:dyDescent="0.2">
      <c r="E506" s="96" t="str">
        <v>h</v>
      </c>
      <c r="F506" s="96" t="str">
        <v>g</v>
      </c>
      <c r="G506" s="96" t="str">
        <v>f</v>
      </c>
      <c r="H506" s="96" t="str">
        <v>e</v>
      </c>
      <c r="L506" s="231"/>
    </row>
    <row r="507" spans="5:12" ht="15" customHeight="1" x14ac:dyDescent="0.2">
      <c r="E507" s="96" t="str">
        <v>i</v>
      </c>
      <c r="F507" s="96" t="str">
        <v>j</v>
      </c>
      <c r="G507" s="96" t="str">
        <v>k</v>
      </c>
      <c r="H507" s="96" t="str">
        <v>l</v>
      </c>
      <c r="L507" s="231"/>
    </row>
    <row r="509" spans="5:12" ht="15" customHeight="1" x14ac:dyDescent="0.2">
      <c r="E509" s="230" t="s">
        <v>3128</v>
      </c>
      <c r="F509" s="230"/>
      <c r="G509" s="230"/>
      <c r="H509" s="230"/>
      <c r="I509" s="230"/>
      <c r="J509" s="230"/>
      <c r="K509" s="5" t="s">
        <v>2643</v>
      </c>
    </row>
    <row r="510" spans="5:12" ht="15" customHeight="1" x14ac:dyDescent="0.2">
      <c r="E510" s="25" t="str" cm="1">
        <f t="array" ref="E510:H512">Snake_byHadynWiseman($E$499:$H$501,1)</f>
        <v>a</v>
      </c>
      <c r="F510" s="96" t="str">
        <v>j</v>
      </c>
      <c r="G510" s="96" t="str">
        <v>c</v>
      </c>
      <c r="H510" s="96" t="str">
        <v>l</v>
      </c>
      <c r="K510" s="78" t="s">
        <v>1985</v>
      </c>
      <c r="L510" s="231" t="s">
        <v>2644</v>
      </c>
    </row>
    <row r="511" spans="5:12" ht="15" customHeight="1" x14ac:dyDescent="0.2">
      <c r="E511" s="96" t="str">
        <v>e</v>
      </c>
      <c r="F511" s="96" t="str">
        <v>f</v>
      </c>
      <c r="G511" s="96" t="str">
        <v>g</v>
      </c>
      <c r="H511" s="96" t="str">
        <v>h</v>
      </c>
      <c r="L511" s="231"/>
    </row>
    <row r="512" spans="5:12" ht="15" customHeight="1" x14ac:dyDescent="0.2">
      <c r="E512" s="96" t="str">
        <v>i</v>
      </c>
      <c r="F512" s="96" t="str">
        <v>b</v>
      </c>
      <c r="G512" s="96" t="str">
        <v>k</v>
      </c>
      <c r="H512" s="96" t="str">
        <v>d</v>
      </c>
      <c r="L512" s="231"/>
    </row>
    <row r="514" spans="5:12" ht="21.75" customHeight="1" x14ac:dyDescent="0.2">
      <c r="E514" s="230" t="s">
        <v>3129</v>
      </c>
      <c r="F514" s="230"/>
      <c r="G514" s="230"/>
      <c r="H514" s="230"/>
      <c r="I514" s="230"/>
      <c r="J514" s="230"/>
      <c r="K514" s="5" t="s">
        <v>2645</v>
      </c>
    </row>
    <row r="515" spans="5:12" ht="15" customHeight="1" x14ac:dyDescent="0.2">
      <c r="E515" s="25" t="str" cm="1">
        <f t="array" ref="E515:H517">Snake_byHadynWiseman($E$499:$H$501,0,1)</f>
        <v>d</v>
      </c>
      <c r="F515" s="96" t="str">
        <v>c</v>
      </c>
      <c r="G515" s="96" t="str">
        <v>b</v>
      </c>
      <c r="H515" s="96" t="str">
        <v>a</v>
      </c>
      <c r="K515" s="78" t="s">
        <v>1985</v>
      </c>
      <c r="L515" s="231" t="s">
        <v>2646</v>
      </c>
    </row>
    <row r="516" spans="5:12" ht="15" customHeight="1" x14ac:dyDescent="0.2">
      <c r="E516" s="96" t="str">
        <v>e</v>
      </c>
      <c r="F516" s="96" t="str">
        <v>f</v>
      </c>
      <c r="G516" s="96" t="str">
        <v>g</v>
      </c>
      <c r="H516" s="96" t="str">
        <v>h</v>
      </c>
      <c r="L516" s="231"/>
    </row>
    <row r="517" spans="5:12" ht="15" customHeight="1" x14ac:dyDescent="0.2">
      <c r="E517" s="96" t="str">
        <v>l</v>
      </c>
      <c r="F517" s="96" t="str">
        <v>k</v>
      </c>
      <c r="G517" s="96" t="str">
        <v>j</v>
      </c>
      <c r="H517" s="96" t="str">
        <v>i</v>
      </c>
      <c r="L517" s="231"/>
    </row>
    <row r="519" spans="5:12" ht="21.75" customHeight="1" x14ac:dyDescent="0.2">
      <c r="E519" s="230" t="s">
        <v>3130</v>
      </c>
      <c r="F519" s="230"/>
      <c r="G519" s="230"/>
      <c r="H519" s="230"/>
      <c r="I519" s="230"/>
      <c r="J519" s="230"/>
      <c r="K519" s="5" t="s">
        <v>2647</v>
      </c>
    </row>
    <row r="520" spans="5:12" ht="15" customHeight="1" x14ac:dyDescent="0.2">
      <c r="E520" s="25" t="str" cm="1">
        <f t="array" ref="E520:H522">Snake_byHadynWiseman($E$499:$H$501,0,1,3)</f>
        <v>d</v>
      </c>
      <c r="F520" s="96" t="str">
        <v>c</v>
      </c>
      <c r="G520" s="96" t="str">
        <v>b</v>
      </c>
      <c r="H520" s="96" t="str">
        <v>a</v>
      </c>
      <c r="K520" s="78" t="s">
        <v>1985</v>
      </c>
      <c r="L520" s="231" t="s">
        <v>2648</v>
      </c>
    </row>
    <row r="521" spans="5:12" ht="15" customHeight="1" x14ac:dyDescent="0.2">
      <c r="E521" s="96" t="str">
        <v>e</v>
      </c>
      <c r="F521" s="96" t="str">
        <v>f</v>
      </c>
      <c r="G521" s="96" t="str">
        <v>g</v>
      </c>
      <c r="H521" s="96" t="str">
        <v>h</v>
      </c>
      <c r="L521" s="231"/>
    </row>
    <row r="522" spans="5:12" ht="15" customHeight="1" x14ac:dyDescent="0.2">
      <c r="E522" s="96" t="str">
        <v>i</v>
      </c>
      <c r="F522" s="96" t="str">
        <v>j</v>
      </c>
      <c r="G522" s="96" t="str">
        <v>k</v>
      </c>
      <c r="H522" s="96" t="str">
        <v>l</v>
      </c>
      <c r="L522" s="231"/>
    </row>
    <row r="524" spans="5:12" ht="15" customHeight="1" x14ac:dyDescent="0.2">
      <c r="E524" s="230" t="s">
        <v>3131</v>
      </c>
      <c r="F524" s="230"/>
      <c r="G524" s="230"/>
      <c r="H524" s="230"/>
      <c r="I524" s="230"/>
      <c r="J524" s="230"/>
      <c r="K524" s="5" t="s">
        <v>2649</v>
      </c>
      <c r="L524" s="89" t="s">
        <v>3132</v>
      </c>
    </row>
    <row r="525" spans="5:12" ht="15" customHeight="1" x14ac:dyDescent="0.2">
      <c r="E525" s="25" t="str" cm="1">
        <f t="array" ref="E525">Snake_byHadynWiseman($E$499:$H$501,0,,,"E500")</f>
        <v>H500</v>
      </c>
      <c r="K525" s="78"/>
    </row>
    <row r="527" spans="5:12" ht="15" customHeight="1" x14ac:dyDescent="0.2">
      <c r="E527" s="152" t="s">
        <v>2650</v>
      </c>
      <c r="F527" s="152"/>
      <c r="G527" s="152"/>
      <c r="H527" s="152"/>
      <c r="I527" s="152"/>
      <c r="J527" s="152"/>
    </row>
    <row r="528" spans="5:12" ht="21.75" customHeight="1" x14ac:dyDescent="0.2">
      <c r="E528" s="147" t="s">
        <v>1488</v>
      </c>
      <c r="F528" s="147"/>
      <c r="G528" s="147"/>
      <c r="H528" s="147"/>
      <c r="I528" s="147"/>
      <c r="J528" s="147"/>
    </row>
    <row r="529" spans="5:12" ht="12.75" customHeight="1" x14ac:dyDescent="0.2"/>
    <row r="531" spans="5:12" ht="15.75" customHeight="1" x14ac:dyDescent="0.2">
      <c r="E531" s="159" t="s">
        <v>1057</v>
      </c>
      <c r="F531" s="159"/>
      <c r="G531" s="159"/>
      <c r="H531" s="159"/>
      <c r="I531" s="159"/>
      <c r="J531" s="159"/>
      <c r="K531" s="159"/>
      <c r="L531" s="159"/>
    </row>
    <row r="532" spans="5:12" ht="15" customHeight="1" x14ac:dyDescent="0.2">
      <c r="E532" s="152" t="s">
        <v>2651</v>
      </c>
      <c r="F532" s="149"/>
      <c r="G532" s="149"/>
      <c r="H532" s="149"/>
      <c r="I532" s="149"/>
      <c r="J532" s="149"/>
    </row>
    <row r="533" spans="5:12" ht="21.75" customHeight="1" x14ac:dyDescent="0.2">
      <c r="E533" s="147" t="s">
        <v>2652</v>
      </c>
      <c r="F533" s="147"/>
      <c r="G533" s="147"/>
      <c r="H533" s="147"/>
      <c r="I533" s="147"/>
      <c r="J533" s="147"/>
    </row>
    <row r="535" spans="5:12" ht="12.75" customHeight="1" x14ac:dyDescent="0.2">
      <c r="E535" s="22" t="s">
        <v>2653</v>
      </c>
    </row>
    <row r="536" spans="5:12" ht="15" customHeight="1" x14ac:dyDescent="0.2">
      <c r="E536" s="94" t="s">
        <v>2654</v>
      </c>
      <c r="F536" s="94" t="s">
        <v>2655</v>
      </c>
      <c r="G536" s="94" t="s">
        <v>2656</v>
      </c>
    </row>
    <row r="537" spans="5:12" ht="15" customHeight="1" x14ac:dyDescent="0.2">
      <c r="E537" s="94" t="s">
        <v>2657</v>
      </c>
      <c r="F537" s="94" t="s">
        <v>1918</v>
      </c>
      <c r="G537" s="94">
        <v>11</v>
      </c>
    </row>
    <row r="538" spans="5:12" ht="15" customHeight="1" x14ac:dyDescent="0.2">
      <c r="E538" s="94" t="s">
        <v>2657</v>
      </c>
      <c r="F538" s="94" t="s">
        <v>2658</v>
      </c>
      <c r="G538" s="94">
        <v>11</v>
      </c>
    </row>
    <row r="539" spans="5:12" ht="15" customHeight="1" x14ac:dyDescent="0.2">
      <c r="E539" s="94" t="s">
        <v>1918</v>
      </c>
      <c r="F539" s="94" t="s">
        <v>2659</v>
      </c>
      <c r="G539" s="94">
        <v>1.75</v>
      </c>
    </row>
    <row r="540" spans="5:12" ht="15" customHeight="1" x14ac:dyDescent="0.2">
      <c r="E540" s="94" t="s">
        <v>2658</v>
      </c>
      <c r="F540" s="94" t="s">
        <v>2659</v>
      </c>
      <c r="G540" s="94">
        <v>1.25</v>
      </c>
    </row>
    <row r="541" spans="5:12" ht="15" customHeight="1" x14ac:dyDescent="0.2">
      <c r="E541" s="94" t="s">
        <v>2657</v>
      </c>
      <c r="F541" s="94" t="s">
        <v>2659</v>
      </c>
      <c r="G541" s="94">
        <v>13</v>
      </c>
    </row>
    <row r="543" spans="5:12" ht="12.75" customHeight="1" x14ac:dyDescent="0.2">
      <c r="E543" s="22" t="s">
        <v>2334</v>
      </c>
      <c r="K543" s="24" t="s">
        <v>2335</v>
      </c>
      <c r="L543" s="24" t="s">
        <v>2336</v>
      </c>
    </row>
    <row r="544" spans="5:12" ht="15" customHeight="1" x14ac:dyDescent="0.2">
      <c r="E544" s="230" t="s">
        <v>3133</v>
      </c>
      <c r="F544" s="230"/>
      <c r="G544" s="230"/>
      <c r="H544" s="230"/>
      <c r="I544" s="230"/>
      <c r="J544" s="230"/>
      <c r="K544" s="5" t="s">
        <v>2660</v>
      </c>
      <c r="L544" s="89" t="s">
        <v>2661</v>
      </c>
    </row>
    <row r="545" spans="5:12" ht="15" customHeight="1" x14ac:dyDescent="0.2">
      <c r="E545" s="25" cm="1">
        <f t="array" ref="E545">NetworkGraph_byHadynWiseman("London",$E$537:$F$541,$G$537:$G$541,,"Las Vegas")</f>
        <v>12.25</v>
      </c>
      <c r="K545" s="78"/>
    </row>
    <row r="547" spans="5:12" ht="21.75" customHeight="1" x14ac:dyDescent="0.2">
      <c r="E547" s="230" t="s">
        <v>3134</v>
      </c>
      <c r="F547" s="230"/>
      <c r="G547" s="230"/>
      <c r="H547" s="230"/>
      <c r="I547" s="230"/>
      <c r="J547" s="230"/>
      <c r="K547" s="5" t="s">
        <v>2662</v>
      </c>
    </row>
    <row r="548" spans="5:12" ht="15" customHeight="1" x14ac:dyDescent="0.2">
      <c r="E548" s="25" t="str" cm="1">
        <f t="array" ref="E548:F550">NetworkGraph_byHadynWiseman("London",$E$537:$F$541,$G$537:$G$541,,"Las Vegas",,,,,1)</f>
        <v>Las Vegas</v>
      </c>
      <c r="F548" s="96">
        <v>12.25</v>
      </c>
      <c r="K548" s="78" t="s">
        <v>1970</v>
      </c>
      <c r="L548" s="231" t="s">
        <v>2663</v>
      </c>
    </row>
    <row r="549" spans="5:12" ht="15" customHeight="1" x14ac:dyDescent="0.2">
      <c r="E549" s="96" t="str">
        <v>LA</v>
      </c>
      <c r="F549" s="96">
        <v>11</v>
      </c>
      <c r="L549" s="231"/>
    </row>
    <row r="550" spans="5:12" ht="15" customHeight="1" x14ac:dyDescent="0.2">
      <c r="E550" s="96" t="str">
        <v>London</v>
      </c>
      <c r="F550" s="96">
        <v>0</v>
      </c>
      <c r="L550" s="231"/>
    </row>
    <row r="552" spans="5:12" ht="21.75" customHeight="1" x14ac:dyDescent="0.2">
      <c r="E552" s="230" t="s">
        <v>3135</v>
      </c>
      <c r="F552" s="230"/>
      <c r="G552" s="230"/>
      <c r="H552" s="230"/>
      <c r="I552" s="230"/>
      <c r="J552" s="230"/>
      <c r="K552" s="5" t="s">
        <v>2664</v>
      </c>
    </row>
    <row r="553" spans="5:12" ht="15" customHeight="1" x14ac:dyDescent="0.2">
      <c r="E553" s="25" t="str" cm="1">
        <f t="array" ref="E553:H556">NetworkGraph_byHadynWiseman("London",$E$537:$F$541,$G$537:$G$541)</f>
        <v>LA</v>
      </c>
      <c r="F553" s="96">
        <v>11</v>
      </c>
      <c r="G553" s="96">
        <v>1</v>
      </c>
      <c r="H553" s="96" t="str">
        <v>London</v>
      </c>
      <c r="K553" s="78" t="s">
        <v>2104</v>
      </c>
      <c r="L553" s="231" t="s">
        <v>2665</v>
      </c>
    </row>
    <row r="554" spans="5:12" ht="15" customHeight="1" x14ac:dyDescent="0.2">
      <c r="E554" s="96" t="str">
        <v>Las Vegas</v>
      </c>
      <c r="F554" s="96">
        <v>12.25</v>
      </c>
      <c r="G554" s="96">
        <v>2</v>
      </c>
      <c r="H554" s="96" t="str">
        <v>LA</v>
      </c>
      <c r="L554" s="231"/>
    </row>
    <row r="555" spans="5:12" ht="15" customHeight="1" x14ac:dyDescent="0.2">
      <c r="E555" s="96" t="str">
        <v>London</v>
      </c>
      <c r="F555" s="96">
        <v>0</v>
      </c>
      <c r="G555" s="96">
        <v>0</v>
      </c>
      <c r="H555" s="96">
        <v>0</v>
      </c>
      <c r="L555" s="231"/>
    </row>
    <row r="556" spans="5:12" ht="15" customHeight="1" x14ac:dyDescent="0.2">
      <c r="E556" s="96" t="str">
        <v>SF</v>
      </c>
      <c r="F556" s="96">
        <v>11</v>
      </c>
      <c r="G556" s="96">
        <v>1</v>
      </c>
      <c r="H556" s="96" t="str">
        <v>London</v>
      </c>
      <c r="L556" s="231"/>
    </row>
    <row r="558" spans="5:12" ht="21.75" customHeight="1" x14ac:dyDescent="0.2">
      <c r="E558" s="230" t="s">
        <v>3136</v>
      </c>
      <c r="F558" s="230"/>
      <c r="G558" s="230"/>
      <c r="H558" s="230"/>
      <c r="I558" s="230"/>
      <c r="J558" s="230"/>
      <c r="K558" s="5" t="s">
        <v>2666</v>
      </c>
      <c r="L558" s="89" t="s">
        <v>2478</v>
      </c>
    </row>
    <row r="559" spans="5:12" ht="15" customHeight="1" x14ac:dyDescent="0.2">
      <c r="E559" s="25" cm="1">
        <f t="array" ref="E559">NetworkGraph_byHadynWiseman("London",$E$537:$F$541,,,"Las Vegas")</f>
        <v>1</v>
      </c>
      <c r="K559" s="78"/>
    </row>
    <row r="561" spans="5:12" ht="21.75" customHeight="1" x14ac:dyDescent="0.2">
      <c r="E561" s="230" t="s">
        <v>3137</v>
      </c>
      <c r="F561" s="230"/>
      <c r="G561" s="230"/>
      <c r="H561" s="230"/>
      <c r="I561" s="230"/>
      <c r="J561" s="230"/>
      <c r="K561" s="5" t="s">
        <v>2667</v>
      </c>
      <c r="L561" s="89" t="s">
        <v>2668</v>
      </c>
    </row>
    <row r="562" spans="5:12" ht="15" customHeight="1" x14ac:dyDescent="0.2">
      <c r="E562" s="25" cm="1">
        <f t="array" ref="E562">NetworkGraph_byHadynWiseman("London",$E$537:$F$541,$G$537:$G$541,_xlfn.LAMBDA(_xlpm.w,_xlpm.t,_xlpm.w+_xlpm.t+1),"Las Vegas")</f>
        <v>14</v>
      </c>
      <c r="K562" s="78"/>
    </row>
    <row r="564" spans="5:12" ht="15" customHeight="1" x14ac:dyDescent="0.2">
      <c r="E564" s="230" t="s">
        <v>3138</v>
      </c>
      <c r="F564" s="230"/>
      <c r="G564" s="230"/>
      <c r="H564" s="230"/>
      <c r="I564" s="230"/>
      <c r="J564" s="230"/>
      <c r="K564" s="5" t="s">
        <v>2669</v>
      </c>
      <c r="L564" s="89" t="s">
        <v>94</v>
      </c>
    </row>
    <row r="565" spans="5:12" ht="15" customHeight="1" x14ac:dyDescent="0.2">
      <c r="E565" s="25" cm="1">
        <f t="array" ref="E565">NetworkGraph_byHadynWiseman("London",$E$537:$F$541,$G$537:$G$541,,"Las Vegas",,,1)</f>
        <v>13</v>
      </c>
      <c r="K565" s="78"/>
    </row>
    <row r="567" spans="5:12" ht="21.75" customHeight="1" x14ac:dyDescent="0.2">
      <c r="E567" s="230" t="s">
        <v>3139</v>
      </c>
      <c r="F567" s="230"/>
      <c r="G567" s="230"/>
      <c r="H567" s="230"/>
      <c r="I567" s="230"/>
      <c r="J567" s="230"/>
      <c r="K567" s="5" t="s">
        <v>2670</v>
      </c>
      <c r="L567" s="89" t="s">
        <v>2661</v>
      </c>
    </row>
    <row r="568" spans="5:12" ht="15" customHeight="1" x14ac:dyDescent="0.2">
      <c r="E568" s="25" cm="1">
        <f t="array" ref="E568">NetworkGraph_byHadynWiseman("Las Vegas",$E$537:$F$541,$G$537:$G$541,,"London",1)</f>
        <v>12.25</v>
      </c>
      <c r="K568" s="78"/>
    </row>
    <row r="570" spans="5:12" ht="25.5" customHeight="1" x14ac:dyDescent="0.2">
      <c r="E570" s="152" t="s">
        <v>2671</v>
      </c>
      <c r="F570" s="152"/>
      <c r="G570" s="152"/>
      <c r="H570" s="152"/>
      <c r="I570" s="152"/>
      <c r="J570" s="152"/>
    </row>
    <row r="571" spans="5:12" ht="15" customHeight="1" x14ac:dyDescent="0.2">
      <c r="E571" s="156" t="s">
        <v>2672</v>
      </c>
      <c r="F571" s="157"/>
      <c r="G571" s="157"/>
      <c r="H571" s="157"/>
      <c r="I571" s="157"/>
      <c r="J571" s="158"/>
    </row>
    <row r="572" spans="5:12" ht="21.75" customHeight="1" x14ac:dyDescent="0.2">
      <c r="E572" s="147" t="s">
        <v>1486</v>
      </c>
      <c r="F572" s="147"/>
      <c r="G572" s="147"/>
      <c r="H572" s="147"/>
      <c r="I572" s="147"/>
      <c r="J572" s="147"/>
    </row>
    <row r="574" spans="5:12" ht="12.75" customHeight="1" x14ac:dyDescent="0.2"/>
    <row r="575" spans="5:12" ht="15.75" customHeight="1" x14ac:dyDescent="0.2">
      <c r="E575" s="159" t="s">
        <v>1047</v>
      </c>
      <c r="F575" s="159"/>
      <c r="G575" s="159"/>
      <c r="H575" s="159"/>
      <c r="I575" s="159"/>
      <c r="J575" s="159"/>
      <c r="K575" s="159"/>
      <c r="L575" s="159"/>
    </row>
    <row r="576" spans="5:12" ht="15" customHeight="1" x14ac:dyDescent="0.2">
      <c r="E576" s="152" t="s">
        <v>2673</v>
      </c>
      <c r="F576" s="149"/>
      <c r="G576" s="149"/>
      <c r="H576" s="149"/>
      <c r="I576" s="149"/>
      <c r="J576" s="149"/>
    </row>
    <row r="577" spans="5:12" ht="15" customHeight="1" x14ac:dyDescent="0.2">
      <c r="E577" s="147" t="s">
        <v>2674</v>
      </c>
      <c r="F577" s="147"/>
      <c r="G577" s="147"/>
      <c r="H577" s="147"/>
      <c r="I577" s="147"/>
      <c r="J577" s="147"/>
    </row>
    <row r="579" spans="5:12" ht="12.75" customHeight="1" x14ac:dyDescent="0.2">
      <c r="E579" s="22" t="s">
        <v>2675</v>
      </c>
    </row>
    <row r="580" spans="5:12" ht="15" customHeight="1" x14ac:dyDescent="0.2">
      <c r="E580" s="94">
        <v>1</v>
      </c>
      <c r="F580" s="94">
        <v>1</v>
      </c>
      <c r="G580" s="94"/>
      <c r="H580" s="94">
        <v>1</v>
      </c>
      <c r="I580" s="94"/>
    </row>
    <row r="581" spans="5:12" ht="15" customHeight="1" x14ac:dyDescent="0.2">
      <c r="E581" s="94">
        <v>1</v>
      </c>
      <c r="F581" s="94">
        <v>1</v>
      </c>
      <c r="G581" s="94"/>
      <c r="H581" s="94">
        <v>1</v>
      </c>
      <c r="I581" s="94"/>
    </row>
    <row r="582" spans="5:12" ht="15" customHeight="1" x14ac:dyDescent="0.2">
      <c r="E582" s="94"/>
      <c r="F582" s="94"/>
      <c r="G582" s="94"/>
      <c r="H582" s="94">
        <v>1</v>
      </c>
      <c r="I582" s="94"/>
    </row>
    <row r="583" spans="5:12" ht="15" customHeight="1" x14ac:dyDescent="0.2">
      <c r="E583" s="94"/>
      <c r="F583" s="94">
        <v>1</v>
      </c>
      <c r="G583" s="94">
        <v>1</v>
      </c>
      <c r="H583" s="94"/>
      <c r="I583" s="94"/>
    </row>
    <row r="584" spans="5:12" ht="15" customHeight="1" x14ac:dyDescent="0.2">
      <c r="E584" s="94"/>
      <c r="F584" s="94"/>
      <c r="G584" s="94"/>
      <c r="H584" s="94"/>
      <c r="I584" s="94"/>
    </row>
    <row r="586" spans="5:12" ht="12.75" customHeight="1" x14ac:dyDescent="0.2">
      <c r="E586" s="22" t="s">
        <v>2676</v>
      </c>
    </row>
    <row r="587" spans="5:12" ht="15" customHeight="1" x14ac:dyDescent="0.2">
      <c r="E587" s="94">
        <v>1</v>
      </c>
    </row>
    <row r="589" spans="5:12" ht="12.75" customHeight="1" x14ac:dyDescent="0.2">
      <c r="E589" s="22" t="s">
        <v>2334</v>
      </c>
      <c r="K589" s="24" t="s">
        <v>2335</v>
      </c>
      <c r="L589" s="24" t="s">
        <v>2336</v>
      </c>
    </row>
    <row r="590" spans="5:12" ht="15" customHeight="1" x14ac:dyDescent="0.2">
      <c r="E590" s="230" t="s">
        <v>3140</v>
      </c>
      <c r="F590" s="230"/>
      <c r="G590" s="230"/>
      <c r="H590" s="230"/>
      <c r="I590" s="230"/>
      <c r="J590" s="230"/>
      <c r="K590" s="5" t="s">
        <v>2677</v>
      </c>
    </row>
    <row r="591" spans="5:12" ht="15" customHeight="1" x14ac:dyDescent="0.2">
      <c r="E591" s="25" cm="1">
        <f t="array" ref="E591:I595">Regions_byHadynWiseman($E$580:$I$584,1,$E$580:$I$584=1)</f>
        <v>1</v>
      </c>
      <c r="F591" s="96">
        <v>1</v>
      </c>
      <c r="G591" s="96" t="str">
        <v/>
      </c>
      <c r="H591" s="96">
        <v>2</v>
      </c>
      <c r="I591" s="96" t="str">
        <v/>
      </c>
      <c r="K591" s="78" t="s">
        <v>1988</v>
      </c>
      <c r="L591" s="231" t="s">
        <v>2678</v>
      </c>
    </row>
    <row r="592" spans="5:12" ht="15" customHeight="1" x14ac:dyDescent="0.2">
      <c r="E592" s="96">
        <v>1</v>
      </c>
      <c r="F592" s="96">
        <v>1</v>
      </c>
      <c r="G592" s="96" t="str">
        <v/>
      </c>
      <c r="H592" s="96">
        <v>2</v>
      </c>
      <c r="I592" s="96" t="str">
        <v/>
      </c>
      <c r="L592" s="231"/>
    </row>
    <row r="593" spans="5:12" ht="15" customHeight="1" x14ac:dyDescent="0.2">
      <c r="E593" s="96" t="str">
        <v/>
      </c>
      <c r="F593" s="96" t="str">
        <v/>
      </c>
      <c r="G593" s="96" t="str">
        <v/>
      </c>
      <c r="H593" s="96">
        <v>2</v>
      </c>
      <c r="I593" s="96" t="str">
        <v/>
      </c>
      <c r="L593" s="231"/>
    </row>
    <row r="594" spans="5:12" ht="15" customHeight="1" x14ac:dyDescent="0.2">
      <c r="E594" s="96" t="str">
        <v/>
      </c>
      <c r="F594" s="96">
        <v>3</v>
      </c>
      <c r="G594" s="96">
        <v>3</v>
      </c>
      <c r="H594" s="96" t="str">
        <v/>
      </c>
      <c r="I594" s="96" t="str">
        <v/>
      </c>
      <c r="L594" s="231"/>
    </row>
    <row r="595" spans="5:12" ht="15" customHeight="1" x14ac:dyDescent="0.2">
      <c r="E595" s="96" t="str">
        <v/>
      </c>
      <c r="F595" s="96" t="str">
        <v/>
      </c>
      <c r="G595" s="96" t="str">
        <v/>
      </c>
      <c r="H595" s="96" t="str">
        <v/>
      </c>
      <c r="I595" s="96" t="str">
        <v/>
      </c>
      <c r="L595" s="231"/>
    </row>
    <row r="597" spans="5:12" ht="15" customHeight="1" x14ac:dyDescent="0.2">
      <c r="E597" s="230" t="s">
        <v>3141</v>
      </c>
      <c r="F597" s="230"/>
      <c r="G597" s="230"/>
      <c r="H597" s="230"/>
      <c r="I597" s="230"/>
      <c r="J597" s="230"/>
      <c r="K597" s="5" t="s">
        <v>2679</v>
      </c>
      <c r="L597" s="89" t="s">
        <v>2480</v>
      </c>
    </row>
    <row r="598" spans="5:12" ht="15" customHeight="1" x14ac:dyDescent="0.2">
      <c r="E598" s="25" cm="1">
        <f t="array" ref="E598">MAX(Regions_byHadynWiseman($E$580:$I$584,1,$E$580:$I$584=1))</f>
        <v>3</v>
      </c>
      <c r="K598" s="78"/>
    </row>
    <row r="600" spans="5:12" ht="21.75" customHeight="1" x14ac:dyDescent="0.2">
      <c r="E600" s="230" t="s">
        <v>3142</v>
      </c>
      <c r="F600" s="230"/>
      <c r="G600" s="230"/>
      <c r="H600" s="230"/>
      <c r="I600" s="230"/>
      <c r="J600" s="230"/>
      <c r="K600" s="5" t="s">
        <v>2680</v>
      </c>
    </row>
    <row r="601" spans="5:12" ht="15" customHeight="1" x14ac:dyDescent="0.2">
      <c r="E601" s="25" cm="1">
        <f t="array" ref="E601:I605">Regions_byHadynWiseman($E$580:$I$584,0,$E$580:$I$584=1)</f>
        <v>1</v>
      </c>
      <c r="F601" s="96">
        <v>1</v>
      </c>
      <c r="G601" s="96" t="str">
        <v/>
      </c>
      <c r="H601" s="96">
        <v>2</v>
      </c>
      <c r="I601" s="96" t="str">
        <v/>
      </c>
      <c r="K601" s="78" t="s">
        <v>1988</v>
      </c>
      <c r="L601" s="231" t="s">
        <v>2681</v>
      </c>
    </row>
    <row r="602" spans="5:12" ht="15" customHeight="1" x14ac:dyDescent="0.2">
      <c r="E602" s="96">
        <v>1</v>
      </c>
      <c r="F602" s="96">
        <v>1</v>
      </c>
      <c r="G602" s="96" t="str">
        <v/>
      </c>
      <c r="H602" s="96">
        <v>2</v>
      </c>
      <c r="I602" s="96" t="str">
        <v/>
      </c>
      <c r="L602" s="231"/>
    </row>
    <row r="603" spans="5:12" ht="15" customHeight="1" x14ac:dyDescent="0.2">
      <c r="E603" s="96" t="str">
        <v/>
      </c>
      <c r="F603" s="96" t="str">
        <v/>
      </c>
      <c r="G603" s="96" t="str">
        <v/>
      </c>
      <c r="H603" s="96">
        <v>2</v>
      </c>
      <c r="I603" s="96" t="str">
        <v/>
      </c>
      <c r="L603" s="231"/>
    </row>
    <row r="604" spans="5:12" ht="15" customHeight="1" x14ac:dyDescent="0.2">
      <c r="E604" s="96" t="str">
        <v/>
      </c>
      <c r="F604" s="96">
        <v>2</v>
      </c>
      <c r="G604" s="96">
        <v>2</v>
      </c>
      <c r="H604" s="96" t="str">
        <v/>
      </c>
      <c r="I604" s="96" t="str">
        <v/>
      </c>
      <c r="L604" s="231"/>
    </row>
    <row r="605" spans="5:12" ht="15" customHeight="1" x14ac:dyDescent="0.2">
      <c r="E605" s="96" t="str">
        <v/>
      </c>
      <c r="F605" s="96" t="str">
        <v/>
      </c>
      <c r="G605" s="96" t="str">
        <v/>
      </c>
      <c r="H605" s="96" t="str">
        <v/>
      </c>
      <c r="I605" s="96" t="str">
        <v/>
      </c>
      <c r="L605" s="231"/>
    </row>
    <row r="607" spans="5:12" ht="21.75" customHeight="1" x14ac:dyDescent="0.2">
      <c r="E607" s="230" t="s">
        <v>3143</v>
      </c>
      <c r="F607" s="230"/>
      <c r="G607" s="230"/>
      <c r="H607" s="230"/>
      <c r="I607" s="230"/>
      <c r="J607" s="230"/>
      <c r="K607" s="5" t="s">
        <v>2682</v>
      </c>
    </row>
    <row r="608" spans="5:12" ht="15" customHeight="1" x14ac:dyDescent="0.2">
      <c r="E608" s="25" t="str" cm="1">
        <f t="array" ref="E608:I612">Regions_byHadynWiseman($E$580:$I$584,1)</f>
        <v/>
      </c>
      <c r="F608" s="96" t="str">
        <v/>
      </c>
      <c r="G608" s="96">
        <v>1</v>
      </c>
      <c r="H608" s="96" t="str">
        <v/>
      </c>
      <c r="I608" s="96">
        <v>1</v>
      </c>
      <c r="K608" s="78" t="s">
        <v>1988</v>
      </c>
      <c r="L608" s="231" t="s">
        <v>2683</v>
      </c>
    </row>
    <row r="609" spans="5:12" ht="15" customHeight="1" x14ac:dyDescent="0.2">
      <c r="E609" s="96" t="str">
        <v/>
      </c>
      <c r="F609" s="96" t="str">
        <v/>
      </c>
      <c r="G609" s="96">
        <v>1</v>
      </c>
      <c r="H609" s="96" t="str">
        <v/>
      </c>
      <c r="I609" s="96">
        <v>1</v>
      </c>
      <c r="L609" s="231"/>
    </row>
    <row r="610" spans="5:12" ht="15" customHeight="1" x14ac:dyDescent="0.2">
      <c r="E610" s="96">
        <v>1</v>
      </c>
      <c r="F610" s="96">
        <v>1</v>
      </c>
      <c r="G610" s="96">
        <v>1</v>
      </c>
      <c r="H610" s="96" t="str">
        <v/>
      </c>
      <c r="I610" s="96">
        <v>1</v>
      </c>
      <c r="L610" s="231"/>
    </row>
    <row r="611" spans="5:12" ht="15" customHeight="1" x14ac:dyDescent="0.2">
      <c r="E611" s="96">
        <v>1</v>
      </c>
      <c r="F611" s="96" t="str">
        <v/>
      </c>
      <c r="G611" s="96" t="str">
        <v/>
      </c>
      <c r="H611" s="96">
        <v>1</v>
      </c>
      <c r="I611" s="96">
        <v>1</v>
      </c>
      <c r="L611" s="231"/>
    </row>
    <row r="612" spans="5:12" ht="15" customHeight="1" x14ac:dyDescent="0.2">
      <c r="E612" s="96">
        <v>1</v>
      </c>
      <c r="F612" s="96">
        <v>1</v>
      </c>
      <c r="G612" s="96">
        <v>1</v>
      </c>
      <c r="H612" s="96">
        <v>1</v>
      </c>
      <c r="I612" s="96">
        <v>1</v>
      </c>
      <c r="L612" s="231"/>
    </row>
    <row r="614" spans="5:12" ht="21.75" customHeight="1" x14ac:dyDescent="0.2">
      <c r="E614" s="230" t="s">
        <v>3144</v>
      </c>
      <c r="F614" s="230"/>
      <c r="G614" s="230"/>
      <c r="H614" s="230"/>
      <c r="I614" s="230"/>
      <c r="J614" s="230"/>
      <c r="K614" s="5" t="s">
        <v>2684</v>
      </c>
    </row>
    <row r="615" spans="5:12" ht="15" customHeight="1" x14ac:dyDescent="0.2">
      <c r="E615" s="25" cm="1">
        <f t="array" ref="E615:I619">Regions_byHadynWiseman($E$580:$I$584,1,$E$580:$I$584=1,$E$587:$E$587)</f>
        <v>1</v>
      </c>
      <c r="F615" s="96">
        <v>1</v>
      </c>
      <c r="G615" s="96" t="str">
        <v/>
      </c>
      <c r="H615" s="96">
        <v>2</v>
      </c>
      <c r="I615" s="96" t="str">
        <v/>
      </c>
      <c r="K615" s="78" t="s">
        <v>1988</v>
      </c>
      <c r="L615" s="231" t="s">
        <v>2685</v>
      </c>
    </row>
    <row r="616" spans="5:12" ht="15" customHeight="1" x14ac:dyDescent="0.2">
      <c r="E616" s="96">
        <v>3</v>
      </c>
      <c r="F616" s="96">
        <v>3</v>
      </c>
      <c r="G616" s="96" t="str">
        <v/>
      </c>
      <c r="H616" s="96">
        <v>4</v>
      </c>
      <c r="I616" s="96" t="str">
        <v/>
      </c>
      <c r="L616" s="231"/>
    </row>
    <row r="617" spans="5:12" ht="15" customHeight="1" x14ac:dyDescent="0.2">
      <c r="E617" s="96" t="str">
        <v/>
      </c>
      <c r="F617" s="96" t="str">
        <v/>
      </c>
      <c r="G617" s="96" t="str">
        <v/>
      </c>
      <c r="H617" s="96">
        <v>5</v>
      </c>
      <c r="I617" s="96" t="str">
        <v/>
      </c>
      <c r="L617" s="231"/>
    </row>
    <row r="618" spans="5:12" ht="15" customHeight="1" x14ac:dyDescent="0.2">
      <c r="E618" s="96" t="str">
        <v/>
      </c>
      <c r="F618" s="96">
        <v>6</v>
      </c>
      <c r="G618" s="96">
        <v>6</v>
      </c>
      <c r="H618" s="96" t="str">
        <v/>
      </c>
      <c r="I618" s="96" t="str">
        <v/>
      </c>
      <c r="L618" s="231"/>
    </row>
    <row r="619" spans="5:12" ht="15" customHeight="1" x14ac:dyDescent="0.2">
      <c r="E619" s="96" t="str">
        <v/>
      </c>
      <c r="F619" s="96" t="str">
        <v/>
      </c>
      <c r="G619" s="96" t="str">
        <v/>
      </c>
      <c r="H619" s="96" t="str">
        <v/>
      </c>
      <c r="I619" s="96" t="str">
        <v/>
      </c>
      <c r="L619" s="231"/>
    </row>
    <row r="621" spans="5:12" ht="25.5" customHeight="1" x14ac:dyDescent="0.2">
      <c r="E621" s="152" t="s">
        <v>1048</v>
      </c>
      <c r="F621" s="152"/>
      <c r="G621" s="152"/>
      <c r="H621" s="152"/>
      <c r="I621" s="152"/>
      <c r="J621" s="152"/>
    </row>
    <row r="622" spans="5:12" ht="25.5" customHeight="1" x14ac:dyDescent="0.2">
      <c r="E622" s="156" t="s">
        <v>2686</v>
      </c>
      <c r="F622" s="157"/>
      <c r="G622" s="157"/>
      <c r="H622" s="157"/>
      <c r="I622" s="157"/>
      <c r="J622" s="158"/>
    </row>
    <row r="623" spans="5:12" ht="21.75" customHeight="1" x14ac:dyDescent="0.2">
      <c r="E623" s="147" t="s">
        <v>1482</v>
      </c>
      <c r="F623" s="147"/>
      <c r="G623" s="147"/>
      <c r="H623" s="147"/>
      <c r="I623" s="147"/>
      <c r="J623" s="147"/>
    </row>
    <row r="625" spans="5:12" ht="12.75" customHeight="1" x14ac:dyDescent="0.2"/>
    <row r="626" spans="5:12" ht="15.75" customHeight="1" x14ac:dyDescent="0.2">
      <c r="E626" s="159" t="s">
        <v>1031</v>
      </c>
      <c r="F626" s="159"/>
      <c r="G626" s="159"/>
      <c r="H626" s="159"/>
      <c r="I626" s="159"/>
      <c r="J626" s="159"/>
      <c r="K626" s="159"/>
      <c r="L626" s="159"/>
    </row>
    <row r="627" spans="5:12" ht="15" customHeight="1" x14ac:dyDescent="0.2">
      <c r="E627" s="152" t="s">
        <v>2687</v>
      </c>
      <c r="F627" s="149"/>
      <c r="G627" s="149"/>
      <c r="H627" s="149"/>
      <c r="I627" s="149"/>
      <c r="J627" s="149"/>
    </row>
    <row r="628" spans="5:12" ht="32.25" customHeight="1" x14ac:dyDescent="0.2">
      <c r="E628" s="147" t="s">
        <v>2688</v>
      </c>
      <c r="F628" s="147"/>
      <c r="G628" s="147"/>
      <c r="H628" s="147"/>
      <c r="I628" s="147"/>
      <c r="J628" s="147"/>
    </row>
    <row r="630" spans="5:12" ht="12.75" customHeight="1" x14ac:dyDescent="0.2">
      <c r="E630" s="22" t="s">
        <v>2689</v>
      </c>
    </row>
    <row r="631" spans="5:12" ht="15" customHeight="1" x14ac:dyDescent="0.2">
      <c r="E631" s="94" t="s">
        <v>453</v>
      </c>
      <c r="F631" s="94" t="s">
        <v>665</v>
      </c>
      <c r="G631" s="94" t="s">
        <v>453</v>
      </c>
      <c r="H631" s="94" t="s">
        <v>665</v>
      </c>
      <c r="I631" s="94" t="s">
        <v>453</v>
      </c>
    </row>
    <row r="632" spans="5:12" ht="15" customHeight="1" x14ac:dyDescent="0.2">
      <c r="E632" s="94" t="s">
        <v>453</v>
      </c>
      <c r="F632" s="94"/>
      <c r="G632" s="94" t="s">
        <v>453</v>
      </c>
      <c r="H632" s="94"/>
      <c r="I632" s="94" t="s">
        <v>665</v>
      </c>
    </row>
    <row r="633" spans="5:12" ht="15" customHeight="1" x14ac:dyDescent="0.2">
      <c r="E633" s="94"/>
      <c r="F633" s="94"/>
      <c r="G633" s="94"/>
      <c r="H633" s="94"/>
      <c r="I633" s="94" t="s">
        <v>453</v>
      </c>
    </row>
    <row r="634" spans="5:12" ht="15" customHeight="1" x14ac:dyDescent="0.2">
      <c r="E634" s="94" t="s">
        <v>453</v>
      </c>
      <c r="F634" s="94" t="s">
        <v>453</v>
      </c>
      <c r="G634" s="94" t="s">
        <v>453</v>
      </c>
      <c r="H634" s="94"/>
      <c r="I634" s="94" t="s">
        <v>453</v>
      </c>
    </row>
    <row r="635" spans="5:12" ht="15" customHeight="1" x14ac:dyDescent="0.2">
      <c r="E635" s="94"/>
      <c r="F635" s="94" t="s">
        <v>665</v>
      </c>
      <c r="G635" s="94"/>
      <c r="H635" s="94"/>
      <c r="I635" s="94" t="s">
        <v>453</v>
      </c>
    </row>
    <row r="637" spans="5:12" ht="12.75" customHeight="1" x14ac:dyDescent="0.2">
      <c r="E637" s="22" t="s">
        <v>2690</v>
      </c>
    </row>
    <row r="638" spans="5:12" ht="15" customHeight="1" x14ac:dyDescent="0.2">
      <c r="E638" s="94">
        <v>1</v>
      </c>
      <c r="F638" s="94">
        <v>-1</v>
      </c>
    </row>
    <row r="640" spans="5:12" ht="12.75" customHeight="1" x14ac:dyDescent="0.2">
      <c r="E640" s="22" t="s">
        <v>2334</v>
      </c>
      <c r="K640" s="24" t="s">
        <v>2335</v>
      </c>
      <c r="L640" s="24" t="s">
        <v>2336</v>
      </c>
    </row>
    <row r="641" spans="5:12" ht="21.75" customHeight="1" x14ac:dyDescent="0.2">
      <c r="E641" s="230" t="s">
        <v>3145</v>
      </c>
      <c r="F641" s="230"/>
      <c r="G641" s="230"/>
      <c r="H641" s="230"/>
      <c r="I641" s="230"/>
      <c r="J641" s="230"/>
      <c r="K641" s="5" t="s">
        <v>2691</v>
      </c>
    </row>
    <row r="642" spans="5:12" ht="15" customHeight="1" x14ac:dyDescent="0.2">
      <c r="E642" s="25" t="str" cm="1">
        <f t="array" ref="E642:I646">LineOfSight_byHadynWiseman($E$631:$I$635,"a","x")</f>
        <v>x</v>
      </c>
      <c r="F642" s="96" t="str">
        <v>a</v>
      </c>
      <c r="G642" s="96" t="str">
        <v>x</v>
      </c>
      <c r="H642" s="96" t="str">
        <v>a</v>
      </c>
      <c r="I642" s="96" t="str">
        <v>x</v>
      </c>
      <c r="K642" s="78" t="s">
        <v>1988</v>
      </c>
      <c r="L642" s="231" t="s">
        <v>2692</v>
      </c>
    </row>
    <row r="643" spans="5:12" ht="15" customHeight="1" x14ac:dyDescent="0.2">
      <c r="E643" s="96" t="str">
        <v>x</v>
      </c>
      <c r="F643" s="96" t="str">
        <v>a</v>
      </c>
      <c r="G643" s="96" t="str">
        <v>x</v>
      </c>
      <c r="H643" s="96" t="str">
        <v>a</v>
      </c>
      <c r="I643" s="96" t="str">
        <v>a</v>
      </c>
      <c r="L643" s="231"/>
    </row>
    <row r="644" spans="5:12" ht="15" customHeight="1" x14ac:dyDescent="0.2">
      <c r="E644" s="96" t="str">
        <v/>
      </c>
      <c r="F644" s="96" t="str">
        <v>a</v>
      </c>
      <c r="G644" s="96" t="str">
        <v/>
      </c>
      <c r="H644" s="96" t="str">
        <v>a</v>
      </c>
      <c r="I644" s="96" t="str">
        <v>x</v>
      </c>
      <c r="L644" s="231"/>
    </row>
    <row r="645" spans="5:12" ht="15" customHeight="1" x14ac:dyDescent="0.2">
      <c r="E645" s="96" t="str">
        <v>x</v>
      </c>
      <c r="F645" s="96" t="str">
        <v>x</v>
      </c>
      <c r="G645" s="96" t="str">
        <v>x</v>
      </c>
      <c r="H645" s="96" t="str">
        <v>a</v>
      </c>
      <c r="I645" s="96" t="str">
        <v>x</v>
      </c>
      <c r="L645" s="231"/>
    </row>
    <row r="646" spans="5:12" ht="15" customHeight="1" x14ac:dyDescent="0.2">
      <c r="E646" s="96" t="str">
        <v>a</v>
      </c>
      <c r="F646" s="96" t="str">
        <v>a</v>
      </c>
      <c r="G646" s="96" t="str">
        <v>a</v>
      </c>
      <c r="H646" s="96" t="str">
        <v>a</v>
      </c>
      <c r="I646" s="96" t="str">
        <v>x</v>
      </c>
      <c r="L646" s="231"/>
    </row>
    <row r="648" spans="5:12" ht="15" customHeight="1" x14ac:dyDescent="0.2">
      <c r="E648" s="230" t="s">
        <v>3146</v>
      </c>
      <c r="F648" s="230"/>
      <c r="G648" s="230"/>
      <c r="H648" s="230"/>
      <c r="I648" s="230"/>
      <c r="J648" s="230"/>
      <c r="K648" s="5" t="s">
        <v>2693</v>
      </c>
    </row>
    <row r="649" spans="5:12" ht="15" customHeight="1" x14ac:dyDescent="0.2">
      <c r="E649" s="25" t="str" cm="1">
        <f t="array" ref="E649:I653">LineOfSight_byHadynWiseman($E$631:$I$635,"a","x",0,1)</f>
        <v>x</v>
      </c>
      <c r="F649" s="96" t="str">
        <v>a</v>
      </c>
      <c r="G649" s="96" t="str">
        <v>x</v>
      </c>
      <c r="H649" s="96" t="str">
        <v>a</v>
      </c>
      <c r="I649" s="96" t="str">
        <v>x</v>
      </c>
      <c r="K649" s="78" t="s">
        <v>1988</v>
      </c>
      <c r="L649" s="231" t="s">
        <v>2694</v>
      </c>
    </row>
    <row r="650" spans="5:12" ht="15" customHeight="1" x14ac:dyDescent="0.2">
      <c r="E650" s="96" t="str">
        <v>x</v>
      </c>
      <c r="F650" s="96" t="str">
        <v>a</v>
      </c>
      <c r="G650" s="96" t="str">
        <v>x</v>
      </c>
      <c r="H650" s="96" t="str">
        <v>a</v>
      </c>
      <c r="I650" s="96" t="str">
        <v>a</v>
      </c>
      <c r="L650" s="231"/>
    </row>
    <row r="651" spans="5:12" ht="15" customHeight="1" x14ac:dyDescent="0.2">
      <c r="E651" s="96" t="str">
        <v/>
      </c>
      <c r="F651" s="96" t="str">
        <v/>
      </c>
      <c r="G651" s="96" t="str">
        <v/>
      </c>
      <c r="H651" s="96" t="str">
        <v>a</v>
      </c>
      <c r="I651" s="96" t="str">
        <v>x</v>
      </c>
      <c r="L651" s="231"/>
    </row>
    <row r="652" spans="5:12" ht="15" customHeight="1" x14ac:dyDescent="0.2">
      <c r="E652" s="96" t="str">
        <v>x</v>
      </c>
      <c r="F652" s="96" t="str">
        <v>x</v>
      </c>
      <c r="G652" s="96" t="str">
        <v>x</v>
      </c>
      <c r="H652" s="96" t="str">
        <v/>
      </c>
      <c r="I652" s="96" t="str">
        <v>x</v>
      </c>
      <c r="L652" s="231"/>
    </row>
    <row r="653" spans="5:12" ht="15" customHeight="1" x14ac:dyDescent="0.2">
      <c r="E653" s="96" t="str">
        <v>a</v>
      </c>
      <c r="F653" s="96" t="str">
        <v>a</v>
      </c>
      <c r="G653" s="96" t="str">
        <v>a</v>
      </c>
      <c r="H653" s="96" t="str">
        <v/>
      </c>
      <c r="I653" s="96" t="str">
        <v>x</v>
      </c>
      <c r="L653" s="231"/>
    </row>
    <row r="655" spans="5:12" ht="21.75" customHeight="1" x14ac:dyDescent="0.2">
      <c r="E655" s="230" t="s">
        <v>3147</v>
      </c>
      <c r="F655" s="230"/>
      <c r="G655" s="230"/>
      <c r="H655" s="230"/>
      <c r="I655" s="230"/>
      <c r="J655" s="230"/>
      <c r="K655" s="5" t="s">
        <v>2855</v>
      </c>
    </row>
    <row r="656" spans="5:12" ht="15" customHeight="1" x14ac:dyDescent="0.2">
      <c r="E656" s="25" t="str" cm="1">
        <f t="array" ref="E656:I660">LineOfSight_byHadynWiseman($E$631:$I$635,"a","x",0,,,"o")</f>
        <v>x</v>
      </c>
      <c r="F656" s="96" t="str">
        <v>o</v>
      </c>
      <c r="G656" s="96" t="str">
        <v>x</v>
      </c>
      <c r="H656" s="96" t="str">
        <v>a</v>
      </c>
      <c r="I656" s="96" t="str">
        <v>x</v>
      </c>
      <c r="K656" s="78" t="s">
        <v>1988</v>
      </c>
      <c r="L656" s="231" t="s">
        <v>2856</v>
      </c>
    </row>
    <row r="657" spans="5:12" ht="15" customHeight="1" x14ac:dyDescent="0.2">
      <c r="E657" s="96" t="str">
        <v>x</v>
      </c>
      <c r="F657" s="96" t="str">
        <v/>
      </c>
      <c r="G657" s="96" t="str">
        <v>x</v>
      </c>
      <c r="H657" s="96" t="str">
        <v/>
      </c>
      <c r="I657" s="96" t="str">
        <v>a</v>
      </c>
      <c r="L657" s="231"/>
    </row>
    <row r="658" spans="5:12" ht="15" customHeight="1" x14ac:dyDescent="0.2">
      <c r="E658" s="96" t="str">
        <v/>
      </c>
      <c r="F658" s="96" t="str">
        <v/>
      </c>
      <c r="G658" s="96" t="str">
        <v/>
      </c>
      <c r="H658" s="96" t="str">
        <v/>
      </c>
      <c r="I658" s="96" t="str">
        <v>x</v>
      </c>
      <c r="L658" s="231"/>
    </row>
    <row r="659" spans="5:12" ht="15" customHeight="1" x14ac:dyDescent="0.2">
      <c r="E659" s="96" t="str">
        <v>x</v>
      </c>
      <c r="F659" s="96" t="str">
        <v>x</v>
      </c>
      <c r="G659" s="96" t="str">
        <v>x</v>
      </c>
      <c r="H659" s="96" t="str">
        <v/>
      </c>
      <c r="I659" s="96" t="str">
        <v>x</v>
      </c>
      <c r="L659" s="231"/>
    </row>
    <row r="660" spans="5:12" ht="15" customHeight="1" x14ac:dyDescent="0.2">
      <c r="E660" s="96" t="str">
        <v/>
      </c>
      <c r="F660" s="96" t="str">
        <v>a</v>
      </c>
      <c r="G660" s="96" t="str">
        <v/>
      </c>
      <c r="H660" s="96" t="str">
        <v/>
      </c>
      <c r="I660" s="96" t="str">
        <v>x</v>
      </c>
      <c r="L660" s="231"/>
    </row>
    <row r="662" spans="5:12" ht="21.75" customHeight="1" x14ac:dyDescent="0.2">
      <c r="E662" s="230" t="s">
        <v>3148</v>
      </c>
      <c r="F662" s="230"/>
      <c r="G662" s="230"/>
      <c r="H662" s="230"/>
      <c r="I662" s="230"/>
      <c r="J662" s="230"/>
      <c r="K662" s="5" t="s">
        <v>2695</v>
      </c>
    </row>
    <row r="663" spans="5:12" ht="15" customHeight="1" x14ac:dyDescent="0.2">
      <c r="E663" s="25" t="str" cm="1">
        <f t="array" ref="E663:I667">LineOfSight_byHadynWiseman($E$631:$I$635,"a","x",0,,$E$638:$F$638)</f>
        <v>x</v>
      </c>
      <c r="F663" s="96" t="str">
        <v>a</v>
      </c>
      <c r="G663" s="96" t="str">
        <v>x</v>
      </c>
      <c r="H663" s="96" t="str">
        <v>a</v>
      </c>
      <c r="I663" s="96" t="str">
        <v>x</v>
      </c>
      <c r="K663" s="78" t="s">
        <v>1988</v>
      </c>
      <c r="L663" s="231" t="s">
        <v>2696</v>
      </c>
    </row>
    <row r="664" spans="5:12" ht="15" customHeight="1" x14ac:dyDescent="0.2">
      <c r="E664" s="96" t="str">
        <v>x</v>
      </c>
      <c r="F664" s="96" t="str">
        <v/>
      </c>
      <c r="G664" s="96" t="str">
        <v>x</v>
      </c>
      <c r="H664" s="96" t="str">
        <v>a</v>
      </c>
      <c r="I664" s="96" t="str">
        <v>a</v>
      </c>
      <c r="L664" s="231"/>
    </row>
    <row r="665" spans="5:12" ht="15" customHeight="1" x14ac:dyDescent="0.2">
      <c r="E665" s="96" t="str">
        <v/>
      </c>
      <c r="F665" s="96" t="str">
        <v/>
      </c>
      <c r="G665" s="96" t="str">
        <v/>
      </c>
      <c r="H665" s="96" t="str">
        <v/>
      </c>
      <c r="I665" s="96" t="str">
        <v>x</v>
      </c>
      <c r="L665" s="231"/>
    </row>
    <row r="666" spans="5:12" ht="15" customHeight="1" x14ac:dyDescent="0.2">
      <c r="E666" s="96" t="str">
        <v>x</v>
      </c>
      <c r="F666" s="96" t="str">
        <v>x</v>
      </c>
      <c r="G666" s="96" t="str">
        <v>x</v>
      </c>
      <c r="H666" s="96" t="str">
        <v/>
      </c>
      <c r="I666" s="96" t="str">
        <v>x</v>
      </c>
      <c r="L666" s="231"/>
    </row>
    <row r="667" spans="5:12" ht="15" customHeight="1" x14ac:dyDescent="0.2">
      <c r="E667" s="96" t="str">
        <v>a</v>
      </c>
      <c r="F667" s="96" t="str">
        <v>a</v>
      </c>
      <c r="G667" s="96" t="str">
        <v>a</v>
      </c>
      <c r="H667" s="96" t="str">
        <v>a</v>
      </c>
      <c r="I667" s="96" t="str">
        <v>x</v>
      </c>
      <c r="L667" s="231"/>
    </row>
    <row r="669" spans="5:12" ht="21.75" customHeight="1" x14ac:dyDescent="0.2">
      <c r="E669" s="230" t="s">
        <v>3149</v>
      </c>
      <c r="F669" s="230"/>
      <c r="G669" s="230"/>
      <c r="H669" s="230"/>
      <c r="I669" s="230"/>
      <c r="J669" s="230"/>
      <c r="K669" s="5" t="s">
        <v>2697</v>
      </c>
      <c r="L669" s="89" t="s">
        <v>2479</v>
      </c>
    </row>
    <row r="670" spans="5:12" ht="15" customHeight="1" x14ac:dyDescent="0.2">
      <c r="E670" s="25" cm="1">
        <f t="array" ref="E670">LineOfSightCount_byHadynWiseman("H633",$E$631:$I$635,"a","x")</f>
        <v>2</v>
      </c>
      <c r="K670" s="78"/>
    </row>
    <row r="672" spans="5:12" ht="21.75" customHeight="1" x14ac:dyDescent="0.2">
      <c r="E672" s="230" t="s">
        <v>3150</v>
      </c>
      <c r="F672" s="230"/>
      <c r="G672" s="230"/>
      <c r="H672" s="230"/>
      <c r="I672" s="230"/>
      <c r="J672" s="230"/>
      <c r="K672" s="5" t="s">
        <v>2698</v>
      </c>
      <c r="L672" s="89" t="s">
        <v>108</v>
      </c>
    </row>
    <row r="673" spans="5:12" ht="15" customHeight="1" x14ac:dyDescent="0.2">
      <c r="E673" s="25" cm="1">
        <f t="array" ref="E673">LineOfSightCount_byHadynWiseman("H633",$E$631:$I$635,"a")</f>
        <v>4</v>
      </c>
      <c r="K673" s="78"/>
    </row>
    <row r="675" spans="5:12" ht="15" customHeight="1" x14ac:dyDescent="0.2">
      <c r="E675" s="230" t="s">
        <v>3151</v>
      </c>
      <c r="F675" s="230"/>
      <c r="G675" s="230"/>
      <c r="H675" s="230"/>
      <c r="I675" s="230"/>
      <c r="J675" s="230"/>
      <c r="K675" s="5" t="s">
        <v>2699</v>
      </c>
      <c r="L675" s="89" t="s">
        <v>2478</v>
      </c>
    </row>
    <row r="676" spans="5:12" ht="15" customHeight="1" x14ac:dyDescent="0.2">
      <c r="E676" s="25" cm="1">
        <f t="array" ref="E676">LineOfSightCount_byHadynWiseman("H633",$E$631:$I$635,"a","x",1)</f>
        <v>1</v>
      </c>
      <c r="K676" s="78"/>
    </row>
    <row r="678" spans="5:12" ht="15" customHeight="1" x14ac:dyDescent="0.2">
      <c r="E678" s="230" t="s">
        <v>3152</v>
      </c>
      <c r="F678" s="230"/>
      <c r="G678" s="230"/>
      <c r="H678" s="230"/>
      <c r="I678" s="230"/>
      <c r="J678" s="230"/>
      <c r="K678" s="5" t="s">
        <v>2700</v>
      </c>
      <c r="L678" s="89" t="s">
        <v>2478</v>
      </c>
    </row>
    <row r="679" spans="5:12" ht="15" customHeight="1" x14ac:dyDescent="0.2">
      <c r="E679" s="25" cm="1">
        <f t="array" ref="E679">LineOfSightCount_byHadynWiseman("H633",$E$631:$I$635,"a","x",0,1)</f>
        <v>1</v>
      </c>
      <c r="K679" s="78"/>
    </row>
    <row r="681" spans="5:12" ht="21.75" customHeight="1" x14ac:dyDescent="0.2">
      <c r="E681" s="230" t="s">
        <v>3153</v>
      </c>
      <c r="F681" s="230"/>
      <c r="G681" s="230"/>
      <c r="H681" s="230"/>
      <c r="I681" s="230"/>
      <c r="J681" s="230"/>
      <c r="K681" s="5" t="s">
        <v>2701</v>
      </c>
      <c r="L681" s="89" t="s">
        <v>2479</v>
      </c>
    </row>
    <row r="682" spans="5:12" ht="15" customHeight="1" x14ac:dyDescent="0.2">
      <c r="E682" s="25" cm="1">
        <f t="array" ref="E682">LineOfSightCount_byHadynWiseman("I632",$E$631:$I$635,"a","x")</f>
        <v>2</v>
      </c>
      <c r="K682" s="78"/>
    </row>
    <row r="684" spans="5:12" ht="25.5" customHeight="1" x14ac:dyDescent="0.2">
      <c r="E684" s="152" t="s">
        <v>2702</v>
      </c>
      <c r="F684" s="152"/>
      <c r="G684" s="152"/>
      <c r="H684" s="152"/>
      <c r="I684" s="152"/>
      <c r="J684" s="152"/>
    </row>
    <row r="685" spans="5:12" ht="12.75" customHeight="1" x14ac:dyDescent="0.2"/>
    <row r="686" spans="5:12" ht="21.75" customHeight="1" x14ac:dyDescent="0.2"/>
    <row r="687" spans="5:12" ht="15.75" customHeight="1" x14ac:dyDescent="0.2">
      <c r="E687" s="159" t="s">
        <v>1032</v>
      </c>
      <c r="F687" s="159"/>
      <c r="G687" s="159"/>
      <c r="H687" s="159"/>
      <c r="I687" s="159"/>
      <c r="J687" s="159"/>
      <c r="K687" s="159"/>
      <c r="L687" s="159"/>
    </row>
    <row r="688" spans="5:12" ht="25.5" customHeight="1" x14ac:dyDescent="0.2">
      <c r="E688" s="152" t="s">
        <v>2703</v>
      </c>
      <c r="F688" s="149"/>
      <c r="G688" s="149"/>
      <c r="H688" s="149"/>
      <c r="I688" s="149"/>
      <c r="J688" s="149"/>
    </row>
    <row r="689" spans="5:10" ht="21.75" customHeight="1" x14ac:dyDescent="0.2">
      <c r="E689" s="147" t="s">
        <v>2704</v>
      </c>
      <c r="F689" s="147"/>
      <c r="G689" s="147"/>
      <c r="H689" s="147"/>
      <c r="I689" s="147"/>
      <c r="J689" s="147"/>
    </row>
    <row r="691" spans="5:10" ht="12.75" customHeight="1" x14ac:dyDescent="0.2">
      <c r="E691" s="22" t="s">
        <v>3154</v>
      </c>
    </row>
    <row r="692" spans="5:10" ht="15" customHeight="1" x14ac:dyDescent="0.2">
      <c r="E692" s="94" t="s">
        <v>1103</v>
      </c>
      <c r="F692" s="94" t="s">
        <v>1103</v>
      </c>
      <c r="G692" s="94" t="s">
        <v>1103</v>
      </c>
      <c r="H692" s="94" t="s">
        <v>1103</v>
      </c>
      <c r="I692" s="94" t="s">
        <v>453</v>
      </c>
      <c r="J692" s="94" t="s">
        <v>1103</v>
      </c>
    </row>
    <row r="693" spans="5:10" ht="15" customHeight="1" x14ac:dyDescent="0.2">
      <c r="E693" s="94" t="s">
        <v>453</v>
      </c>
      <c r="F693" s="94" t="s">
        <v>453</v>
      </c>
      <c r="G693" s="94" t="s">
        <v>1103</v>
      </c>
      <c r="H693" s="94" t="s">
        <v>453</v>
      </c>
      <c r="I693" s="94" t="s">
        <v>453</v>
      </c>
      <c r="J693" s="94" t="s">
        <v>1103</v>
      </c>
    </row>
    <row r="694" spans="5:10" ht="15" customHeight="1" x14ac:dyDescent="0.2">
      <c r="E694" s="94" t="s">
        <v>1103</v>
      </c>
      <c r="F694" s="94" t="s">
        <v>1103</v>
      </c>
      <c r="G694" s="94" t="s">
        <v>1103</v>
      </c>
      <c r="H694" s="94" t="s">
        <v>1103</v>
      </c>
      <c r="I694" s="94" t="s">
        <v>1103</v>
      </c>
      <c r="J694" s="94" t="s">
        <v>1103</v>
      </c>
    </row>
    <row r="695" spans="5:10" ht="15" customHeight="1" x14ac:dyDescent="0.2">
      <c r="E695" s="94" t="s">
        <v>1103</v>
      </c>
      <c r="F695" s="94" t="s">
        <v>453</v>
      </c>
      <c r="G695" s="94" t="s">
        <v>453</v>
      </c>
      <c r="H695" s="94" t="s">
        <v>453</v>
      </c>
      <c r="I695" s="94" t="s">
        <v>453</v>
      </c>
      <c r="J695" s="94" t="s">
        <v>1103</v>
      </c>
    </row>
    <row r="696" spans="5:10" ht="15" customHeight="1" x14ac:dyDescent="0.2">
      <c r="E696" s="94" t="s">
        <v>1103</v>
      </c>
      <c r="F696" s="94" t="s">
        <v>453</v>
      </c>
      <c r="G696" s="94" t="s">
        <v>1103</v>
      </c>
      <c r="H696" s="94" t="s">
        <v>1103</v>
      </c>
      <c r="I696" s="94" t="s">
        <v>453</v>
      </c>
      <c r="J696" s="94" t="s">
        <v>1103</v>
      </c>
    </row>
    <row r="697" spans="5:10" ht="15" customHeight="1" x14ac:dyDescent="0.2">
      <c r="E697" s="94" t="s">
        <v>1103</v>
      </c>
      <c r="F697" s="94" t="s">
        <v>1103</v>
      </c>
      <c r="G697" s="94" t="s">
        <v>1103</v>
      </c>
      <c r="H697" s="94" t="s">
        <v>453</v>
      </c>
      <c r="I697" s="94" t="s">
        <v>1103</v>
      </c>
      <c r="J697" s="94" t="s">
        <v>1103</v>
      </c>
    </row>
    <row r="699" spans="5:10" ht="12.75" customHeight="1" x14ac:dyDescent="0.2">
      <c r="E699" s="22" t="s">
        <v>3242</v>
      </c>
    </row>
    <row r="700" spans="5:10" ht="15" customHeight="1" x14ac:dyDescent="0.2">
      <c r="E700" s="94"/>
      <c r="F700" s="94"/>
      <c r="G700" s="94"/>
      <c r="H700" s="94"/>
      <c r="I700" s="94" t="s">
        <v>689</v>
      </c>
      <c r="J700" s="94"/>
    </row>
    <row r="701" spans="5:10" ht="15" customHeight="1" x14ac:dyDescent="0.2">
      <c r="E701" s="94" t="s">
        <v>689</v>
      </c>
      <c r="F701" s="94" t="s">
        <v>689</v>
      </c>
      <c r="G701" s="94"/>
      <c r="H701" s="94" t="s">
        <v>689</v>
      </c>
      <c r="I701" s="94" t="s">
        <v>689</v>
      </c>
      <c r="J701" s="94"/>
    </row>
    <row r="702" spans="5:10" ht="15" customHeight="1" x14ac:dyDescent="0.2">
      <c r="E702" s="94"/>
      <c r="F702" s="94"/>
      <c r="G702" s="94"/>
      <c r="H702" s="94"/>
      <c r="I702" s="94"/>
      <c r="J702" s="94"/>
    </row>
    <row r="703" spans="5:10" ht="15" customHeight="1" x14ac:dyDescent="0.2">
      <c r="E703" s="94"/>
      <c r="F703" s="94" t="s">
        <v>689</v>
      </c>
      <c r="G703" s="94" t="s">
        <v>689</v>
      </c>
      <c r="H703" s="94" t="s">
        <v>689</v>
      </c>
      <c r="I703" s="94" t="s">
        <v>689</v>
      </c>
      <c r="J703" s="94"/>
    </row>
    <row r="704" spans="5:10" ht="15" customHeight="1" x14ac:dyDescent="0.2">
      <c r="E704" s="94"/>
      <c r="F704" s="94" t="s">
        <v>689</v>
      </c>
      <c r="G704" s="94"/>
      <c r="H704" s="94"/>
      <c r="I704" s="94" t="s">
        <v>689</v>
      </c>
      <c r="J704" s="94"/>
    </row>
    <row r="705" spans="5:12" ht="15" customHeight="1" x14ac:dyDescent="0.2">
      <c r="E705" s="94"/>
      <c r="F705" s="94"/>
      <c r="G705" s="94"/>
      <c r="H705" s="94" t="s">
        <v>689</v>
      </c>
      <c r="I705" s="94"/>
      <c r="J705" s="94"/>
    </row>
    <row r="707" spans="5:12" ht="12.75" customHeight="1" x14ac:dyDescent="0.2">
      <c r="E707" s="22" t="s">
        <v>2334</v>
      </c>
      <c r="K707" s="24" t="s">
        <v>2335</v>
      </c>
      <c r="L707" s="24" t="s">
        <v>2336</v>
      </c>
    </row>
    <row r="708" spans="5:12" ht="21.75" customHeight="1" x14ac:dyDescent="0.2">
      <c r="E708" s="230" t="s">
        <v>3155</v>
      </c>
      <c r="F708" s="230"/>
      <c r="G708" s="230"/>
      <c r="H708" s="230"/>
      <c r="I708" s="230"/>
      <c r="J708" s="230"/>
      <c r="K708" s="5" t="s">
        <v>2705</v>
      </c>
    </row>
    <row r="709" spans="5:12" ht="15" customHeight="1" x14ac:dyDescent="0.2">
      <c r="E709" s="25" t="str" cm="1">
        <f t="array" ref="E709:J714">HugWall_byHadynWiseman($E$692:$J$697,"E692","→",0,$E$692:$J$697="p",14,,1)</f>
        <v>1</v>
      </c>
      <c r="F709" s="96" t="str">
        <v>2</v>
      </c>
      <c r="G709" s="96" t="str">
        <v>3, 5</v>
      </c>
      <c r="H709" s="96" t="str">
        <v>4</v>
      </c>
      <c r="I709" s="96" t="str">
        <v>x</v>
      </c>
      <c r="J709" s="96" t="str">
        <v>12</v>
      </c>
      <c r="K709" s="78" t="s">
        <v>2097</v>
      </c>
      <c r="L709" s="231" t="s">
        <v>2706</v>
      </c>
    </row>
    <row r="710" spans="5:12" ht="15" customHeight="1" x14ac:dyDescent="0.2">
      <c r="E710" s="96" t="str">
        <v>x</v>
      </c>
      <c r="F710" s="96" t="str">
        <v>x</v>
      </c>
      <c r="G710" s="96" t="str">
        <v>6</v>
      </c>
      <c r="H710" s="96" t="str">
        <v>x</v>
      </c>
      <c r="I710" s="96" t="str">
        <v>x</v>
      </c>
      <c r="J710" s="96" t="str">
        <v>11, 13</v>
      </c>
      <c r="L710" s="231"/>
    </row>
    <row r="711" spans="5:12" ht="15" customHeight="1" x14ac:dyDescent="0.2">
      <c r="E711" s="96" t="str">
        <v>p</v>
      </c>
      <c r="F711" s="96" t="str">
        <v>p</v>
      </c>
      <c r="G711" s="96" t="str">
        <v>7</v>
      </c>
      <c r="H711" s="96" t="str">
        <v>8</v>
      </c>
      <c r="I711" s="96" t="str">
        <v>9</v>
      </c>
      <c r="J711" s="96" t="str">
        <v>10, 14</v>
      </c>
      <c r="L711" s="231"/>
    </row>
    <row r="712" spans="5:12" ht="15" customHeight="1" x14ac:dyDescent="0.2">
      <c r="E712" s="96" t="str">
        <v>p</v>
      </c>
      <c r="F712" s="96" t="str">
        <v>x</v>
      </c>
      <c r="G712" s="96" t="str">
        <v>x</v>
      </c>
      <c r="H712" s="96" t="str">
        <v>x</v>
      </c>
      <c r="I712" s="96" t="str">
        <v>x</v>
      </c>
      <c r="J712" s="96" t="str">
        <v>15</v>
      </c>
      <c r="L712" s="231"/>
    </row>
    <row r="713" spans="5:12" ht="15" customHeight="1" x14ac:dyDescent="0.2">
      <c r="E713" s="96" t="str">
        <v>p</v>
      </c>
      <c r="F713" s="96" t="str">
        <v>x</v>
      </c>
      <c r="G713" s="96" t="str">
        <v>p</v>
      </c>
      <c r="H713" s="96" t="str">
        <v>p</v>
      </c>
      <c r="I713" s="96" t="str">
        <v>x</v>
      </c>
      <c r="J713" s="96" t="str">
        <v>16</v>
      </c>
      <c r="L713" s="231"/>
    </row>
    <row r="714" spans="5:12" ht="15" customHeight="1" x14ac:dyDescent="0.2">
      <c r="E714" s="96" t="str">
        <v>p</v>
      </c>
      <c r="F714" s="96" t="str">
        <v>p</v>
      </c>
      <c r="G714" s="96" t="str">
        <v>p</v>
      </c>
      <c r="H714" s="96" t="str">
        <v>x</v>
      </c>
      <c r="I714" s="96" t="str">
        <v>p</v>
      </c>
      <c r="J714" s="96" t="str">
        <v>p</v>
      </c>
      <c r="L714" s="231"/>
    </row>
    <row r="716" spans="5:12" ht="21.75" customHeight="1" x14ac:dyDescent="0.2">
      <c r="E716" s="230" t="s">
        <v>3156</v>
      </c>
      <c r="F716" s="230"/>
      <c r="G716" s="230"/>
      <c r="H716" s="230"/>
      <c r="I716" s="230"/>
      <c r="J716" s="230"/>
      <c r="K716" s="5" t="s">
        <v>2707</v>
      </c>
    </row>
    <row r="717" spans="5:12" ht="15" customHeight="1" x14ac:dyDescent="0.2">
      <c r="E717" s="25" t="str" cm="1">
        <f t="array" ref="E717:E724">HugWall_byHadynWiseman($E$692:$J$697,"E692","→",0,$E$692:$J$697="p",6)</f>
        <v>E692</v>
      </c>
      <c r="K717" s="78" t="s">
        <v>2407</v>
      </c>
      <c r="L717" s="231" t="s">
        <v>3157</v>
      </c>
    </row>
    <row r="718" spans="5:12" ht="15" customHeight="1" x14ac:dyDescent="0.2">
      <c r="E718" s="96" t="str">
        <v>F692</v>
      </c>
      <c r="L718" s="231"/>
    </row>
    <row r="719" spans="5:12" ht="15" customHeight="1" x14ac:dyDescent="0.2">
      <c r="E719" s="96" t="str">
        <v>G692</v>
      </c>
      <c r="L719" s="231"/>
    </row>
    <row r="720" spans="5:12" ht="15" customHeight="1" x14ac:dyDescent="0.2">
      <c r="E720" s="96" t="str">
        <v>H692</v>
      </c>
      <c r="L720" s="231"/>
    </row>
    <row r="721" spans="5:12" ht="15" customHeight="1" x14ac:dyDescent="0.2">
      <c r="E721" s="96" t="str">
        <v>G692</v>
      </c>
      <c r="L721" s="231"/>
    </row>
    <row r="722" spans="5:12" ht="15" customHeight="1" x14ac:dyDescent="0.2">
      <c r="E722" s="96" t="str">
        <v>G693</v>
      </c>
      <c r="L722" s="231"/>
    </row>
    <row r="723" spans="5:12" ht="15" customHeight="1" x14ac:dyDescent="0.2">
      <c r="E723" s="96" t="str">
        <v>G694</v>
      </c>
      <c r="L723" s="231"/>
    </row>
    <row r="724" spans="5:12" ht="15" customHeight="1" x14ac:dyDescent="0.2">
      <c r="E724" s="96" t="str">
        <v>H694</v>
      </c>
      <c r="L724" s="231"/>
    </row>
    <row r="726" spans="5:12" ht="21.75" customHeight="1" x14ac:dyDescent="0.2">
      <c r="E726" s="230" t="s">
        <v>3158</v>
      </c>
      <c r="F726" s="230"/>
      <c r="G726" s="230"/>
      <c r="H726" s="230"/>
      <c r="I726" s="230"/>
      <c r="J726" s="230"/>
      <c r="K726" s="5" t="s">
        <v>2708</v>
      </c>
    </row>
    <row r="727" spans="5:12" ht="15" customHeight="1" x14ac:dyDescent="0.2">
      <c r="E727" s="25" t="str" cm="1">
        <f t="array" ref="E727:J732">HugWall_byHadynWiseman($E$692:$J$697,"E694","↓",0,$E$692:$J$697="p",14,,1)</f>
        <v>p</v>
      </c>
      <c r="F727" s="96" t="str">
        <v>p</v>
      </c>
      <c r="G727" s="96" t="str">
        <v>p</v>
      </c>
      <c r="H727" s="96" t="str">
        <v>p</v>
      </c>
      <c r="I727" s="96" t="str">
        <v>x</v>
      </c>
      <c r="J727" s="96" t="str">
        <v>p</v>
      </c>
      <c r="K727" s="78" t="s">
        <v>2097</v>
      </c>
      <c r="L727" s="231" t="s">
        <v>2709</v>
      </c>
    </row>
    <row r="728" spans="5:12" ht="15" customHeight="1" x14ac:dyDescent="0.2">
      <c r="E728" s="96" t="str">
        <v>x</v>
      </c>
      <c r="F728" s="96" t="str">
        <v>x</v>
      </c>
      <c r="G728" s="96" t="str">
        <v>p</v>
      </c>
      <c r="H728" s="96" t="str">
        <v>x</v>
      </c>
      <c r="I728" s="96" t="str">
        <v>x</v>
      </c>
      <c r="J728" s="96" t="str">
        <v>p</v>
      </c>
      <c r="L728" s="231"/>
    </row>
    <row r="729" spans="5:12" ht="15" customHeight="1" x14ac:dyDescent="0.2">
      <c r="E729" s="96" t="str">
        <v>1, 15</v>
      </c>
      <c r="F729" s="96" t="str">
        <v>16</v>
      </c>
      <c r="G729" s="96" t="str">
        <v>p</v>
      </c>
      <c r="H729" s="96" t="str">
        <v>p</v>
      </c>
      <c r="I729" s="96" t="str">
        <v>p</v>
      </c>
      <c r="J729" s="96" t="str">
        <v>p</v>
      </c>
      <c r="L729" s="231"/>
    </row>
    <row r="730" spans="5:12" ht="15" customHeight="1" x14ac:dyDescent="0.2">
      <c r="E730" s="96" t="str">
        <v>2, 14</v>
      </c>
      <c r="F730" s="96" t="str">
        <v>x</v>
      </c>
      <c r="G730" s="96" t="str">
        <v>x</v>
      </c>
      <c r="H730" s="96" t="str">
        <v>x</v>
      </c>
      <c r="I730" s="96" t="str">
        <v>x</v>
      </c>
      <c r="J730" s="96" t="str">
        <v>p</v>
      </c>
      <c r="L730" s="231"/>
    </row>
    <row r="731" spans="5:12" ht="15" customHeight="1" x14ac:dyDescent="0.2">
      <c r="E731" s="96" t="str">
        <v>3, 13</v>
      </c>
      <c r="F731" s="96" t="str">
        <v>x</v>
      </c>
      <c r="G731" s="96" t="str">
        <v>7, 9</v>
      </c>
      <c r="H731" s="96" t="str">
        <v>8</v>
      </c>
      <c r="I731" s="96" t="str">
        <v>x</v>
      </c>
      <c r="J731" s="96" t="str">
        <v>p</v>
      </c>
      <c r="L731" s="231"/>
    </row>
    <row r="732" spans="5:12" ht="15" customHeight="1" x14ac:dyDescent="0.2">
      <c r="E732" s="96" t="str">
        <v>4, 12</v>
      </c>
      <c r="F732" s="96" t="str">
        <v>5, 11</v>
      </c>
      <c r="G732" s="96" t="str">
        <v>6, 10</v>
      </c>
      <c r="H732" s="96" t="str">
        <v>x</v>
      </c>
      <c r="I732" s="96" t="str">
        <v>p</v>
      </c>
      <c r="J732" s="96" t="str">
        <v>p</v>
      </c>
      <c r="L732" s="231"/>
    </row>
    <row r="734" spans="5:12" ht="15" customHeight="1" x14ac:dyDescent="0.2">
      <c r="E734" s="230" t="s">
        <v>3159</v>
      </c>
      <c r="F734" s="230"/>
      <c r="G734" s="230"/>
      <c r="H734" s="230"/>
      <c r="I734" s="230"/>
      <c r="J734" s="230"/>
      <c r="K734" s="5" t="s">
        <v>2710</v>
      </c>
    </row>
    <row r="735" spans="5:12" ht="15" customHeight="1" x14ac:dyDescent="0.2">
      <c r="E735" s="25" t="str" cm="1">
        <f t="array" ref="E735:J740">HugWall_byHadynWiseman($E$692:$J$697,"E692","→",1,$E$692:$J$697="p",14,,1)</f>
        <v>1</v>
      </c>
      <c r="F735" s="96" t="str">
        <v>2</v>
      </c>
      <c r="G735" s="96" t="str">
        <v>3</v>
      </c>
      <c r="H735" s="96" t="str">
        <v>p</v>
      </c>
      <c r="I735" s="96" t="str">
        <v>x</v>
      </c>
      <c r="J735" s="96" t="str">
        <v>p</v>
      </c>
      <c r="K735" s="78" t="s">
        <v>2097</v>
      </c>
      <c r="L735" s="231" t="s">
        <v>2711</v>
      </c>
    </row>
    <row r="736" spans="5:12" ht="15" customHeight="1" x14ac:dyDescent="0.2">
      <c r="E736" s="96" t="str">
        <v>x</v>
      </c>
      <c r="F736" s="96" t="str">
        <v>x</v>
      </c>
      <c r="G736" s="96" t="str">
        <v>4</v>
      </c>
      <c r="H736" s="96" t="str">
        <v>x</v>
      </c>
      <c r="I736" s="96" t="str">
        <v>x</v>
      </c>
      <c r="J736" s="96" t="str">
        <v>p</v>
      </c>
      <c r="L736" s="231"/>
    </row>
    <row r="737" spans="5:12" ht="15" customHeight="1" x14ac:dyDescent="0.2">
      <c r="E737" s="96" t="str">
        <v>7</v>
      </c>
      <c r="F737" s="96" t="str">
        <v>6</v>
      </c>
      <c r="G737" s="96" t="str">
        <v>5</v>
      </c>
      <c r="H737" s="96" t="str">
        <v>p</v>
      </c>
      <c r="I737" s="96" t="str">
        <v>p</v>
      </c>
      <c r="J737" s="96" t="str">
        <v>p</v>
      </c>
      <c r="L737" s="231"/>
    </row>
    <row r="738" spans="5:12" ht="15" customHeight="1" x14ac:dyDescent="0.2">
      <c r="E738" s="96" t="str">
        <v>8</v>
      </c>
      <c r="F738" s="96" t="str">
        <v>x</v>
      </c>
      <c r="G738" s="96" t="str">
        <v>x</v>
      </c>
      <c r="H738" s="96" t="str">
        <v>x</v>
      </c>
      <c r="I738" s="96" t="str">
        <v>x</v>
      </c>
      <c r="J738" s="96" t="str">
        <v>p</v>
      </c>
      <c r="L738" s="231"/>
    </row>
    <row r="739" spans="5:12" ht="15" customHeight="1" x14ac:dyDescent="0.2">
      <c r="E739" s="96" t="str">
        <v>9</v>
      </c>
      <c r="F739" s="96" t="str">
        <v>x</v>
      </c>
      <c r="G739" s="96" t="str">
        <v>13, 15</v>
      </c>
      <c r="H739" s="96" t="str">
        <v>14</v>
      </c>
      <c r="I739" s="96" t="str">
        <v>x</v>
      </c>
      <c r="J739" s="96" t="str">
        <v>p</v>
      </c>
      <c r="L739" s="231"/>
    </row>
    <row r="740" spans="5:12" ht="15" customHeight="1" x14ac:dyDescent="0.2">
      <c r="E740" s="96" t="str">
        <v>10</v>
      </c>
      <c r="F740" s="96" t="str">
        <v>11</v>
      </c>
      <c r="G740" s="96" t="str">
        <v>12, 16</v>
      </c>
      <c r="H740" s="96" t="str">
        <v>x</v>
      </c>
      <c r="I740" s="96" t="str">
        <v>p</v>
      </c>
      <c r="J740" s="96" t="str">
        <v>p</v>
      </c>
      <c r="L740" s="231"/>
    </row>
    <row r="742" spans="5:12" ht="21.75" customHeight="1" x14ac:dyDescent="0.2">
      <c r="E742" s="230" t="s">
        <v>3239</v>
      </c>
      <c r="F742" s="230"/>
      <c r="G742" s="230"/>
      <c r="H742" s="230"/>
      <c r="I742" s="230"/>
      <c r="J742" s="230"/>
      <c r="K742" s="5" t="s">
        <v>3240</v>
      </c>
    </row>
    <row r="743" spans="5:12" ht="15" customHeight="1" x14ac:dyDescent="0.2">
      <c r="E743" s="25" t="str" cm="1">
        <f t="array" ref="E743:J748">HugWall_byHadynWiseman($E$700:$J$705,"E700","→",0,,14,,1)</f>
        <v>1</v>
      </c>
      <c r="F743" s="96" t="str">
        <v>2</v>
      </c>
      <c r="G743" s="96" t="str">
        <v>3, 5</v>
      </c>
      <c r="H743" s="96" t="str">
        <v>4</v>
      </c>
      <c r="I743" s="96" t="str">
        <v>#</v>
      </c>
      <c r="J743" s="96" t="str">
        <v>12</v>
      </c>
      <c r="K743" s="78" t="s">
        <v>2097</v>
      </c>
      <c r="L743" s="231" t="s">
        <v>3243</v>
      </c>
    </row>
    <row r="744" spans="5:12" ht="15" customHeight="1" x14ac:dyDescent="0.2">
      <c r="E744" s="96" t="str">
        <v>#</v>
      </c>
      <c r="F744" s="96" t="str">
        <v>#</v>
      </c>
      <c r="G744" s="96" t="str">
        <v>6</v>
      </c>
      <c r="H744" s="96" t="str">
        <v>#</v>
      </c>
      <c r="I744" s="96" t="str">
        <v>#</v>
      </c>
      <c r="J744" s="96" t="str">
        <v>11, 13</v>
      </c>
      <c r="L744" s="231"/>
    </row>
    <row r="745" spans="5:12" ht="15" customHeight="1" x14ac:dyDescent="0.2">
      <c r="E745" s="96" t="str">
        <v/>
      </c>
      <c r="F745" s="96" t="str">
        <v/>
      </c>
      <c r="G745" s="96" t="str">
        <v>7</v>
      </c>
      <c r="H745" s="96" t="str">
        <v>8</v>
      </c>
      <c r="I745" s="96" t="str">
        <v>9</v>
      </c>
      <c r="J745" s="96" t="str">
        <v>10, 14</v>
      </c>
      <c r="L745" s="231"/>
    </row>
    <row r="746" spans="5:12" ht="15" customHeight="1" x14ac:dyDescent="0.2">
      <c r="E746" s="96" t="str">
        <v/>
      </c>
      <c r="F746" s="96" t="str">
        <v>#</v>
      </c>
      <c r="G746" s="96" t="str">
        <v>#</v>
      </c>
      <c r="H746" s="96" t="str">
        <v>#</v>
      </c>
      <c r="I746" s="96" t="str">
        <v>#</v>
      </c>
      <c r="J746" s="96" t="str">
        <v>15</v>
      </c>
      <c r="L746" s="231"/>
    </row>
    <row r="747" spans="5:12" ht="15" customHeight="1" x14ac:dyDescent="0.2">
      <c r="E747" s="96" t="str">
        <v/>
      </c>
      <c r="F747" s="96" t="str">
        <v>#</v>
      </c>
      <c r="G747" s="96" t="str">
        <v/>
      </c>
      <c r="H747" s="96" t="str">
        <v/>
      </c>
      <c r="I747" s="96" t="str">
        <v>#</v>
      </c>
      <c r="J747" s="96" t="str">
        <v>16</v>
      </c>
      <c r="L747" s="231"/>
    </row>
    <row r="748" spans="5:12" ht="15" customHeight="1" x14ac:dyDescent="0.2">
      <c r="E748" s="96" t="str">
        <v/>
      </c>
      <c r="F748" s="96" t="str">
        <v/>
      </c>
      <c r="G748" s="96" t="str">
        <v/>
      </c>
      <c r="H748" s="96" t="str">
        <v>#</v>
      </c>
      <c r="I748" s="96" t="str">
        <v/>
      </c>
      <c r="J748" s="96" t="str">
        <v/>
      </c>
      <c r="L748" s="231"/>
    </row>
    <row r="750" spans="5:12" ht="25.5" customHeight="1" x14ac:dyDescent="0.2">
      <c r="E750" s="152" t="s">
        <v>2712</v>
      </c>
      <c r="F750" s="152"/>
      <c r="G750" s="152"/>
      <c r="H750" s="152"/>
      <c r="I750" s="152"/>
      <c r="J750" s="152"/>
    </row>
    <row r="751" spans="5:12" ht="51" customHeight="1" x14ac:dyDescent="0.2">
      <c r="E751" s="156" t="s">
        <v>2713</v>
      </c>
      <c r="F751" s="157"/>
      <c r="G751" s="157"/>
      <c r="H751" s="157"/>
      <c r="I751" s="157"/>
      <c r="J751" s="158"/>
    </row>
    <row r="754" spans="5:12" ht="15.75" customHeight="1" x14ac:dyDescent="0.2">
      <c r="E754" s="159" t="s">
        <v>2714</v>
      </c>
      <c r="F754" s="159"/>
      <c r="G754" s="159"/>
      <c r="H754" s="159"/>
      <c r="I754" s="159"/>
      <c r="J754" s="159"/>
      <c r="K754" s="159"/>
      <c r="L754" s="159"/>
    </row>
    <row r="755" spans="5:12" ht="15" customHeight="1" x14ac:dyDescent="0.2">
      <c r="E755" s="152" t="s">
        <v>2715</v>
      </c>
      <c r="F755" s="149"/>
      <c r="G755" s="149"/>
      <c r="H755" s="149"/>
      <c r="I755" s="149"/>
      <c r="J755" s="149"/>
    </row>
    <row r="756" spans="5:12" ht="21.75" customHeight="1" x14ac:dyDescent="0.2">
      <c r="E756" s="147" t="s">
        <v>2716</v>
      </c>
      <c r="F756" s="147"/>
      <c r="G756" s="147"/>
      <c r="H756" s="147"/>
      <c r="I756" s="147"/>
      <c r="J756" s="147"/>
    </row>
    <row r="757" spans="5:12" ht="51" customHeight="1" x14ac:dyDescent="0.2">
      <c r="E757" s="152" t="s">
        <v>2717</v>
      </c>
      <c r="F757" s="149"/>
      <c r="G757" s="149"/>
      <c r="H757" s="149"/>
      <c r="I757" s="149"/>
      <c r="J757" s="149"/>
    </row>
    <row r="759" spans="5:12" ht="12.75" customHeight="1" x14ac:dyDescent="0.2">
      <c r="E759" s="22" t="s">
        <v>2718</v>
      </c>
    </row>
    <row r="760" spans="5:12" ht="15" customHeight="1" x14ac:dyDescent="0.2">
      <c r="E760" s="94" t="s">
        <v>665</v>
      </c>
    </row>
    <row r="761" spans="5:12" ht="15" customHeight="1" x14ac:dyDescent="0.2">
      <c r="E761" s="94" t="s">
        <v>666</v>
      </c>
    </row>
    <row r="762" spans="5:12" ht="15" customHeight="1" x14ac:dyDescent="0.2">
      <c r="E762" s="94" t="s">
        <v>667</v>
      </c>
    </row>
    <row r="764" spans="5:12" ht="12.75" customHeight="1" x14ac:dyDescent="0.2">
      <c r="E764" s="22" t="s">
        <v>2334</v>
      </c>
      <c r="K764" s="24" t="s">
        <v>2335</v>
      </c>
      <c r="L764" s="24" t="s">
        <v>2336</v>
      </c>
    </row>
    <row r="765" spans="5:12" ht="15" customHeight="1" x14ac:dyDescent="0.2">
      <c r="E765" s="230" t="s">
        <v>3241</v>
      </c>
      <c r="F765" s="230"/>
      <c r="G765" s="230"/>
      <c r="H765" s="230"/>
      <c r="I765" s="230"/>
      <c r="J765" s="230"/>
      <c r="K765" s="5" t="s">
        <v>2719</v>
      </c>
      <c r="L765" s="89" t="b">
        <v>1</v>
      </c>
    </row>
    <row r="766" spans="5:12" ht="15" customHeight="1" x14ac:dyDescent="0.2">
      <c r="E766" s="25" t="b" cm="1">
        <f t="array" ref="E766">Exists_byHadynWiseman("b",$E$760:$E$762)</f>
        <v>1</v>
      </c>
      <c r="K766" s="78"/>
    </row>
    <row r="768" spans="5:12" ht="15" customHeight="1" x14ac:dyDescent="0.2">
      <c r="E768" s="230" t="s">
        <v>2720</v>
      </c>
      <c r="F768" s="230"/>
      <c r="G768" s="230"/>
      <c r="H768" s="230"/>
      <c r="I768" s="230"/>
      <c r="J768" s="230"/>
      <c r="K768" s="5" t="s">
        <v>2721</v>
      </c>
      <c r="L768" s="89" t="s">
        <v>2722</v>
      </c>
    </row>
    <row r="769" spans="5:11" ht="15" customHeight="1" x14ac:dyDescent="0.2">
      <c r="E769" s="25" t="str" cm="1">
        <f t="array" ref="E769">ArrowsLookup_byHadynWiseman("NE")</f>
        <v>↗</v>
      </c>
      <c r="K769" s="78"/>
    </row>
  </sheetData>
  <mergeCells count="241">
    <mergeCell ref="E754:L754"/>
    <mergeCell ref="E755:J755"/>
    <mergeCell ref="E756:J756"/>
    <mergeCell ref="E757:J757"/>
    <mergeCell ref="E765:J765"/>
    <mergeCell ref="E768:J768"/>
    <mergeCell ref="L709:L714"/>
    <mergeCell ref="E716:J716"/>
    <mergeCell ref="L717:L724"/>
    <mergeCell ref="L735:L740"/>
    <mergeCell ref="E742:J742"/>
    <mergeCell ref="L743:L748"/>
    <mergeCell ref="E750:J750"/>
    <mergeCell ref="E751:J751"/>
    <mergeCell ref="E726:J726"/>
    <mergeCell ref="L727:L732"/>
    <mergeCell ref="E734:J734"/>
    <mergeCell ref="E429:J429"/>
    <mergeCell ref="L452:L456"/>
    <mergeCell ref="E458:J458"/>
    <mergeCell ref="L459:L463"/>
    <mergeCell ref="E465:J465"/>
    <mergeCell ref="L476:L480"/>
    <mergeCell ref="L483:L487"/>
    <mergeCell ref="E489:J489"/>
    <mergeCell ref="E491:J491"/>
    <mergeCell ref="E451:J451"/>
    <mergeCell ref="E490:J490"/>
    <mergeCell ref="E210:J210"/>
    <mergeCell ref="L211:L213"/>
    <mergeCell ref="E218:J218"/>
    <mergeCell ref="L219:L223"/>
    <mergeCell ref="E225:J225"/>
    <mergeCell ref="E228:J228"/>
    <mergeCell ref="E231:L231"/>
    <mergeCell ref="E232:J232"/>
    <mergeCell ref="E233:J233"/>
    <mergeCell ref="E6:L6"/>
    <mergeCell ref="E8:J8"/>
    <mergeCell ref="E10:L10"/>
    <mergeCell ref="E641:J641"/>
    <mergeCell ref="L642:L646"/>
    <mergeCell ref="E108:J108"/>
    <mergeCell ref="E111:J111"/>
    <mergeCell ref="E114:J114"/>
    <mergeCell ref="L115:L117"/>
    <mergeCell ref="E123:J123"/>
    <mergeCell ref="E126:L126"/>
    <mergeCell ref="E128:J128"/>
    <mergeCell ref="E138:J138"/>
    <mergeCell ref="E141:J141"/>
    <mergeCell ref="E144:J144"/>
    <mergeCell ref="E147:J147"/>
    <mergeCell ref="E150:J150"/>
    <mergeCell ref="E153:J153"/>
    <mergeCell ref="E154:J154"/>
    <mergeCell ref="E155:J155"/>
    <mergeCell ref="E158:L158"/>
    <mergeCell ref="E159:J159"/>
    <mergeCell ref="E160:J160"/>
    <mergeCell ref="E170:J170"/>
    <mergeCell ref="E687:L687"/>
    <mergeCell ref="E688:J688"/>
    <mergeCell ref="E689:J689"/>
    <mergeCell ref="E708:J708"/>
    <mergeCell ref="E600:J600"/>
    <mergeCell ref="E614:J614"/>
    <mergeCell ref="L601:L605"/>
    <mergeCell ref="E607:J607"/>
    <mergeCell ref="E627:J627"/>
    <mergeCell ref="E628:J628"/>
    <mergeCell ref="L649:L653"/>
    <mergeCell ref="E655:J655"/>
    <mergeCell ref="E675:J675"/>
    <mergeCell ref="L656:L660"/>
    <mergeCell ref="E662:J662"/>
    <mergeCell ref="L663:L667"/>
    <mergeCell ref="E669:J669"/>
    <mergeCell ref="E672:J672"/>
    <mergeCell ref="E678:J678"/>
    <mergeCell ref="E681:J681"/>
    <mergeCell ref="E684:J684"/>
    <mergeCell ref="L520:L522"/>
    <mergeCell ref="E524:J524"/>
    <mergeCell ref="E527:J527"/>
    <mergeCell ref="E519:J519"/>
    <mergeCell ref="E590:J590"/>
    <mergeCell ref="L591:L595"/>
    <mergeCell ref="E597:J597"/>
    <mergeCell ref="L608:L612"/>
    <mergeCell ref="L615:L619"/>
    <mergeCell ref="L548:L550"/>
    <mergeCell ref="E552:J552"/>
    <mergeCell ref="L553:L556"/>
    <mergeCell ref="E561:J561"/>
    <mergeCell ref="E564:J564"/>
    <mergeCell ref="E567:J567"/>
    <mergeCell ref="E570:J570"/>
    <mergeCell ref="E571:J571"/>
    <mergeCell ref="E572:J572"/>
    <mergeCell ref="E558:J558"/>
    <mergeCell ref="E544:J544"/>
    <mergeCell ref="E547:J547"/>
    <mergeCell ref="E528:J528"/>
    <mergeCell ref="E531:L531"/>
    <mergeCell ref="E532:J532"/>
    <mergeCell ref="E495:J495"/>
    <mergeCell ref="E514:J514"/>
    <mergeCell ref="E494:L494"/>
    <mergeCell ref="E496:J496"/>
    <mergeCell ref="E504:J504"/>
    <mergeCell ref="L505:L507"/>
    <mergeCell ref="E509:J509"/>
    <mergeCell ref="L510:L512"/>
    <mergeCell ref="L515:L517"/>
    <mergeCell ref="E259:J259"/>
    <mergeCell ref="L260:L262"/>
    <mergeCell ref="E264:J264"/>
    <mergeCell ref="E265:J265"/>
    <mergeCell ref="E266:J266"/>
    <mergeCell ref="E269:L269"/>
    <mergeCell ref="E270:J270"/>
    <mergeCell ref="E271:J271"/>
    <mergeCell ref="E423:J423"/>
    <mergeCell ref="E336:J336"/>
    <mergeCell ref="E350:J350"/>
    <mergeCell ref="L337:L342"/>
    <mergeCell ref="E344:J344"/>
    <mergeCell ref="E328:J328"/>
    <mergeCell ref="L329:L334"/>
    <mergeCell ref="E347:J347"/>
    <mergeCell ref="L351:L356"/>
    <mergeCell ref="E415:J415"/>
    <mergeCell ref="L384:L386"/>
    <mergeCell ref="E388:J388"/>
    <mergeCell ref="L389:L394"/>
    <mergeCell ref="E396:J396"/>
    <mergeCell ref="L397:L402"/>
    <mergeCell ref="E404:J404"/>
    <mergeCell ref="L282:L284"/>
    <mergeCell ref="E286:J286"/>
    <mergeCell ref="L287:L289"/>
    <mergeCell ref="E82:L82"/>
    <mergeCell ref="E84:J84"/>
    <mergeCell ref="E91:J91"/>
    <mergeCell ref="L92:L93"/>
    <mergeCell ref="E95:J95"/>
    <mergeCell ref="E98:L98"/>
    <mergeCell ref="E99:J99"/>
    <mergeCell ref="E215:J215"/>
    <mergeCell ref="L171:L175"/>
    <mergeCell ref="E177:J177"/>
    <mergeCell ref="L178:L182"/>
    <mergeCell ref="E184:J184"/>
    <mergeCell ref="L185:L189"/>
    <mergeCell ref="E191:J191"/>
    <mergeCell ref="E243:J243"/>
    <mergeCell ref="L244:L246"/>
    <mergeCell ref="E248:J248"/>
    <mergeCell ref="L249:L250"/>
    <mergeCell ref="E252:J252"/>
    <mergeCell ref="E281:J281"/>
    <mergeCell ref="L253:L257"/>
    <mergeCell ref="E3:L4"/>
    <mergeCell ref="E314:J314"/>
    <mergeCell ref="E12:J12"/>
    <mergeCell ref="E83:J83"/>
    <mergeCell ref="E16:J16"/>
    <mergeCell ref="E76:J76"/>
    <mergeCell ref="E79:J79"/>
    <mergeCell ref="E36:J36"/>
    <mergeCell ref="E15:L15"/>
    <mergeCell ref="E17:J17"/>
    <mergeCell ref="E50:J50"/>
    <mergeCell ref="E67:J67"/>
    <mergeCell ref="E73:J73"/>
    <mergeCell ref="E53:J53"/>
    <mergeCell ref="E56:J56"/>
    <mergeCell ref="E59:J59"/>
    <mergeCell ref="E62:J62"/>
    <mergeCell ref="E65:L65"/>
    <mergeCell ref="E66:J66"/>
    <mergeCell ref="E25:J25"/>
    <mergeCell ref="E28:J28"/>
    <mergeCell ref="E31:J31"/>
    <mergeCell ref="L32:L34"/>
    <mergeCell ref="E39:J39"/>
    <mergeCell ref="E42:J42"/>
    <mergeCell ref="E45:L45"/>
    <mergeCell ref="E46:J46"/>
    <mergeCell ref="E47:J47"/>
    <mergeCell ref="E100:J100"/>
    <mergeCell ref="E119:J119"/>
    <mergeCell ref="E122:J122"/>
    <mergeCell ref="E127:J127"/>
    <mergeCell ref="E197:J197"/>
    <mergeCell ref="E192:J192"/>
    <mergeCell ref="E195:L195"/>
    <mergeCell ref="E196:J196"/>
    <mergeCell ref="E295:J295"/>
    <mergeCell ref="E291:J291"/>
    <mergeCell ref="L292:L293"/>
    <mergeCell ref="E298:J298"/>
    <mergeCell ref="L299:L301"/>
    <mergeCell ref="E303:J303"/>
    <mergeCell ref="L304:L306"/>
    <mergeCell ref="E308:J308"/>
    <mergeCell ref="E309:J309"/>
    <mergeCell ref="E312:L312"/>
    <mergeCell ref="E313:J313"/>
    <mergeCell ref="E430:J430"/>
    <mergeCell ref="E444:J444"/>
    <mergeCell ref="L445:L449"/>
    <mergeCell ref="E468:J468"/>
    <mergeCell ref="L469:L473"/>
    <mergeCell ref="E475:J475"/>
    <mergeCell ref="E482:J482"/>
    <mergeCell ref="E424:J424"/>
    <mergeCell ref="E425:J425"/>
    <mergeCell ref="E428:L428"/>
    <mergeCell ref="L405:L413"/>
    <mergeCell ref="L416:L421"/>
    <mergeCell ref="E358:J358"/>
    <mergeCell ref="E359:J359"/>
    <mergeCell ref="E360:J360"/>
    <mergeCell ref="E363:L363"/>
    <mergeCell ref="E365:J365"/>
    <mergeCell ref="E375:J375"/>
    <mergeCell ref="E378:J378"/>
    <mergeCell ref="L379:L381"/>
    <mergeCell ref="E383:J383"/>
    <mergeCell ref="E364:J364"/>
    <mergeCell ref="E576:J576"/>
    <mergeCell ref="E575:L575"/>
    <mergeCell ref="E577:J577"/>
    <mergeCell ref="E648:J648"/>
    <mergeCell ref="E533:J533"/>
    <mergeCell ref="E621:J621"/>
    <mergeCell ref="E622:J622"/>
    <mergeCell ref="E623:J623"/>
    <mergeCell ref="E626:L626"/>
  </mergeCells>
  <hyperlinks>
    <hyperlink ref="B2" location="'Start here'!E6" tooltip="back to Start here" display="⌂  CompBot Tutorial" xr:uid="{00000000-0004-0000-1300-000000000000}"/>
    <hyperlink ref="B6" location="'Start here'!E6" display="▸  START" xr:uid="{FDC03AC7-9773-41BE-94D1-850322066390}"/>
    <hyperlink ref="B7" location="'C1 Your machine'!E6" display="▸  COMMANDS" xr:uid="{F411CC24-2F8C-4249-A80D-1E10AB8F6B0C}"/>
    <hyperlink ref="B8" location="'Demo maps'!E6" display="▸  DEMO SHEETS" xr:uid="{8D20A871-7992-4C47-903A-1336A413DEB3}"/>
    <hyperlink ref="B9" location="'Level 1 Basics'!E6" display="▾  LAMBDAS" xr:uid="{60AFB441-AFCD-48A5-B0ED-8AB4F32EFCF6}"/>
    <hyperlink ref="B10" location="'Level 1 Basics'!E6" display="Level 1 Basics" xr:uid="{89E3D04C-BE7B-46A7-B881-E6FE4905DD17}"/>
    <hyperlink ref="B11" location="'Level 2 Arrays'!E6" display="Level 2 Arrays" xr:uid="{BBDD2E28-3A25-43C4-B9D1-F619A481D0BA}"/>
    <hyperlink ref="B12" location="'Level 3 Text'!E6" display="Level 3 Text" xr:uid="{06606EED-C3B9-42EB-A8DD-2D432FE55D93}"/>
    <hyperlink ref="B13" location="'Level 4 Lookup'!E6" display="Level 4 Lookup" xr:uid="{4D0EED36-E73A-4CB5-9FC1-57AD4040DA89}"/>
    <hyperlink ref="B15" location="'Level 6 Engines'!E6" display="Level 6 Engines" xr:uid="{C44B9975-B741-4407-BDEC-796298C2AE35}"/>
    <hyperlink ref="B16" location="'Words'!E6" display="Words" xr:uid="{00805866-2817-476A-9C9D-B20A2A880DE1}"/>
    <hyperlink ref="B18" location="'Command cheat sheet'!E6" display="▸  REFERENCE" xr:uid="{88A57EA5-2BC3-4477-B97E-156E4E586931}"/>
    <hyperlink ref="B17" location="'I1 The Alves Method'!E6" display="▸  INSIDER" xr:uid="{1B497084-F0C3-458D-9097-115D85416402}"/>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0B6E4F"/>
  </sheetPr>
  <dimension ref="A1:L97"/>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44" customWidth="1"/>
    <col min="2" max="2" width="27" style="44" customWidth="1"/>
    <col min="3" max="3" width="1.5" style="44" customWidth="1"/>
    <col min="4" max="4" width="2.5" customWidth="1"/>
    <col min="5" max="10" width="14.5" customWidth="1"/>
    <col min="11" max="11" width="44" customWidth="1"/>
    <col min="12" max="12" width="46" customWidth="1"/>
  </cols>
  <sheetData>
    <row r="1" spans="2:12" ht="12.75" x14ac:dyDescent="0.2"/>
    <row r="2" spans="2:12" ht="30" customHeight="1" x14ac:dyDescent="0.3">
      <c r="B2" s="45" t="s">
        <v>0</v>
      </c>
      <c r="E2" s="3" t="s">
        <v>3178</v>
      </c>
    </row>
    <row r="3" spans="2:12" ht="15" customHeight="1" x14ac:dyDescent="0.2">
      <c r="B3" s="46" t="s">
        <v>2</v>
      </c>
      <c r="E3" s="147" t="s">
        <v>1489</v>
      </c>
      <c r="F3" s="148"/>
      <c r="G3" s="148"/>
      <c r="H3" s="148"/>
      <c r="I3" s="148"/>
      <c r="J3" s="148"/>
      <c r="K3" s="148"/>
      <c r="L3" s="148"/>
    </row>
    <row r="4" spans="2:12" ht="15" customHeight="1" x14ac:dyDescent="0.2">
      <c r="E4" s="148"/>
      <c r="F4" s="148"/>
      <c r="G4" s="148"/>
      <c r="H4" s="148"/>
      <c r="I4" s="148"/>
      <c r="J4" s="148"/>
      <c r="K4" s="148"/>
      <c r="L4" s="148"/>
    </row>
    <row r="5" spans="2:12" ht="12.75" x14ac:dyDescent="0.2"/>
    <row r="6" spans="2:12" ht="15.75" customHeight="1" x14ac:dyDescent="0.2">
      <c r="B6" s="112" t="s">
        <v>315</v>
      </c>
      <c r="E6" s="159" t="s">
        <v>2825</v>
      </c>
      <c r="F6" s="159"/>
      <c r="G6" s="159"/>
      <c r="H6" s="159"/>
      <c r="I6" s="159"/>
      <c r="J6" s="159"/>
      <c r="K6" s="159"/>
      <c r="L6" s="159"/>
    </row>
    <row r="7" spans="2:12" ht="12.75" customHeight="1" x14ac:dyDescent="0.2">
      <c r="B7" s="112" t="s">
        <v>10</v>
      </c>
    </row>
    <row r="8" spans="2:12" ht="51" customHeight="1" x14ac:dyDescent="0.2">
      <c r="B8" s="112" t="s">
        <v>11</v>
      </c>
      <c r="E8" s="152" t="s">
        <v>2826</v>
      </c>
      <c r="F8" s="152"/>
      <c r="G8" s="152"/>
      <c r="H8" s="152"/>
      <c r="I8" s="152"/>
      <c r="J8" s="152"/>
    </row>
    <row r="9" spans="2:12" ht="38.25" customHeight="1" x14ac:dyDescent="0.2">
      <c r="B9" s="112" t="s">
        <v>856</v>
      </c>
    </row>
    <row r="10" spans="2:12" ht="12.75" customHeight="1" x14ac:dyDescent="0.2">
      <c r="B10" s="91" t="s">
        <v>56</v>
      </c>
    </row>
    <row r="11" spans="2:12" ht="15.75" customHeight="1" x14ac:dyDescent="0.2">
      <c r="B11" s="91" t="s">
        <v>58</v>
      </c>
      <c r="E11" s="159" t="s">
        <v>1066</v>
      </c>
      <c r="F11" s="159"/>
      <c r="G11" s="159"/>
      <c r="H11" s="159"/>
      <c r="I11" s="159"/>
      <c r="J11" s="159"/>
      <c r="K11" s="159"/>
      <c r="L11" s="159"/>
    </row>
    <row r="12" spans="2:12" ht="15" customHeight="1" x14ac:dyDescent="0.2">
      <c r="B12" s="91" t="s">
        <v>3181</v>
      </c>
      <c r="E12" s="152" t="s">
        <v>2827</v>
      </c>
      <c r="F12" s="149"/>
      <c r="G12" s="149"/>
      <c r="H12" s="149"/>
      <c r="I12" s="149"/>
      <c r="J12" s="149"/>
    </row>
    <row r="13" spans="2:12" ht="15" customHeight="1" x14ac:dyDescent="0.2">
      <c r="B13" s="91" t="s">
        <v>3182</v>
      </c>
      <c r="E13" s="147" t="s">
        <v>1067</v>
      </c>
      <c r="F13" s="147"/>
      <c r="G13" s="147"/>
      <c r="H13" s="147"/>
      <c r="I13" s="147"/>
      <c r="J13" s="147"/>
    </row>
    <row r="14" spans="2:12" ht="15" customHeight="1" x14ac:dyDescent="0.2">
      <c r="B14" s="91" t="s">
        <v>3179</v>
      </c>
    </row>
    <row r="15" spans="2:12" ht="12.75" customHeight="1" x14ac:dyDescent="0.2">
      <c r="B15" s="90" t="s">
        <v>3180</v>
      </c>
      <c r="E15" s="22" t="s">
        <v>2828</v>
      </c>
    </row>
    <row r="16" spans="2:12" ht="15" customHeight="1" x14ac:dyDescent="0.2">
      <c r="B16" s="91" t="s">
        <v>54</v>
      </c>
      <c r="E16" s="94" t="s">
        <v>2829</v>
      </c>
      <c r="F16" s="94" t="s">
        <v>2830</v>
      </c>
    </row>
    <row r="17" spans="2:12" ht="15" customHeight="1" x14ac:dyDescent="0.2">
      <c r="B17" s="112" t="s">
        <v>3407</v>
      </c>
      <c r="E17" s="94">
        <v>4</v>
      </c>
      <c r="F17" s="94">
        <v>5</v>
      </c>
    </row>
    <row r="18" spans="2:12" ht="15" customHeight="1" x14ac:dyDescent="0.2">
      <c r="B18" s="112" t="s">
        <v>14</v>
      </c>
      <c r="E18" s="94">
        <v>6</v>
      </c>
      <c r="F18" s="94">
        <v>5</v>
      </c>
    </row>
    <row r="19" spans="2:12" ht="15" customHeight="1" x14ac:dyDescent="0.2">
      <c r="B19" s="110"/>
      <c r="E19" s="94">
        <v>5</v>
      </c>
      <c r="F19" s="94">
        <v>6</v>
      </c>
    </row>
    <row r="20" spans="2:12" ht="15" customHeight="1" x14ac:dyDescent="0.2">
      <c r="B20" s="110"/>
      <c r="E20" s="94">
        <v>3</v>
      </c>
      <c r="F20" s="94">
        <v>6</v>
      </c>
    </row>
    <row r="21" spans="2:12" ht="15" customHeight="1" x14ac:dyDescent="0.2">
      <c r="B21" s="110"/>
      <c r="E21" s="94">
        <v>6</v>
      </c>
      <c r="F21" s="94">
        <v>2</v>
      </c>
    </row>
    <row r="22" spans="2:12" ht="15" customHeight="1" x14ac:dyDescent="0.2">
      <c r="B22" s="110"/>
      <c r="E22" s="94">
        <v>2</v>
      </c>
      <c r="F22" s="94">
        <v>3</v>
      </c>
    </row>
    <row r="23" spans="2:12" ht="15" customHeight="1" x14ac:dyDescent="0.2">
      <c r="B23" s="110"/>
      <c r="E23" s="94">
        <v>5</v>
      </c>
      <c r="F23" s="94">
        <v>4</v>
      </c>
    </row>
    <row r="24" spans="2:12" ht="15" customHeight="1" x14ac:dyDescent="0.2">
      <c r="B24" s="110"/>
      <c r="E24" s="94">
        <v>3</v>
      </c>
      <c r="F24" s="94">
        <v>1</v>
      </c>
    </row>
    <row r="25" spans="2:12" ht="15" customHeight="1" x14ac:dyDescent="0.2">
      <c r="B25" s="110"/>
      <c r="E25" s="94">
        <v>1</v>
      </c>
      <c r="F25" s="94">
        <v>1</v>
      </c>
    </row>
    <row r="26" spans="2:12" ht="21.75" customHeight="1" x14ac:dyDescent="0.2">
      <c r="B26" s="110"/>
    </row>
    <row r="27" spans="2:12" ht="12.75" customHeight="1" x14ac:dyDescent="0.2">
      <c r="B27" s="110"/>
      <c r="E27" s="22" t="s">
        <v>2334</v>
      </c>
      <c r="K27" s="24" t="s">
        <v>2335</v>
      </c>
      <c r="L27" s="24" t="s">
        <v>2336</v>
      </c>
    </row>
    <row r="28" spans="2:12" ht="21.75" customHeight="1" x14ac:dyDescent="0.2">
      <c r="B28" s="110"/>
      <c r="E28" s="230" t="s">
        <v>1068</v>
      </c>
      <c r="F28" s="230"/>
      <c r="G28" s="230"/>
      <c r="H28" s="230"/>
      <c r="I28" s="230"/>
      <c r="J28" s="230"/>
      <c r="K28" s="5" t="s">
        <v>2831</v>
      </c>
      <c r="L28" s="89" t="s">
        <v>2832</v>
      </c>
    </row>
    <row r="29" spans="2:12" ht="15" customHeight="1" x14ac:dyDescent="0.2">
      <c r="B29" s="110"/>
      <c r="E29" s="25" cm="1">
        <f t="array" ref="E29">WhileLoop_byHarryGross(1,_xlfn.LAMBDA(_xlpm.v,_xlpm.v*2),_xlfn.LAMBDA(_xlpm.v,_xlpm.v&gt;100))</f>
        <v>128</v>
      </c>
      <c r="K29" s="78"/>
    </row>
    <row r="30" spans="2:12" ht="15" customHeight="1" x14ac:dyDescent="0.2">
      <c r="B30" s="110"/>
    </row>
    <row r="31" spans="2:12" ht="32.25" customHeight="1" x14ac:dyDescent="0.2">
      <c r="B31" s="110"/>
      <c r="E31" s="230" t="s">
        <v>2833</v>
      </c>
      <c r="F31" s="230"/>
      <c r="G31" s="230"/>
      <c r="H31" s="230"/>
      <c r="I31" s="230"/>
      <c r="J31" s="230"/>
      <c r="K31" s="5" t="s">
        <v>2834</v>
      </c>
    </row>
    <row r="32" spans="2:12" ht="15" customHeight="1" x14ac:dyDescent="0.2">
      <c r="B32" s="110"/>
      <c r="E32" s="25" t="str" cm="1">
        <f t="array" ref="E32:E36">WhileLoop_byHarryGross("a",_xlfn.LAMBDA(_xlpm.v,_xlfn.VSTACK(_xlpm.v,CHAR(CODE(_xlfn.TAKE(_xlpm.v,-1))+1))),_xlfn.LAMBDA(_xlpm.v,Exists_byHadynWiseman("e",_xlpm.v)))</f>
        <v>a</v>
      </c>
      <c r="K32" s="78" t="s">
        <v>1944</v>
      </c>
      <c r="L32" s="231" t="s">
        <v>2391</v>
      </c>
    </row>
    <row r="33" spans="2:12" ht="15" customHeight="1" x14ac:dyDescent="0.2">
      <c r="B33" s="110"/>
      <c r="E33" s="96" t="str">
        <v>b</v>
      </c>
      <c r="L33" s="231"/>
    </row>
    <row r="34" spans="2:12" ht="15" customHeight="1" x14ac:dyDescent="0.2">
      <c r="B34" s="110"/>
      <c r="E34" s="96" t="str">
        <v>c</v>
      </c>
      <c r="L34" s="231"/>
    </row>
    <row r="35" spans="2:12" ht="15" customHeight="1" x14ac:dyDescent="0.2">
      <c r="B35" s="110"/>
      <c r="E35" s="96" t="str">
        <v>d</v>
      </c>
      <c r="L35" s="231"/>
    </row>
    <row r="36" spans="2:12" ht="15" customHeight="1" x14ac:dyDescent="0.2">
      <c r="B36" s="110"/>
      <c r="E36" s="96" t="str">
        <v>e</v>
      </c>
      <c r="L36" s="231"/>
    </row>
    <row r="37" spans="2:12" ht="15" customHeight="1" x14ac:dyDescent="0.2">
      <c r="B37" s="110"/>
    </row>
    <row r="38" spans="2:12" ht="32.25" customHeight="1" x14ac:dyDescent="0.2">
      <c r="B38" s="110"/>
      <c r="E38" s="230" t="s">
        <v>2835</v>
      </c>
      <c r="F38" s="230"/>
      <c r="G38" s="230"/>
      <c r="H38" s="230"/>
      <c r="I38" s="230"/>
      <c r="J38" s="230"/>
      <c r="K38" s="5" t="s">
        <v>2836</v>
      </c>
    </row>
    <row r="39" spans="2:12" ht="15" customHeight="1" x14ac:dyDescent="0.2">
      <c r="B39" s="110"/>
      <c r="E39" s="25" cm="1">
        <f t="array" ref="E39:F43">WhileLoop_byHarryGross(_xlfn.HSTACK(0,0),_xlfn.LAMBDA(_xlpm.v,_xlfn.VSTACK(_xlpm.v,_xlfn.TAKE(_xlpm.v,-1)+INDEX($E$17:$F$25,ROWS(_xlpm.v),0))),_xlfn.LAMBDA(_xlpm.v,MAX(_xlfn.TAKE(_xlpm.v,-1))&gt;20))</f>
        <v>0</v>
      </c>
      <c r="F39" s="96">
        <v>0</v>
      </c>
      <c r="K39" s="78" t="s">
        <v>1957</v>
      </c>
      <c r="L39" s="231" t="s">
        <v>2837</v>
      </c>
    </row>
    <row r="40" spans="2:12" ht="15" customHeight="1" x14ac:dyDescent="0.2">
      <c r="B40" s="110"/>
      <c r="E40" s="96">
        <v>4</v>
      </c>
      <c r="F40" s="96">
        <v>5</v>
      </c>
      <c r="L40" s="231"/>
    </row>
    <row r="41" spans="2:12" ht="15" customHeight="1" x14ac:dyDescent="0.2">
      <c r="B41" s="110"/>
      <c r="E41" s="96">
        <v>10</v>
      </c>
      <c r="F41" s="96">
        <v>10</v>
      </c>
      <c r="L41" s="231"/>
    </row>
    <row r="42" spans="2:12" ht="15" customHeight="1" x14ac:dyDescent="0.2">
      <c r="B42" s="110"/>
      <c r="E42" s="96">
        <v>15</v>
      </c>
      <c r="F42" s="96">
        <v>16</v>
      </c>
      <c r="L42" s="231"/>
    </row>
    <row r="43" spans="2:12" ht="15" customHeight="1" x14ac:dyDescent="0.2">
      <c r="B43" s="110"/>
      <c r="E43" s="96">
        <v>18</v>
      </c>
      <c r="F43" s="96">
        <v>22</v>
      </c>
      <c r="L43" s="231"/>
    </row>
    <row r="44" spans="2:12" ht="15" customHeight="1" x14ac:dyDescent="0.2">
      <c r="B44" s="110"/>
    </row>
    <row r="45" spans="2:12" ht="25.5" customHeight="1" x14ac:dyDescent="0.2">
      <c r="B45" s="110"/>
      <c r="E45" s="152" t="s">
        <v>1069</v>
      </c>
      <c r="F45" s="152"/>
      <c r="G45" s="152"/>
      <c r="H45" s="152"/>
      <c r="I45" s="152"/>
      <c r="J45" s="152"/>
    </row>
    <row r="46" spans="2:12" ht="21.75" customHeight="1" x14ac:dyDescent="0.2">
      <c r="B46" s="110"/>
      <c r="E46" s="147" t="s">
        <v>2486</v>
      </c>
      <c r="F46" s="147"/>
      <c r="G46" s="147"/>
      <c r="H46" s="147"/>
      <c r="I46" s="147"/>
      <c r="J46" s="147"/>
    </row>
    <row r="47" spans="2:12" ht="12.75" customHeight="1" x14ac:dyDescent="0.2"/>
    <row r="48" spans="2:12" ht="15.75" customHeight="1" x14ac:dyDescent="0.2"/>
    <row r="49" spans="5:12" ht="15.75" customHeight="1" x14ac:dyDescent="0.2">
      <c r="E49" s="159" t="s">
        <v>1070</v>
      </c>
      <c r="F49" s="159"/>
      <c r="G49" s="159"/>
      <c r="H49" s="159"/>
      <c r="I49" s="159"/>
      <c r="J49" s="159"/>
      <c r="K49" s="159"/>
      <c r="L49" s="159"/>
    </row>
    <row r="50" spans="5:12" ht="15" customHeight="1" x14ac:dyDescent="0.2">
      <c r="E50" s="152" t="s">
        <v>2838</v>
      </c>
      <c r="F50" s="149"/>
      <c r="G50" s="149"/>
      <c r="H50" s="149"/>
      <c r="I50" s="149"/>
      <c r="J50" s="149"/>
    </row>
    <row r="51" spans="5:12" ht="15" customHeight="1" x14ac:dyDescent="0.2">
      <c r="E51" s="147" t="s">
        <v>1071</v>
      </c>
      <c r="F51" s="147"/>
      <c r="G51" s="147"/>
      <c r="H51" s="147"/>
      <c r="I51" s="147"/>
      <c r="J51" s="147"/>
    </row>
    <row r="52" spans="5:12" ht="25.5" customHeight="1" x14ac:dyDescent="0.2"/>
    <row r="53" spans="5:12" ht="12.75" customHeight="1" x14ac:dyDescent="0.2">
      <c r="E53" s="22" t="s">
        <v>2839</v>
      </c>
    </row>
    <row r="54" spans="5:12" ht="15" customHeight="1" x14ac:dyDescent="0.2">
      <c r="E54" s="94" t="s">
        <v>2829</v>
      </c>
      <c r="F54" s="94" t="s">
        <v>2830</v>
      </c>
    </row>
    <row r="55" spans="5:12" ht="15" customHeight="1" x14ac:dyDescent="0.2">
      <c r="E55" s="94">
        <v>4</v>
      </c>
      <c r="F55" s="94">
        <v>5</v>
      </c>
    </row>
    <row r="56" spans="5:12" ht="15" customHeight="1" x14ac:dyDescent="0.2">
      <c r="E56" s="94">
        <v>6</v>
      </c>
      <c r="F56" s="94">
        <v>5</v>
      </c>
    </row>
    <row r="57" spans="5:12" ht="15" customHeight="1" x14ac:dyDescent="0.2">
      <c r="E57" s="94">
        <v>5</v>
      </c>
      <c r="F57" s="94">
        <v>6</v>
      </c>
    </row>
    <row r="58" spans="5:12" ht="15" customHeight="1" x14ac:dyDescent="0.2">
      <c r="E58" s="94">
        <v>3</v>
      </c>
      <c r="F58" s="94">
        <v>6</v>
      </c>
    </row>
    <row r="59" spans="5:12" ht="15" customHeight="1" x14ac:dyDescent="0.2">
      <c r="E59" s="94">
        <v>6</v>
      </c>
      <c r="F59" s="94">
        <v>2</v>
      </c>
    </row>
    <row r="60" spans="5:12" ht="15" customHeight="1" x14ac:dyDescent="0.2">
      <c r="E60" s="94">
        <v>2</v>
      </c>
      <c r="F60" s="94">
        <v>3</v>
      </c>
    </row>
    <row r="61" spans="5:12" ht="15" customHeight="1" x14ac:dyDescent="0.2">
      <c r="E61" s="94">
        <v>5</v>
      </c>
      <c r="F61" s="94">
        <v>4</v>
      </c>
    </row>
    <row r="62" spans="5:12" ht="15" customHeight="1" x14ac:dyDescent="0.2">
      <c r="E62" s="94">
        <v>3</v>
      </c>
      <c r="F62" s="94">
        <v>1</v>
      </c>
    </row>
    <row r="63" spans="5:12" ht="15" customHeight="1" x14ac:dyDescent="0.2">
      <c r="E63" s="94">
        <v>1</v>
      </c>
      <c r="F63" s="94">
        <v>1</v>
      </c>
    </row>
    <row r="64" spans="5:12" ht="12.75" customHeight="1" x14ac:dyDescent="0.2"/>
    <row r="65" spans="5:12" ht="12.75" customHeight="1" x14ac:dyDescent="0.2">
      <c r="E65" s="22" t="s">
        <v>2334</v>
      </c>
      <c r="K65" s="24" t="s">
        <v>2335</v>
      </c>
      <c r="L65" s="24" t="s">
        <v>2336</v>
      </c>
    </row>
    <row r="66" spans="5:12" ht="15" customHeight="1" x14ac:dyDescent="0.2">
      <c r="E66" s="230" t="s">
        <v>1072</v>
      </c>
      <c r="F66" s="230"/>
      <c r="G66" s="230"/>
      <c r="H66" s="230"/>
      <c r="I66" s="230"/>
      <c r="J66" s="230"/>
      <c r="K66" s="5" t="s">
        <v>2840</v>
      </c>
      <c r="L66" s="89" t="s">
        <v>2600</v>
      </c>
    </row>
    <row r="67" spans="5:12" ht="15" customHeight="1" x14ac:dyDescent="0.2">
      <c r="E67" s="25" cm="1">
        <f t="array" ref="E67">WhileIterations_byHarryGross(1,_xlfn.LAMBDA(_xlpm.v,_xlpm.v*2),_xlfn.LAMBDA(_xlpm.v,_xlpm.v&gt;100))</f>
        <v>7</v>
      </c>
      <c r="K67" s="78"/>
    </row>
    <row r="69" spans="5:12" ht="21.75" customHeight="1" x14ac:dyDescent="0.2">
      <c r="E69" s="230" t="s">
        <v>2841</v>
      </c>
      <c r="F69" s="230"/>
      <c r="G69" s="230"/>
      <c r="H69" s="230"/>
      <c r="I69" s="230"/>
      <c r="J69" s="230"/>
      <c r="K69" s="5" t="s">
        <v>2842</v>
      </c>
      <c r="L69" s="89" t="s">
        <v>108</v>
      </c>
    </row>
    <row r="70" spans="5:12" ht="15" customHeight="1" x14ac:dyDescent="0.2">
      <c r="E70" s="25" cm="1">
        <f t="array" ref="E70">WhileIterations_byHarryGross("a",_xlfn.LAMBDA(_xlpm.v,_xlfn.VSTACK(_xlpm.v,CHAR(CODE(_xlfn.TAKE(_xlpm.v,-1))+1))),_xlfn.LAMBDA(_xlpm.v,Exists_byHadynWiseman("e",_xlpm.v)))</f>
        <v>4</v>
      </c>
      <c r="K70" s="78"/>
    </row>
    <row r="72" spans="5:12" ht="15" customHeight="1" x14ac:dyDescent="0.2">
      <c r="E72" s="230" t="s">
        <v>2843</v>
      </c>
      <c r="F72" s="230"/>
      <c r="G72" s="230"/>
      <c r="H72" s="230"/>
      <c r="I72" s="230"/>
      <c r="J72" s="230"/>
      <c r="K72" s="5" t="s">
        <v>2844</v>
      </c>
      <c r="L72" s="89" t="s">
        <v>108</v>
      </c>
    </row>
    <row r="73" spans="5:12" ht="15" customHeight="1" x14ac:dyDescent="0.2">
      <c r="E73" s="25" cm="1">
        <f t="array" ref="E73">WhileIterations_byHarryGross(_xlfn.HSTACK(0,0),_xlfn.LAMBDA(_xlpm.v,_xlfn.VSTACK(_xlpm.v,_xlfn.TAKE(_xlpm.v,-1)+INDEX($E$55:$F$63,ROWS(_xlpm.v),0))),_xlfn.LAMBDA(_xlpm.v,MAX(_xlfn.TAKE(_xlpm.v,-1))&gt;20))</f>
        <v>4</v>
      </c>
      <c r="K73" s="78"/>
    </row>
    <row r="75" spans="5:12" ht="15" customHeight="1" x14ac:dyDescent="0.2">
      <c r="E75" s="152" t="s">
        <v>2487</v>
      </c>
      <c r="F75" s="152"/>
      <c r="G75" s="152"/>
      <c r="H75" s="152"/>
      <c r="I75" s="152"/>
      <c r="J75" s="152"/>
    </row>
    <row r="76" spans="5:12" ht="32.25" customHeight="1" x14ac:dyDescent="0.2">
      <c r="E76" s="147" t="s">
        <v>1490</v>
      </c>
      <c r="F76" s="147"/>
      <c r="G76" s="147"/>
      <c r="H76" s="147"/>
      <c r="I76" s="147"/>
      <c r="J76" s="147"/>
    </row>
    <row r="78" spans="5:12" ht="12.75" customHeight="1" x14ac:dyDescent="0.2"/>
    <row r="79" spans="5:12" ht="15.75" customHeight="1" x14ac:dyDescent="0.2">
      <c r="E79" s="159" t="s">
        <v>1073</v>
      </c>
      <c r="F79" s="159"/>
      <c r="G79" s="159"/>
      <c r="H79" s="159"/>
      <c r="I79" s="159"/>
      <c r="J79" s="159"/>
      <c r="K79" s="159"/>
      <c r="L79" s="159"/>
    </row>
    <row r="80" spans="5:12" ht="38.25" customHeight="1" x14ac:dyDescent="0.2">
      <c r="E80" s="152" t="s">
        <v>2845</v>
      </c>
      <c r="F80" s="149"/>
      <c r="G80" s="149"/>
      <c r="H80" s="149"/>
      <c r="I80" s="149"/>
      <c r="J80" s="149"/>
    </row>
    <row r="81" spans="5:12" ht="21.75" customHeight="1" x14ac:dyDescent="0.2">
      <c r="E81" s="147" t="s">
        <v>2846</v>
      </c>
      <c r="F81" s="147"/>
      <c r="G81" s="147"/>
      <c r="H81" s="147"/>
      <c r="I81" s="147"/>
      <c r="J81" s="147"/>
    </row>
    <row r="82" spans="5:12" ht="12.75" customHeight="1" x14ac:dyDescent="0.2"/>
    <row r="83" spans="5:12" ht="12.75" customHeight="1" x14ac:dyDescent="0.2">
      <c r="E83" s="22" t="s">
        <v>2847</v>
      </c>
    </row>
    <row r="84" spans="5:12" ht="15" customHeight="1" x14ac:dyDescent="0.2">
      <c r="E84" s="94">
        <v>2</v>
      </c>
      <c r="F84" s="94">
        <v>9</v>
      </c>
    </row>
    <row r="85" spans="5:12" ht="15" customHeight="1" x14ac:dyDescent="0.2">
      <c r="E85" s="94">
        <v>7</v>
      </c>
      <c r="F85" s="94">
        <v>4</v>
      </c>
    </row>
    <row r="86" spans="5:12" ht="15" customHeight="1" x14ac:dyDescent="0.2">
      <c r="E86" s="94">
        <v>5</v>
      </c>
      <c r="F86" s="94">
        <v>8</v>
      </c>
    </row>
    <row r="88" spans="5:12" ht="12.75" customHeight="1" x14ac:dyDescent="0.2">
      <c r="E88" s="22" t="s">
        <v>2334</v>
      </c>
      <c r="K88" s="24" t="s">
        <v>2335</v>
      </c>
      <c r="L88" s="24" t="s">
        <v>2336</v>
      </c>
    </row>
    <row r="89" spans="5:12" ht="21.75" customHeight="1" x14ac:dyDescent="0.2">
      <c r="E89" s="230" t="s">
        <v>2848</v>
      </c>
      <c r="F89" s="230"/>
      <c r="G89" s="230"/>
      <c r="H89" s="230"/>
      <c r="I89" s="230"/>
      <c r="J89" s="230"/>
      <c r="K89" s="5" t="s">
        <v>2849</v>
      </c>
      <c r="L89" s="89" t="s">
        <v>2850</v>
      </c>
    </row>
    <row r="90" spans="5:12" ht="15" customHeight="1" x14ac:dyDescent="0.2">
      <c r="E90" s="25" t="e" cm="1" vm="1">
        <f t="array" ref="E90">_xlfn.BYROW($E$84:$F$86,_xlfn.LAMBDA(_xlpm.r,_xlfn._xlws.SORT(_xlpm.r,,-1,TRUE)))</f>
        <v>#VALUE!</v>
      </c>
      <c r="K90" s="78"/>
    </row>
    <row r="92" spans="5:12" ht="21.75" customHeight="1" x14ac:dyDescent="0.2">
      <c r="E92" s="230" t="s">
        <v>2851</v>
      </c>
      <c r="F92" s="230"/>
      <c r="G92" s="230"/>
      <c r="H92" s="230"/>
      <c r="I92" s="230"/>
      <c r="J92" s="230"/>
      <c r="K92" s="5" t="s">
        <v>2852</v>
      </c>
    </row>
    <row r="93" spans="5:12" ht="15" customHeight="1" x14ac:dyDescent="0.2">
      <c r="E93" s="25" cm="1">
        <f t="array" ref="E93:F95">BiRow_byHadynWiseman($E$84:$F$86,_xlfn.LAMBDA(_xlpm.r,_xlfn._xlws.SORT(_xlpm.r,,-1,TRUE)))</f>
        <v>9</v>
      </c>
      <c r="F93" s="96">
        <v>2</v>
      </c>
      <c r="K93" s="78" t="s">
        <v>1970</v>
      </c>
      <c r="L93" s="231" t="s">
        <v>2853</v>
      </c>
    </row>
    <row r="94" spans="5:12" ht="15" customHeight="1" x14ac:dyDescent="0.2">
      <c r="E94" s="96">
        <v>7</v>
      </c>
      <c r="F94" s="96">
        <v>4</v>
      </c>
      <c r="L94" s="231"/>
    </row>
    <row r="95" spans="5:12" ht="15" customHeight="1" x14ac:dyDescent="0.2">
      <c r="E95" s="96">
        <v>8</v>
      </c>
      <c r="F95" s="96">
        <v>5</v>
      </c>
      <c r="L95" s="231"/>
    </row>
    <row r="97" spans="5:10" ht="25.5" customHeight="1" x14ac:dyDescent="0.2">
      <c r="E97" s="152" t="s">
        <v>2854</v>
      </c>
      <c r="F97" s="152"/>
      <c r="G97" s="152"/>
      <c r="H97" s="152"/>
      <c r="I97" s="152"/>
      <c r="J97" s="152"/>
    </row>
  </sheetData>
  <mergeCells count="28">
    <mergeCell ref="E81:J81"/>
    <mergeCell ref="E89:J89"/>
    <mergeCell ref="E92:J92"/>
    <mergeCell ref="L93:L95"/>
    <mergeCell ref="E97:J97"/>
    <mergeCell ref="E38:J38"/>
    <mergeCell ref="E50:J50"/>
    <mergeCell ref="E45:J45"/>
    <mergeCell ref="L32:L36"/>
    <mergeCell ref="L39:L43"/>
    <mergeCell ref="E46:J46"/>
    <mergeCell ref="E49:L49"/>
    <mergeCell ref="E51:J51"/>
    <mergeCell ref="E80:J80"/>
    <mergeCell ref="E69:J69"/>
    <mergeCell ref="E76:J76"/>
    <mergeCell ref="E66:J66"/>
    <mergeCell ref="E72:J72"/>
    <mergeCell ref="E75:J75"/>
    <mergeCell ref="E79:L79"/>
    <mergeCell ref="E28:J28"/>
    <mergeCell ref="E31:J31"/>
    <mergeCell ref="E13:J13"/>
    <mergeCell ref="E3:L4"/>
    <mergeCell ref="E6:L6"/>
    <mergeCell ref="E8:J8"/>
    <mergeCell ref="E11:L11"/>
    <mergeCell ref="E12:J12"/>
  </mergeCells>
  <hyperlinks>
    <hyperlink ref="B2" location="'Start here'!E6" tooltip="back to Start here" display="⌂  CompBot Tutorial" xr:uid="{00000000-0004-0000-1400-000000000000}"/>
    <hyperlink ref="B6" location="'Start here'!E6" display="▸  START" xr:uid="{505FA3F3-0A29-4B9E-AD53-639C2E557FF7}"/>
    <hyperlink ref="B7" location="'C1 Your machine'!E6" display="▸  COMMANDS" xr:uid="{4B1487A7-62D0-4C6B-A8E9-6BD088469426}"/>
    <hyperlink ref="B8" location="'Demo maps'!E6" display="▸  DEMO SHEETS" xr:uid="{269FC26F-48AD-4DD7-B232-44E670838A40}"/>
    <hyperlink ref="B9" location="'Level 1 Basics'!E6" display="▾  LAMBDAS" xr:uid="{F68BA0DE-F8EE-4C35-8CCF-CAB1D74C7A93}"/>
    <hyperlink ref="B10" location="'Level 1 Basics'!E6" display="Level 1 Basics" xr:uid="{F0DF8574-F510-49B3-B1D3-F839170A3BAF}"/>
    <hyperlink ref="B11" location="'Level 2 Arrays'!E6" display="Level 2 Arrays" xr:uid="{B7805B8E-A0D4-4BC9-88B3-5A680D5B785D}"/>
    <hyperlink ref="B12" location="'Level 3 Text'!E6" display="Level 3 Text" xr:uid="{5E885A95-39AA-42F9-9762-7241E941F586}"/>
    <hyperlink ref="B13" location="'Level 4 Lookup'!E6" display="Level 4 Lookup" xr:uid="{F18774B2-8D68-45B5-9DEC-90D1B6478D59}"/>
    <hyperlink ref="B14" location="'Level 5 Maps'!E6" display="Level 5 Maps" xr:uid="{E2811FB2-4E3C-4DAA-A612-6847DB25A4E1}"/>
    <hyperlink ref="B16" location="'Words'!E6" display="Words" xr:uid="{3F453A9A-8458-4C00-AF0D-26FE48580ACA}"/>
    <hyperlink ref="B18" location="'Command cheat sheet'!E6" display="▸  REFERENCE" xr:uid="{26984B0D-877E-4415-A2CD-ECD7723FE4AB}"/>
    <hyperlink ref="B17" location="'I1 The Alves Method'!E6" display="▸  INSIDER" xr:uid="{F932A2CD-79E0-4F6B-98B0-04AB0B527F3E}"/>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0B6E4F"/>
  </sheetPr>
  <dimension ref="A2:P64"/>
  <sheetViews>
    <sheetView showGridLines="0" workbookViewId="0">
      <pane xSplit="3" ySplit="5" topLeftCell="D6" activePane="bottomRight" state="frozen"/>
      <selection pane="topRight"/>
      <selection pane="bottomLeft"/>
      <selection pane="bottomRight" activeCell="D6" sqref="D6"/>
    </sheetView>
  </sheetViews>
  <sheetFormatPr defaultRowHeight="12.75" x14ac:dyDescent="0.2"/>
  <cols>
    <col min="1" max="1" width="1.5" style="44" customWidth="1"/>
    <col min="2" max="2" width="27" style="44" customWidth="1"/>
    <col min="3" max="3" width="1.5" style="44" customWidth="1"/>
    <col min="4" max="4" width="2.5" customWidth="1"/>
    <col min="5" max="5" width="34" customWidth="1"/>
    <col min="6" max="6" width="104" customWidth="1"/>
    <col min="15" max="16" width="40" hidden="1" customWidth="1"/>
  </cols>
  <sheetData>
    <row r="2" spans="2:16" ht="24.75" x14ac:dyDescent="0.3">
      <c r="B2" s="45" t="s">
        <v>0</v>
      </c>
      <c r="E2" s="3" t="s">
        <v>54</v>
      </c>
    </row>
    <row r="3" spans="2:16" ht="15" customHeight="1" thickBot="1" x14ac:dyDescent="0.25">
      <c r="B3" s="46" t="s">
        <v>2</v>
      </c>
      <c r="E3" s="147" t="s">
        <v>3188</v>
      </c>
      <c r="F3" s="147"/>
      <c r="G3" s="147"/>
      <c r="H3" s="147"/>
      <c r="I3" s="147"/>
      <c r="J3" s="147"/>
      <c r="K3" s="147"/>
      <c r="L3" s="147"/>
    </row>
    <row r="4" spans="2:16" ht="26.1" customHeight="1" thickBot="1" x14ac:dyDescent="0.25">
      <c r="E4" s="8" t="s">
        <v>852</v>
      </c>
      <c r="F4" s="48"/>
      <c r="O4" s="47" t="s">
        <v>851</v>
      </c>
      <c r="P4" s="47" t="s">
        <v>2267</v>
      </c>
    </row>
    <row r="5" spans="2:16" x14ac:dyDescent="0.2">
      <c r="O5" s="47" t="s">
        <v>853</v>
      </c>
      <c r="P5" s="47" t="s">
        <v>2268</v>
      </c>
    </row>
    <row r="6" spans="2:16" ht="15" customHeight="1" x14ac:dyDescent="0.2">
      <c r="B6" s="112" t="s">
        <v>315</v>
      </c>
      <c r="O6" s="47" t="s">
        <v>854</v>
      </c>
      <c r="P6" s="47" t="s">
        <v>2269</v>
      </c>
    </row>
    <row r="7" spans="2:16" x14ac:dyDescent="0.2">
      <c r="B7" s="112" t="s">
        <v>10</v>
      </c>
      <c r="O7" s="47" t="s">
        <v>855</v>
      </c>
      <c r="P7" s="47" t="s">
        <v>2270</v>
      </c>
    </row>
    <row r="8" spans="2:16" x14ac:dyDescent="0.2">
      <c r="B8" s="112" t="s">
        <v>11</v>
      </c>
      <c r="E8" s="117" t="s">
        <v>449</v>
      </c>
      <c r="F8" s="117" t="s">
        <v>2266</v>
      </c>
      <c r="O8" s="47" t="s">
        <v>857</v>
      </c>
      <c r="P8" s="47" t="s">
        <v>2271</v>
      </c>
    </row>
    <row r="9" spans="2:16" ht="25.5" customHeight="1" x14ac:dyDescent="0.2">
      <c r="B9" s="112" t="s">
        <v>856</v>
      </c>
      <c r="E9" s="118" t="str" cm="1">
        <f t="array" ref="E9:F62">_xlfn._xlws.FILTER($O$4:$P$57,ISNUMBER(SEARCH($F$4,$O$4:$O$57&amp;" "&amp;$P$4:$P$57)),"No match")</f>
        <v>Argmax / argmin</v>
      </c>
      <c r="F9" s="7" t="str">
        <v>The LABEL of the biggest (or smallest) value, not the value itself. 'Who scored most?' wants a name, not a number.</v>
      </c>
      <c r="O9" s="47" t="s">
        <v>858</v>
      </c>
      <c r="P9" s="47" t="s">
        <v>2272</v>
      </c>
    </row>
    <row r="10" spans="2:16" ht="15" customHeight="1" x14ac:dyDescent="0.2">
      <c r="B10" s="91" t="s">
        <v>56</v>
      </c>
      <c r="E10" s="118" t="str">
        <v>Array</v>
      </c>
      <c r="F10" s="7" t="str">
        <v>Several values held together as one, e.g. {1,2,3}. Most lambdas take an array in and give one back.</v>
      </c>
      <c r="O10" s="47" t="s">
        <v>859</v>
      </c>
      <c r="P10" s="47" t="s">
        <v>2273</v>
      </c>
    </row>
    <row r="11" spans="2:16" ht="15" customHeight="1" x14ac:dyDescent="0.2">
      <c r="B11" s="91" t="s">
        <v>58</v>
      </c>
      <c r="E11" s="118" t="str">
        <v>BFS  (breadth-first search)</v>
      </c>
      <c r="F11" s="7" t="str">
        <v>How far every cell is from a start when every step costs the same. Spreads out one step at a time, like ripples.</v>
      </c>
      <c r="O11" s="47" t="s">
        <v>860</v>
      </c>
      <c r="P11" s="47" t="s">
        <v>2274</v>
      </c>
    </row>
    <row r="12" spans="2:16" ht="15" customHeight="1" x14ac:dyDescent="0.2">
      <c r="B12" s="91" t="s">
        <v>3181</v>
      </c>
      <c r="E12" s="118" t="str">
        <v>Billiard / reflect walk</v>
      </c>
      <c r="F12" s="7" t="str">
        <v>A path that bounces off the edges at an angle and keeps going, like a snooker ball. A simple bounce only reverses along one line.</v>
      </c>
      <c r="O12" s="47" t="s">
        <v>861</v>
      </c>
      <c r="P12" s="47" t="s">
        <v>2275</v>
      </c>
    </row>
    <row r="13" spans="2:16" ht="25.5" customHeight="1" x14ac:dyDescent="0.2">
      <c r="B13" s="91" t="s">
        <v>3182</v>
      </c>
      <c r="E13" s="118" t="str">
        <v>Block around a cell</v>
      </c>
      <c r="F13" s="7" t="str">
        <v>A cell and its eight neighbours, or a bigger box around it. Minesweeper counting is the classic case.</v>
      </c>
      <c r="O13" s="47" t="s">
        <v>862</v>
      </c>
      <c r="P13" s="47" t="s">
        <v>2276</v>
      </c>
    </row>
    <row r="14" spans="2:16" ht="15" customHeight="1" x14ac:dyDescent="0.2">
      <c r="B14" s="91" t="s">
        <v>3179</v>
      </c>
      <c r="E14" s="118" t="str">
        <v>Blocker</v>
      </c>
      <c r="F14" s="7" t="str">
        <v>Stops a line or a walk: a wall for movement, an obstacle for line of sight. You can see a blocker, but not past it.</v>
      </c>
      <c r="O14" s="47" t="s">
        <v>863</v>
      </c>
      <c r="P14" s="47" t="s">
        <v>2277</v>
      </c>
    </row>
    <row r="15" spans="2:16" ht="15" customHeight="1" x14ac:dyDescent="0.2">
      <c r="B15" s="91" t="s">
        <v>3180</v>
      </c>
      <c r="E15" s="118" t="str">
        <v>Board walk with jumps</v>
      </c>
      <c r="F15" s="7" t="str">
        <v>Moving a counter along a numbered track by a dice roll, including what happens when the roll overshoots the end.</v>
      </c>
      <c r="O15" s="47" t="s">
        <v>864</v>
      </c>
      <c r="P15" s="47" t="s">
        <v>2278</v>
      </c>
    </row>
    <row r="16" spans="2:16" ht="15" customHeight="1" x14ac:dyDescent="0.2">
      <c r="B16" s="90" t="s">
        <v>54</v>
      </c>
      <c r="E16" s="118" t="str">
        <v>Bounce</v>
      </c>
      <c r="F16" s="7" t="str">
        <v>Hit the edge and come back the other way; the step count carries on. Compare STOP (stay at the wall) and WRAP.</v>
      </c>
      <c r="O16" s="47" t="s">
        <v>865</v>
      </c>
      <c r="P16" s="47" t="s">
        <v>2279</v>
      </c>
    </row>
    <row r="17" spans="2:16" ht="15" customHeight="1" x14ac:dyDescent="0.2">
      <c r="B17" s="112" t="s">
        <v>3407</v>
      </c>
      <c r="E17" s="118" t="str">
        <v>Callback</v>
      </c>
      <c r="F17" s="7" t="str">
        <v>A function handed to a lambda as an argument: an instruction rather than a value.</v>
      </c>
      <c r="O17" s="47" t="s">
        <v>2280</v>
      </c>
      <c r="P17" s="47" t="s">
        <v>2281</v>
      </c>
    </row>
    <row r="18" spans="2:16" ht="25.5" customHeight="1" x14ac:dyDescent="0.2">
      <c r="B18" s="112" t="s">
        <v>14</v>
      </c>
      <c r="E18" s="118" t="str">
        <v>Cells within range of a cell</v>
      </c>
      <c r="F18" s="7" t="str">
        <v>Everything within N of a point. A Chebyshev range is a square; a Manhattan range is a diamond.</v>
      </c>
      <c r="O18" s="47" t="s">
        <v>866</v>
      </c>
      <c r="P18" s="47" t="s">
        <v>2282</v>
      </c>
    </row>
    <row r="19" spans="2:16" ht="15" customHeight="1" x14ac:dyDescent="0.2">
      <c r="B19" s="110"/>
      <c r="E19" s="118" t="str">
        <v>Chebyshev distance</v>
      </c>
      <c r="F19" s="7" t="str">
        <v>Distance when a diagonal step costs the same as a straight one, like a king in chess: the bigger of the row gap and the column gap.</v>
      </c>
      <c r="O19" s="47" t="s">
        <v>867</v>
      </c>
      <c r="P19" s="47" t="s">
        <v>2283</v>
      </c>
    </row>
    <row r="20" spans="2:16" ht="15" customHeight="1" x14ac:dyDescent="0.2">
      <c r="B20" s="110"/>
      <c r="E20" s="118" t="str">
        <v>Connected component / region</v>
      </c>
      <c r="F20" s="7" t="str">
        <v>One blob of joined cells: an island, a room, a ship in Battleship.</v>
      </c>
      <c r="O20" s="47" t="s">
        <v>868</v>
      </c>
      <c r="P20" s="47" t="s">
        <v>2284</v>
      </c>
    </row>
    <row r="21" spans="2:16" ht="25.5" customHeight="1" x14ac:dyDescent="0.2">
      <c r="B21" s="110"/>
      <c r="E21" s="118" t="str">
        <v>Custom directions</v>
      </c>
      <c r="F21" s="7" t="str">
        <v>Your own list of moves, as packed numbers. Knight moves, hex grids, one-way doors and teleports all work this way.</v>
      </c>
      <c r="O21" s="47" t="s">
        <v>869</v>
      </c>
      <c r="P21" s="47" t="s">
        <v>2285</v>
      </c>
    </row>
    <row r="22" spans="2:16" ht="15" customHeight="1" x14ac:dyDescent="0.2">
      <c r="B22" s="110"/>
      <c r="E22" s="118" t="str">
        <v>Dijkstra  (say DIKE-stra)</v>
      </c>
      <c r="F22" s="7" t="str">
        <v>Like BFS, but steps cost different amounts (mud 5, road 1). Finds the CHEAPEST route, which may not have the fewest steps.</v>
      </c>
      <c r="O22" s="47" t="s">
        <v>870</v>
      </c>
      <c r="P22" s="47" t="s">
        <v>2286</v>
      </c>
    </row>
    <row r="23" spans="2:16" ht="15" customHeight="1" x14ac:dyDescent="0.2">
      <c r="B23" s="110"/>
      <c r="E23" s="118" t="str">
        <v>Distance field</v>
      </c>
      <c r="F23" s="7" t="str">
        <v>The distance from the start to EVERY cell at once. Leave Targets off MazeDistance to get it.</v>
      </c>
      <c r="O23" s="47" t="s">
        <v>1325</v>
      </c>
      <c r="P23" s="47" t="s">
        <v>2287</v>
      </c>
    </row>
    <row r="24" spans="2:16" ht="25.5" customHeight="1" x14ac:dyDescent="0.2">
      <c r="B24" s="110"/>
      <c r="E24" s="118" t="str">
        <v>Distance map to nearest match</v>
      </c>
      <c r="F24" s="7" t="str">
        <v>For every cell, the distance to the nearest cell holding a given value. A distance field measures from a named start instead.</v>
      </c>
      <c r="O24" s="47" t="s">
        <v>871</v>
      </c>
      <c r="P24" s="47" t="s">
        <v>2288</v>
      </c>
    </row>
    <row r="25" spans="2:16" ht="15" customHeight="1" x14ac:dyDescent="0.2">
      <c r="B25" s="110"/>
      <c r="E25" s="118" t="str">
        <v>Early exit</v>
      </c>
      <c r="F25" s="7" t="str">
        <v>Stopping a loop as soon as a condition is met. 'Which turn did the score first pass 100?'</v>
      </c>
      <c r="O25" s="47" t="s">
        <v>872</v>
      </c>
      <c r="P25" s="47" t="s">
        <v>2289</v>
      </c>
    </row>
    <row r="26" spans="2:16" ht="25.5" customHeight="1" x14ac:dyDescent="0.2">
      <c r="B26" s="110"/>
      <c r="E26" s="118" t="str">
        <v>Find address of value in a grid</v>
      </c>
      <c r="F26" s="7" t="str">
        <v>WHERE a value is, not what is in a cell. The answer is one or more addresses.</v>
      </c>
      <c r="O26" s="47" t="s">
        <v>873</v>
      </c>
      <c r="P26" s="47" t="s">
        <v>2290</v>
      </c>
    </row>
    <row r="27" spans="2:16" ht="15" customHeight="1" x14ac:dyDescent="0.2">
      <c r="B27" s="110"/>
      <c r="E27" s="118" t="str">
        <v>Flood fill</v>
      </c>
      <c r="F27" s="7" t="str">
        <v>Filling a connected area like a paint bucket: spread to every allowed neighbour, stop at the walls.</v>
      </c>
      <c r="O27" s="47" t="s">
        <v>874</v>
      </c>
      <c r="P27" s="47" t="s">
        <v>2291</v>
      </c>
    </row>
    <row r="28" spans="2:16" ht="15" customHeight="1" x14ac:dyDescent="0.2">
      <c r="B28" s="110"/>
      <c r="E28" s="118" t="str">
        <v>Fold_byHadynWiseman</v>
      </c>
      <c r="F28" s="7" t="str">
        <v>Folds a grid over on itself like paper: give it an arrow and the far half lands on the near half.</v>
      </c>
      <c r="O28" s="47" t="s">
        <v>875</v>
      </c>
      <c r="P28" s="47" t="s">
        <v>2292</v>
      </c>
    </row>
    <row r="29" spans="2:16" ht="15" customHeight="1" x14ac:dyDescent="0.2">
      <c r="B29" s="110"/>
      <c r="E29" s="118" t="str">
        <v>Glide</v>
      </c>
      <c r="F29" s="7" t="str">
        <v>Keep sliding in one direction until something stops you. Ice puzzles, curling, a rook's move.</v>
      </c>
      <c r="O29" s="47" t="s">
        <v>876</v>
      </c>
      <c r="P29" s="47" t="s">
        <v>2293</v>
      </c>
    </row>
    <row r="30" spans="2:16" ht="15" customHeight="1" x14ac:dyDescent="0.2">
      <c r="B30" s="110"/>
      <c r="E30" s="118" t="str">
        <v>Graph</v>
      </c>
      <c r="F30" s="7" t="str">
        <v>Places joined by links rather than laid out on a grid: stations, flight routes. A grid is a graph where each cell links to its neighbours.</v>
      </c>
      <c r="O30" s="47" t="s">
        <v>877</v>
      </c>
      <c r="P30" s="47" t="s">
        <v>2294</v>
      </c>
    </row>
    <row r="31" spans="2:16" ht="15" customHeight="1" x14ac:dyDescent="0.2">
      <c r="B31" s="110"/>
      <c r="E31" s="118" t="str">
        <v>Greedy</v>
      </c>
      <c r="F31" s="7" t="str">
        <v>Takes the best-looking option at each step without looking ahead. Fast, but not guaranteed best.</v>
      </c>
      <c r="O31" s="47" t="s">
        <v>878</v>
      </c>
      <c r="P31" s="47" t="s">
        <v>2295</v>
      </c>
    </row>
    <row r="32" spans="2:16" ht="25.5" customHeight="1" x14ac:dyDescent="0.2">
      <c r="B32" s="110"/>
      <c r="E32" s="118" t="str">
        <v>Greedy nearest-unvisited walk</v>
      </c>
      <c r="F32" s="7" t="str">
        <v>Always go to the closest place not yet visited. A quick stand-in for the travelling salesman answer; not always the best route.</v>
      </c>
      <c r="O32" s="47" t="s">
        <v>879</v>
      </c>
      <c r="P32" s="47" t="s">
        <v>2296</v>
      </c>
    </row>
    <row r="33" spans="2:16" ht="15" customHeight="1" x14ac:dyDescent="0.2">
      <c r="B33" s="110"/>
      <c r="E33" s="118" t="str">
        <v>K nearest neighbours</v>
      </c>
      <c r="F33" s="7" t="str">
        <v>The nearest K things, not just the nearest one. ClosestOnMap returns them in order: take the first K rows.</v>
      </c>
      <c r="O33" s="47" t="s">
        <v>880</v>
      </c>
      <c r="P33" s="47" t="s">
        <v>2297</v>
      </c>
    </row>
    <row r="34" spans="2:16" ht="25.5" customHeight="1" x14ac:dyDescent="0.2">
      <c r="B34" s="110"/>
      <c r="E34" s="118" t="str">
        <v>Knapsack</v>
      </c>
      <c r="F34" s="7" t="str">
        <v>Fit the most value into a limited space: a weight limit, a budget, a number of moves.</v>
      </c>
      <c r="O34" s="47" t="s">
        <v>881</v>
      </c>
      <c r="P34" s="47" t="s">
        <v>2298</v>
      </c>
    </row>
    <row r="35" spans="2:16" ht="15" customHeight="1" x14ac:dyDescent="0.2">
      <c r="B35" s="110"/>
      <c r="E35" s="118" t="str">
        <v>Knight move</v>
      </c>
      <c r="F35" s="7" t="str">
        <v>The chess knight's two-then-one jump. Not a neighbour move, so it needs custom directions.</v>
      </c>
      <c r="O35" s="47" t="s">
        <v>882</v>
      </c>
      <c r="P35" s="47" t="s">
        <v>2299</v>
      </c>
    </row>
    <row r="36" spans="2:16" ht="15" customHeight="1" x14ac:dyDescent="0.2">
      <c r="B36" s="110"/>
      <c r="E36" s="118" t="str">
        <v>Line of sight</v>
      </c>
      <c r="F36" s="7" t="str">
        <v>What a cell can SEE: rays out in each direction, each stopping at a blocker. Not the same as what it can reach.</v>
      </c>
      <c r="O36" s="47" t="s">
        <v>883</v>
      </c>
      <c r="P36" s="47" t="s">
        <v>2300</v>
      </c>
    </row>
    <row r="37" spans="2:16" ht="15" customHeight="1" x14ac:dyDescent="0.2">
      <c r="B37" s="110"/>
      <c r="E37" s="118" t="str">
        <v>Manhattan distance</v>
      </c>
      <c r="F37" s="7" t="str">
        <v>Distance along rows and columns only (no diagonals): row gap plus column gap. Also called taxi-cab distance.</v>
      </c>
      <c r="O37" s="47" t="s">
        <v>884</v>
      </c>
      <c r="P37" s="47" t="s">
        <v>2301</v>
      </c>
    </row>
    <row r="38" spans="2:16" ht="15" customHeight="1" x14ac:dyDescent="0.2">
      <c r="B38" s="110"/>
      <c r="E38" s="118" t="str">
        <v>Maze trace / path follow</v>
      </c>
      <c r="F38" s="7" t="str">
        <v>Following a path already drawn on the grid (arrows, pipes, a marked route) to see where it ends.</v>
      </c>
      <c r="O38" s="47" t="s">
        <v>3065</v>
      </c>
      <c r="P38" s="47" t="s">
        <v>3066</v>
      </c>
    </row>
    <row r="39" spans="2:16" ht="15" customHeight="1" x14ac:dyDescent="0.2">
      <c r="B39" s="110"/>
      <c r="E39" s="118" t="str">
        <v>Multi-source</v>
      </c>
      <c r="F39" s="7" t="str">
        <v>Distances from SEVERAL starts at once; each cell gets its distance to the nearest start. One call, not one per start.</v>
      </c>
      <c r="O39" s="47" t="s">
        <v>885</v>
      </c>
      <c r="P39" s="47" t="s">
        <v>2302</v>
      </c>
    </row>
    <row r="40" spans="2:16" ht="15" customHeight="1" x14ac:dyDescent="0.2">
      <c r="B40" s="110"/>
      <c r="E40" s="118" t="str">
        <v>N-hop / transitive closure</v>
      </c>
      <c r="F40" s="7" t="str">
        <v>N-hop: everywhere reachable in at most N moves. Transitive closure: everywhere reachable at all.</v>
      </c>
      <c r="O40" s="47" t="s">
        <v>886</v>
      </c>
      <c r="P40" s="47" t="s">
        <v>2303</v>
      </c>
    </row>
    <row r="41" spans="2:16" ht="15" customHeight="1" x14ac:dyDescent="0.2">
      <c r="B41" s="110"/>
      <c r="E41" s="118" t="str">
        <v>Nearest target cell</v>
      </c>
      <c r="F41" s="7" t="str">
        <v>Which target is closest, how far away, and where. ClosestOnMap returns all three as columns.</v>
      </c>
      <c r="O41" s="47" t="s">
        <v>887</v>
      </c>
      <c r="P41" s="47" t="s">
        <v>2304</v>
      </c>
    </row>
    <row r="42" spans="2:16" ht="15" customHeight="1" x14ac:dyDescent="0.2">
      <c r="B42" s="110"/>
      <c r="E42" s="118" t="str">
        <v>Optional argument</v>
      </c>
      <c r="F42" s="7" t="str">
        <v>Shown in [square brackets]. Leave it off, or skip a middle one by typing the comma and nothing else.</v>
      </c>
      <c r="O42" s="47" t="s">
        <v>888</v>
      </c>
      <c r="P42" s="47" t="s">
        <v>2305</v>
      </c>
    </row>
    <row r="43" spans="2:16" ht="15" customHeight="1" x14ac:dyDescent="0.2">
      <c r="B43" s="110"/>
      <c r="E43" s="118" t="str">
        <v>Orthogonal vs diagonal</v>
      </c>
      <c r="F43" s="7" t="str">
        <v>Which cells count as neighbours. Orthogonal: up, down, left, right. Diagonal: the four corners as well. Most grid lambdas have a [No_Diag] switch for it.</v>
      </c>
      <c r="O43" s="47" t="s">
        <v>889</v>
      </c>
      <c r="P43" s="47" t="s">
        <v>2306</v>
      </c>
    </row>
    <row r="44" spans="2:16" ht="15" customHeight="1" x14ac:dyDescent="0.2">
      <c r="B44" s="110"/>
      <c r="E44" s="118" t="str">
        <v>Packed coordinates</v>
      </c>
      <c r="F44" s="7" t="str">
        <v>Row and column in one number: row × 1,000,000 + column. Row 3, column 5 is 3,000,005. Adding a direction to a position lands on the right cell.</v>
      </c>
      <c r="O44" s="47" t="s">
        <v>890</v>
      </c>
      <c r="P44" s="47" t="s">
        <v>2307</v>
      </c>
    </row>
    <row r="45" spans="2:16" ht="25.5" customHeight="1" x14ac:dyDescent="0.2">
      <c r="B45" s="110"/>
      <c r="E45" s="118" t="str">
        <v>Passability mask</v>
      </c>
      <c r="F45" s="7" t="str">
        <v>A TRUE/FALSE grid the same shape as the map, saying which cells may be entered. It must be an array: a single TRUE fails silently.</v>
      </c>
      <c r="O45" s="47" t="s">
        <v>891</v>
      </c>
      <c r="P45" s="47" t="s">
        <v>2308</v>
      </c>
    </row>
    <row r="46" spans="2:16" ht="25.5" customHeight="1" x14ac:dyDescent="0.2">
      <c r="B46" s="110"/>
      <c r="E46" s="118" t="str">
        <v>Pythagorean distance</v>
      </c>
      <c r="F46" s="7" t="str">
        <v>Straight-line distance, ignoring the grid: √(row gap² + column gap²). Also called Euclidean.</v>
      </c>
      <c r="O46" s="47" t="s">
        <v>892</v>
      </c>
      <c r="P46" s="47" t="s">
        <v>893</v>
      </c>
    </row>
    <row r="47" spans="2:16" ht="15" customHeight="1" x14ac:dyDescent="0.2">
      <c r="E47" s="118" t="str">
        <v>Range</v>
      </c>
      <c r="F47" s="7" t="str">
        <v>Cells on a sheet, like B3:M14. A range has a position; an array is just values. Some lambdas need a range.</v>
      </c>
      <c r="O47" s="47" t="s">
        <v>894</v>
      </c>
      <c r="P47" s="47" t="s">
        <v>2309</v>
      </c>
    </row>
    <row r="48" spans="2:16" ht="15" customHeight="1" x14ac:dyDescent="0.2">
      <c r="E48" s="118" t="str">
        <v>Reachability</v>
      </c>
      <c r="F48" s="7" t="str">
        <v>Whether a cell can be reached at all, not how far. Maze answers this; MazeDistance gives the distance.</v>
      </c>
      <c r="O48" s="47" t="s">
        <v>895</v>
      </c>
      <c r="P48" s="47" t="s">
        <v>2310</v>
      </c>
    </row>
    <row r="49" spans="5:16" ht="15" customHeight="1" x14ac:dyDescent="0.2">
      <c r="E49" s="118" t="str">
        <v>Serpentine / boustrophedon</v>
      </c>
      <c r="F49" s="7" t="str">
        <v>Snake order: left to right along one row, right to left along the next. Race tracks and seating plans use it.</v>
      </c>
      <c r="O49" s="47" t="s">
        <v>896</v>
      </c>
      <c r="P49" s="47" t="s">
        <v>3067</v>
      </c>
    </row>
    <row r="50" spans="5:16" ht="15" customHeight="1" x14ac:dyDescent="0.2">
      <c r="E50" s="118" t="str">
        <v>Sliding window</v>
      </c>
      <c r="F50" s="7" t="str">
        <v>Every block of a given size in turn (every 2×2, every 1×5), each scored. 'Where is the best 3×3 patch?'</v>
      </c>
      <c r="O50" s="47" t="s">
        <v>897</v>
      </c>
      <c r="P50" s="47" t="s">
        <v>2311</v>
      </c>
    </row>
    <row r="51" spans="5:16" ht="15" customHeight="1" x14ac:dyDescent="0.2">
      <c r="E51" s="118" t="str">
        <v>Spill</v>
      </c>
      <c r="F51" s="7" t="str">
        <v>When one formula's answer flows out across several cells.</v>
      </c>
      <c r="O51" s="47" t="s">
        <v>898</v>
      </c>
      <c r="P51" s="47" t="s">
        <v>2312</v>
      </c>
    </row>
    <row r="52" spans="5:16" ht="15" customHeight="1" x14ac:dyDescent="0.2">
      <c r="E52" s="118" t="str">
        <v>Steps vs cost</v>
      </c>
      <c r="F52" s="7" t="str">
        <v>Number of moves vs total cost of the route. MazeDistance's [Show_Steps] gives the steps of the CHEAPEST route, not the fewest steps possible.</v>
      </c>
      <c r="O52" s="47" t="s">
        <v>899</v>
      </c>
      <c r="P52" s="47" t="s">
        <v>2313</v>
      </c>
    </row>
    <row r="53" spans="5:16" ht="25.5" customHeight="1" x14ac:dyDescent="0.2">
      <c r="E53" s="118" t="str">
        <v>Teleport edge</v>
      </c>
      <c r="F53" s="7" t="str">
        <v>A link between two cells that are not next to each other: a portal, a ladder, a one-way door. Add it to custom directions.</v>
      </c>
      <c r="O53" s="47" t="s">
        <v>900</v>
      </c>
      <c r="P53" s="47" t="s">
        <v>2314</v>
      </c>
    </row>
    <row r="54" spans="5:16" ht="25.5" customHeight="1" x14ac:dyDescent="0.2">
      <c r="E54" s="118" t="str">
        <v>Tie-break</v>
      </c>
      <c r="F54" s="7" t="str">
        <v>The rule for equal values, e.g. 'earliest row wins'.</v>
      </c>
      <c r="O54" s="47" t="s">
        <v>901</v>
      </c>
      <c r="P54" s="47" t="s">
        <v>2315</v>
      </c>
    </row>
    <row r="55" spans="5:16" ht="15" customHeight="1" x14ac:dyDescent="0.2">
      <c r="E55" s="118" t="str">
        <v>Travelling salesman (TSP)</v>
      </c>
      <c r="F55" s="7" t="str">
        <v>Visit every place once and return, as cheaply as possible. TSPFull is exact (small problems); TSPGreedy is fast and approximate.</v>
      </c>
      <c r="O55" s="47" t="s">
        <v>902</v>
      </c>
      <c r="P55" s="47" t="s">
        <v>2316</v>
      </c>
    </row>
    <row r="56" spans="5:16" ht="25.5" customHeight="1" x14ac:dyDescent="0.2">
      <c r="E56" s="118" t="str">
        <v>Unpivot</v>
      </c>
      <c r="F56" s="7" t="str">
        <v>Turning a wide table into a tall one: twelve month columns become twelve rows.</v>
      </c>
      <c r="O56" s="47" t="s">
        <v>903</v>
      </c>
      <c r="P56" s="47" t="s">
        <v>2317</v>
      </c>
    </row>
    <row r="57" spans="5:16" ht="15" customHeight="1" x14ac:dyDescent="0.2">
      <c r="E57" s="118" t="str">
        <v>Volatile</v>
      </c>
      <c r="F57" s="7" t="str">
        <v>A formula that recalculates on every change, relevant or not. Slows big workbooks.</v>
      </c>
      <c r="O57" s="47" t="s">
        <v>904</v>
      </c>
      <c r="P57" s="47" t="s">
        <v>2318</v>
      </c>
    </row>
    <row r="58" spans="5:16" ht="15" customHeight="1" x14ac:dyDescent="0.2">
      <c r="E58" s="118" t="str">
        <v>Walk until blocked</v>
      </c>
      <c r="F58" s="7" t="str">
        <v>Keep going in one direction until the edge, a wall or an item stops you.</v>
      </c>
      <c r="O58" s="47"/>
      <c r="P58" s="47"/>
    </row>
    <row r="59" spans="5:16" ht="15" customHeight="1" x14ac:dyDescent="0.2">
      <c r="E59" s="118" t="str">
        <v>Walk with budget</v>
      </c>
      <c r="F59" s="7" t="str">
        <v>Move until you run out of steps, fuel or money, rather than until you arrive.</v>
      </c>
      <c r="O59" s="47"/>
      <c r="P59" s="47"/>
    </row>
    <row r="60" spans="5:16" ht="15" customHeight="1" x14ac:dyDescent="0.2">
      <c r="E60" s="118" t="str">
        <v>Wall following / hug the wall</v>
      </c>
      <c r="F60" s="7" t="str">
        <v>Keep one hand on the wall. Escapes any maze whose walls are all connected; not the shortest route.</v>
      </c>
    </row>
    <row r="61" spans="5:16" ht="15" customHeight="1" x14ac:dyDescent="0.2">
      <c r="E61" s="118" t="str">
        <v>Weighted vs unweighted</v>
      </c>
      <c r="F61" s="7" t="str">
        <v>Unweighted: every step costs 1; the answer is a step count. Weighted: each cell has an entry cost; the answer is a total cost. MazeDistance is weighted by default (it charges each cell's number); on a map of 1s the two match.</v>
      </c>
    </row>
    <row r="62" spans="5:16" ht="25.5" customHeight="1" x14ac:dyDescent="0.2">
      <c r="E62" s="118" t="str">
        <v>Wrap around</v>
      </c>
      <c r="F62" s="7" t="str">
        <v>Walk off one edge and reappear on the opposite one, like Pac-Man. Several lambdas offer it as a switch.</v>
      </c>
    </row>
    <row r="63" spans="5:16" ht="15" customHeight="1" x14ac:dyDescent="0.2">
      <c r="E63" s="118"/>
      <c r="F63" s="7"/>
    </row>
    <row r="64" spans="5:16" ht="15" customHeight="1" x14ac:dyDescent="0.2">
      <c r="E64" s="118"/>
      <c r="F64" s="7"/>
    </row>
  </sheetData>
  <mergeCells count="1">
    <mergeCell ref="E3:L3"/>
  </mergeCells>
  <conditionalFormatting sqref="E9:F120">
    <cfRule type="expression" dxfId="3" priority="1" stopIfTrue="1">
      <formula>$E9&lt;&gt;""</formula>
    </cfRule>
    <cfRule type="expression" dxfId="2" priority="2" stopIfTrue="1">
      <formula>AND($E9&lt;&gt;"",ISODD(ROW()-ROW($E$9)))</formula>
    </cfRule>
  </conditionalFormatting>
  <hyperlinks>
    <hyperlink ref="B2" location="'Start here'!E6" tooltip="back to Start here" display="⌂  CompBot Tutorial" xr:uid="{00000000-0004-0000-1000-000000000000}"/>
    <hyperlink ref="B6" location="'Start here'!E6" display="▸  START" xr:uid="{6732685A-17F4-4512-A586-BBF1E2FFE2BB}"/>
    <hyperlink ref="B7" location="'C1 Your machine'!E6" display="▸  COMMANDS" xr:uid="{F1E26C21-14EF-4074-A4EB-C2C807A1E044}"/>
    <hyperlink ref="B8" location="'Demo maps'!E6" display="▸  DEMO SHEETS" xr:uid="{C023D76C-78BA-4251-A54C-9B7F6633DA1A}"/>
    <hyperlink ref="B9" location="'Level 1 Basics'!E6" display="▾  LAMBDAS" xr:uid="{37D4E9B6-80C5-42D1-B99E-2CE27B6E20E7}"/>
    <hyperlink ref="B10" location="'Level 1 Basics'!E6" display="Level 1 Basics" xr:uid="{138F0AF7-F579-445C-956F-91B49F0F61D0}"/>
    <hyperlink ref="B11" location="'Level 2 Arrays'!E6" display="Level 2 Arrays" xr:uid="{580417B7-AC03-4F94-99F2-547543950A1F}"/>
    <hyperlink ref="B12" location="'Level 3 Text'!E6" display="Level 3 Text" xr:uid="{E3E2C475-3332-4057-89B8-4240112AE983}"/>
    <hyperlink ref="B13" location="'Level 4 Lookup'!E6" display="Level 4 Lookup" xr:uid="{AAF58113-5683-4CD4-B28A-2C419C7EA4FD}"/>
    <hyperlink ref="B14" location="'Level 5 Maps'!E6" display="Level 5 Maps" xr:uid="{B611F37A-EF3D-4C09-ABC6-1636D3498F9F}"/>
    <hyperlink ref="B15" location="'Level 6 Engines'!E6" display="Level 6 Engines" xr:uid="{8B7489DA-C6E0-4D46-8892-8ECDF745C803}"/>
    <hyperlink ref="B18" location="'Command cheat sheet'!E6" display="▸  REFERENCE" xr:uid="{E7B0CD85-2EA0-4828-B1EA-AF810A14A297}"/>
    <hyperlink ref="B17" location="'I1 The Alves Method'!E6" display="▸  INSIDER" xr:uid="{2AB38E15-BC2B-4C67-93A8-13FC71913C49}"/>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F92D0-6017-4AB4-9774-910D189012A9}">
  <sheetPr codeName="Sheet24">
    <tabColor rgb="FF5B3F9E"/>
  </sheetPr>
  <dimension ref="A1:L195"/>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19" customWidth="1"/>
    <col min="2" max="2" width="27" style="19" customWidth="1"/>
    <col min="3" max="3" width="1.5" style="19" customWidth="1"/>
    <col min="4" max="4" width="2.5" customWidth="1"/>
    <col min="5" max="10" width="14.5" customWidth="1"/>
    <col min="11" max="11" width="44" customWidth="1"/>
    <col min="12" max="12" width="46" customWidth="1"/>
  </cols>
  <sheetData>
    <row r="1" spans="1:12" ht="15" customHeight="1" x14ac:dyDescent="0.2">
      <c r="A1" s="136"/>
      <c r="B1" s="136"/>
      <c r="C1" s="136"/>
    </row>
    <row r="2" spans="1:12" ht="30" customHeight="1" x14ac:dyDescent="0.3">
      <c r="A2" s="136"/>
      <c r="B2" s="137" t="s">
        <v>0</v>
      </c>
      <c r="C2" s="136"/>
      <c r="E2" s="3" t="s">
        <v>3356</v>
      </c>
    </row>
    <row r="3" spans="1:12" ht="15" customHeight="1" x14ac:dyDescent="0.2">
      <c r="A3" s="136"/>
      <c r="B3" s="138" t="s">
        <v>2</v>
      </c>
      <c r="C3" s="136"/>
      <c r="E3" s="147" t="s">
        <v>3357</v>
      </c>
      <c r="F3" s="148"/>
      <c r="G3" s="148"/>
      <c r="H3" s="148"/>
      <c r="I3" s="148"/>
      <c r="J3" s="148"/>
      <c r="K3" s="148"/>
      <c r="L3" s="148"/>
    </row>
    <row r="4" spans="1:12" ht="15" customHeight="1" x14ac:dyDescent="0.2">
      <c r="A4" s="136"/>
      <c r="B4" s="136"/>
      <c r="C4" s="136"/>
      <c r="E4" s="148"/>
      <c r="F4" s="148"/>
      <c r="G4" s="148"/>
      <c r="H4" s="148"/>
      <c r="I4" s="148"/>
      <c r="J4" s="148"/>
      <c r="K4" s="148"/>
      <c r="L4" s="148"/>
    </row>
    <row r="5" spans="1:12" ht="15" customHeight="1" x14ac:dyDescent="0.2">
      <c r="A5" s="136"/>
      <c r="B5" s="136"/>
      <c r="C5" s="136"/>
    </row>
    <row r="6" spans="1:12" ht="15" customHeight="1" x14ac:dyDescent="0.2">
      <c r="A6" s="136"/>
      <c r="B6" s="139" t="s">
        <v>315</v>
      </c>
      <c r="C6" s="136"/>
      <c r="E6" s="206" t="s">
        <v>3442</v>
      </c>
      <c r="F6" s="206"/>
      <c r="G6" s="206"/>
      <c r="H6" s="206"/>
      <c r="I6" s="206"/>
      <c r="J6" s="206"/>
    </row>
    <row r="7" spans="1:12" ht="15" customHeight="1" x14ac:dyDescent="0.2">
      <c r="A7" s="136"/>
      <c r="B7" s="139" t="s">
        <v>10</v>
      </c>
      <c r="C7" s="136"/>
      <c r="E7" s="206"/>
      <c r="F7" s="206"/>
      <c r="G7" s="206"/>
      <c r="H7" s="206"/>
      <c r="I7" s="206"/>
      <c r="J7" s="206"/>
    </row>
    <row r="8" spans="1:12" ht="15" customHeight="1" x14ac:dyDescent="0.2">
      <c r="A8" s="136"/>
      <c r="B8" s="139" t="s">
        <v>11</v>
      </c>
      <c r="C8" s="136"/>
      <c r="E8" s="206"/>
      <c r="F8" s="206"/>
      <c r="G8" s="206"/>
      <c r="H8" s="206"/>
      <c r="I8" s="206"/>
      <c r="J8" s="206"/>
    </row>
    <row r="9" spans="1:12" ht="15" customHeight="1" x14ac:dyDescent="0.2">
      <c r="A9" s="136"/>
      <c r="B9" s="139" t="s">
        <v>13</v>
      </c>
      <c r="C9" s="136"/>
      <c r="E9" s="206"/>
      <c r="F9" s="206"/>
      <c r="G9" s="206"/>
      <c r="H9" s="206"/>
      <c r="I9" s="206"/>
      <c r="J9" s="206"/>
    </row>
    <row r="10" spans="1:12" ht="15" customHeight="1" x14ac:dyDescent="0.2">
      <c r="A10" s="136"/>
      <c r="B10" s="139" t="s">
        <v>3354</v>
      </c>
      <c r="C10" s="136"/>
    </row>
    <row r="11" spans="1:12" ht="12.75" customHeight="1" x14ac:dyDescent="0.2">
      <c r="A11" s="136"/>
      <c r="B11" s="104" t="s">
        <v>3355</v>
      </c>
      <c r="C11" s="136"/>
      <c r="E11" s="206" t="s">
        <v>3358</v>
      </c>
      <c r="F11" s="206"/>
      <c r="G11" s="206"/>
      <c r="H11" s="206"/>
      <c r="I11" s="206"/>
      <c r="J11" s="206"/>
    </row>
    <row r="12" spans="1:12" ht="15" customHeight="1" x14ac:dyDescent="0.2">
      <c r="A12" s="136"/>
      <c r="B12" s="139" t="s">
        <v>14</v>
      </c>
      <c r="C12" s="136"/>
      <c r="E12" s="206"/>
      <c r="F12" s="206"/>
      <c r="G12" s="206"/>
      <c r="H12" s="206"/>
      <c r="I12" s="206"/>
      <c r="J12" s="206"/>
    </row>
    <row r="13" spans="1:12" ht="15" customHeight="1" x14ac:dyDescent="0.2">
      <c r="A13" s="136"/>
      <c r="B13" s="140"/>
      <c r="C13" s="136"/>
      <c r="E13" s="206"/>
      <c r="F13" s="206"/>
      <c r="G13" s="206"/>
      <c r="H13" s="206"/>
      <c r="I13" s="206"/>
      <c r="J13" s="206"/>
    </row>
    <row r="14" spans="1:12" ht="15" customHeight="1" x14ac:dyDescent="0.2">
      <c r="A14" s="136"/>
      <c r="B14" s="140"/>
      <c r="C14" s="136"/>
      <c r="E14" s="206"/>
      <c r="F14" s="206"/>
      <c r="G14" s="206"/>
      <c r="H14" s="206"/>
      <c r="I14" s="206"/>
      <c r="J14" s="206"/>
    </row>
    <row r="15" spans="1:12" ht="15" customHeight="1" x14ac:dyDescent="0.2">
      <c r="A15" s="136"/>
      <c r="B15" s="140"/>
      <c r="C15" s="136"/>
      <c r="E15" s="206"/>
      <c r="F15" s="206"/>
      <c r="G15" s="206"/>
      <c r="H15" s="206"/>
      <c r="I15" s="206"/>
      <c r="J15" s="206"/>
    </row>
    <row r="16" spans="1:12" ht="15" customHeight="1" x14ac:dyDescent="0.2">
      <c r="A16" s="136"/>
      <c r="B16" s="140"/>
      <c r="C16" s="136"/>
    </row>
    <row r="17" spans="1:11" ht="15" customHeight="1" x14ac:dyDescent="0.2">
      <c r="A17" s="136"/>
      <c r="B17" s="140"/>
      <c r="C17" s="136"/>
      <c r="E17" s="152" t="s">
        <v>3441</v>
      </c>
      <c r="F17" s="152"/>
      <c r="G17" s="152"/>
      <c r="H17" s="152"/>
      <c r="I17" s="152"/>
      <c r="J17" s="152"/>
    </row>
    <row r="18" spans="1:11" ht="15" customHeight="1" x14ac:dyDescent="0.2">
      <c r="A18" s="136"/>
      <c r="B18" s="140"/>
      <c r="C18" s="136"/>
      <c r="E18" s="232" t="str" cm="1">
        <f t="array" ref="E18">IF(ISERROR(_xlfn._xlws.FLATTEN(1)),"✗  No in-cell arrays in this Excel: CompBot Insider's commands will not work here, so use CompBot.","✓  You have in-cell arrays: CompBot Insider's commands will work.")</f>
        <v>✓  You have in-cell arrays: CompBot Insider's commands will work.</v>
      </c>
      <c r="F18" s="152"/>
      <c r="G18" s="152"/>
      <c r="H18" s="152"/>
      <c r="I18" s="152"/>
      <c r="J18" s="152"/>
    </row>
    <row r="19" spans="1:11" ht="15" customHeight="1" x14ac:dyDescent="0.2">
      <c r="A19" s="136"/>
      <c r="B19" s="140"/>
      <c r="C19" s="136"/>
    </row>
    <row r="20" spans="1:11" ht="15" customHeight="1" x14ac:dyDescent="0.2">
      <c r="A20" s="136"/>
      <c r="B20" s="140"/>
      <c r="C20" s="136"/>
    </row>
    <row r="21" spans="1:11" ht="15.75" customHeight="1" x14ac:dyDescent="0.2">
      <c r="A21" s="136"/>
      <c r="B21" s="140"/>
      <c r="C21" s="136"/>
      <c r="E21" s="205" t="s">
        <v>3359</v>
      </c>
      <c r="F21" s="205"/>
      <c r="G21" s="205"/>
      <c r="H21" s="205"/>
      <c r="I21" s="205"/>
      <c r="J21" s="205"/>
      <c r="K21" s="52" t="s">
        <v>3360</v>
      </c>
    </row>
    <row r="22" spans="1:11" ht="25.5" customHeight="1" x14ac:dyDescent="0.2">
      <c r="A22" s="136"/>
      <c r="B22" s="140"/>
      <c r="C22" s="136"/>
      <c r="E22" s="152" t="s">
        <v>3361</v>
      </c>
      <c r="F22" s="152"/>
      <c r="G22" s="152"/>
      <c r="H22" s="152"/>
      <c r="I22" s="152"/>
      <c r="J22" s="152"/>
    </row>
    <row r="23" spans="1:11" ht="15" customHeight="1" x14ac:dyDescent="0.2">
      <c r="A23" s="136"/>
      <c r="B23" s="140"/>
      <c r="C23" s="136"/>
      <c r="E23" s="147" t="s">
        <v>3362</v>
      </c>
      <c r="F23" s="147"/>
      <c r="G23" s="147"/>
      <c r="H23" s="147"/>
      <c r="I23" s="147"/>
      <c r="J23" s="147"/>
    </row>
    <row r="24" spans="1:11" ht="12.75" customHeight="1" x14ac:dyDescent="0.2">
      <c r="A24" s="136"/>
      <c r="B24" s="140"/>
      <c r="C24" s="136"/>
    </row>
    <row r="25" spans="1:11" ht="15" customHeight="1" x14ac:dyDescent="0.2">
      <c r="A25" s="136"/>
      <c r="B25" s="140"/>
      <c r="C25" s="136"/>
      <c r="E25" s="193" t="s">
        <v>3363</v>
      </c>
      <c r="F25" s="194"/>
      <c r="G25" s="194"/>
      <c r="H25" s="194"/>
      <c r="I25" s="194"/>
      <c r="J25" s="195"/>
    </row>
    <row r="26" spans="1:11" ht="15" customHeight="1" x14ac:dyDescent="0.2">
      <c r="A26" s="136"/>
      <c r="B26" s="140"/>
      <c r="C26" s="136"/>
      <c r="E26" s="147" t="s">
        <v>3364</v>
      </c>
      <c r="F26" s="149"/>
      <c r="G26" s="149"/>
      <c r="H26" s="149"/>
      <c r="I26" s="149"/>
      <c r="J26" s="149"/>
    </row>
    <row r="27" spans="1:11" ht="15" customHeight="1" x14ac:dyDescent="0.2">
      <c r="A27" s="136"/>
      <c r="B27" s="140"/>
      <c r="C27" s="136"/>
      <c r="E27" s="147" t="s">
        <v>3365</v>
      </c>
      <c r="F27" s="149"/>
      <c r="G27" s="149"/>
      <c r="H27" s="149"/>
      <c r="I27" s="149"/>
      <c r="J27" s="149"/>
    </row>
    <row r="28" spans="1:11" ht="15" customHeight="1" x14ac:dyDescent="0.2">
      <c r="A28" s="136"/>
      <c r="B28" s="140"/>
      <c r="C28" s="136"/>
      <c r="E28" s="147" t="s">
        <v>3366</v>
      </c>
      <c r="F28" s="147"/>
      <c r="G28" s="147"/>
      <c r="H28" s="147"/>
      <c r="I28" s="147"/>
      <c r="J28" s="147"/>
    </row>
    <row r="29" spans="1:11" ht="12.75" customHeight="1" x14ac:dyDescent="0.2">
      <c r="A29" s="136"/>
      <c r="B29" s="140"/>
      <c r="C29" s="136"/>
    </row>
    <row r="30" spans="1:11" ht="25.5" customHeight="1" x14ac:dyDescent="0.2">
      <c r="A30" s="136"/>
      <c r="B30" s="140"/>
      <c r="C30" s="136"/>
      <c r="E30" s="152" t="s">
        <v>3367</v>
      </c>
      <c r="F30" s="152"/>
      <c r="G30" s="152"/>
      <c r="H30" s="152"/>
      <c r="I30" s="152"/>
      <c r="J30" s="152"/>
    </row>
    <row r="31" spans="1:11" ht="25.5" customHeight="1" x14ac:dyDescent="0.2">
      <c r="A31" s="136"/>
      <c r="B31" s="140"/>
      <c r="C31" s="136"/>
      <c r="E31" s="156" t="s">
        <v>3383</v>
      </c>
      <c r="F31" s="157"/>
      <c r="G31" s="157"/>
      <c r="H31" s="157"/>
      <c r="I31" s="157"/>
      <c r="J31" s="158"/>
    </row>
    <row r="32" spans="1:11" ht="15" customHeight="1" x14ac:dyDescent="0.2">
      <c r="A32" s="136"/>
      <c r="B32" s="140"/>
      <c r="C32" s="136"/>
      <c r="E32" s="7"/>
      <c r="F32" s="7"/>
      <c r="G32" s="7"/>
      <c r="H32" s="7"/>
      <c r="I32" s="7"/>
      <c r="J32" s="7"/>
    </row>
    <row r="33" spans="1:11" ht="15" customHeight="1" x14ac:dyDescent="0.2">
      <c r="A33" s="136"/>
      <c r="B33" s="140"/>
      <c r="C33" s="136"/>
      <c r="E33" s="7"/>
      <c r="F33" s="7"/>
      <c r="G33" s="7"/>
      <c r="H33" s="7"/>
      <c r="I33" s="7"/>
      <c r="J33" s="7"/>
    </row>
    <row r="34" spans="1:11" ht="15.75" customHeight="1" x14ac:dyDescent="0.2">
      <c r="A34" s="136"/>
      <c r="B34" s="140"/>
      <c r="C34" s="136"/>
      <c r="E34" s="205" t="s">
        <v>3368</v>
      </c>
      <c r="F34" s="205"/>
      <c r="G34" s="205"/>
      <c r="H34" s="205"/>
      <c r="I34" s="205"/>
      <c r="J34" s="205"/>
      <c r="K34" s="52" t="s">
        <v>3369</v>
      </c>
    </row>
    <row r="35" spans="1:11" ht="25.5" customHeight="1" x14ac:dyDescent="0.2">
      <c r="A35" s="136"/>
      <c r="B35" s="140"/>
      <c r="C35" s="136"/>
      <c r="E35" s="152" t="s">
        <v>3370</v>
      </c>
      <c r="F35" s="152"/>
      <c r="G35" s="152"/>
      <c r="H35" s="152"/>
      <c r="I35" s="152"/>
      <c r="J35" s="152"/>
    </row>
    <row r="36" spans="1:11" ht="15" customHeight="1" x14ac:dyDescent="0.2">
      <c r="A36" s="136"/>
      <c r="B36" s="140"/>
      <c r="C36" s="136"/>
      <c r="E36" s="147" t="s">
        <v>3371</v>
      </c>
      <c r="F36" s="147"/>
      <c r="G36" s="147"/>
      <c r="H36" s="147"/>
      <c r="I36" s="147"/>
      <c r="J36" s="147"/>
    </row>
    <row r="37" spans="1:11" ht="12.75" customHeight="1" x14ac:dyDescent="0.2">
      <c r="A37" s="136"/>
      <c r="B37" s="140"/>
      <c r="C37" s="136"/>
    </row>
    <row r="38" spans="1:11" ht="15" customHeight="1" x14ac:dyDescent="0.2">
      <c r="A38" s="136"/>
      <c r="B38" s="140"/>
      <c r="C38" s="136"/>
      <c r="E38" s="193" t="s">
        <v>3363</v>
      </c>
      <c r="F38" s="194"/>
      <c r="G38" s="194"/>
      <c r="H38" s="194"/>
      <c r="I38" s="194"/>
      <c r="J38" s="195"/>
    </row>
    <row r="39" spans="1:11" ht="15" customHeight="1" x14ac:dyDescent="0.2">
      <c r="A39" s="136"/>
      <c r="B39" s="140"/>
      <c r="C39" s="136"/>
      <c r="E39" s="147" t="s">
        <v>3372</v>
      </c>
      <c r="F39" s="149"/>
      <c r="G39" s="149"/>
      <c r="H39" s="149"/>
      <c r="I39" s="149"/>
      <c r="J39" s="149"/>
    </row>
    <row r="40" spans="1:11" ht="15" customHeight="1" x14ac:dyDescent="0.2">
      <c r="A40" s="136"/>
      <c r="B40" s="140"/>
      <c r="C40" s="136"/>
      <c r="E40" s="147" t="s">
        <v>3373</v>
      </c>
      <c r="F40" s="149"/>
      <c r="G40" s="149"/>
      <c r="H40" s="149"/>
      <c r="I40" s="149"/>
      <c r="J40" s="149"/>
    </row>
    <row r="41" spans="1:11" ht="15" customHeight="1" x14ac:dyDescent="0.2">
      <c r="A41" s="136"/>
      <c r="B41" s="140"/>
      <c r="C41" s="136"/>
      <c r="E41" s="147" t="s">
        <v>3374</v>
      </c>
      <c r="F41" s="147"/>
      <c r="G41" s="147"/>
      <c r="H41" s="147"/>
      <c r="I41" s="147"/>
      <c r="J41" s="147"/>
    </row>
    <row r="42" spans="1:11" ht="12.75" customHeight="1" x14ac:dyDescent="0.2">
      <c r="A42" s="136"/>
      <c r="B42" s="140"/>
      <c r="C42" s="136"/>
    </row>
    <row r="43" spans="1:11" ht="15" customHeight="1" x14ac:dyDescent="0.2">
      <c r="A43" s="136"/>
      <c r="B43" s="140"/>
      <c r="C43" s="136"/>
      <c r="E43" s="152" t="s">
        <v>3375</v>
      </c>
      <c r="F43" s="152"/>
      <c r="G43" s="152"/>
      <c r="H43" s="152"/>
      <c r="I43" s="152"/>
      <c r="J43" s="152"/>
    </row>
    <row r="44" spans="1:11" ht="15" customHeight="1" x14ac:dyDescent="0.2">
      <c r="A44" s="136"/>
      <c r="B44" s="136"/>
      <c r="C44" s="136"/>
      <c r="E44" s="7"/>
      <c r="F44" s="7"/>
      <c r="G44" s="7"/>
      <c r="H44" s="7"/>
      <c r="I44" s="7"/>
      <c r="J44" s="7"/>
    </row>
    <row r="45" spans="1:11" ht="15" customHeight="1" x14ac:dyDescent="0.2">
      <c r="A45" s="136"/>
      <c r="B45" s="136"/>
      <c r="C45" s="136"/>
      <c r="E45" s="7"/>
      <c r="F45" s="7"/>
      <c r="G45" s="7"/>
      <c r="H45" s="7"/>
      <c r="I45" s="7"/>
      <c r="J45" s="7"/>
    </row>
    <row r="46" spans="1:11" ht="15.75" customHeight="1" x14ac:dyDescent="0.2">
      <c r="A46" s="136"/>
      <c r="B46" s="136"/>
      <c r="C46" s="136"/>
      <c r="E46" s="205" t="s">
        <v>3376</v>
      </c>
      <c r="F46" s="205"/>
      <c r="G46" s="205"/>
      <c r="H46" s="205"/>
      <c r="I46" s="205"/>
      <c r="J46" s="205"/>
      <c r="K46" s="52" t="s">
        <v>3377</v>
      </c>
    </row>
    <row r="47" spans="1:11" ht="25.5" customHeight="1" x14ac:dyDescent="0.2">
      <c r="A47" s="136"/>
      <c r="B47" s="136"/>
      <c r="C47" s="136"/>
      <c r="E47" s="152" t="s">
        <v>3378</v>
      </c>
      <c r="F47" s="152"/>
      <c r="G47" s="152"/>
      <c r="H47" s="152"/>
      <c r="I47" s="152"/>
      <c r="J47" s="152"/>
    </row>
    <row r="48" spans="1:11" ht="15" customHeight="1" x14ac:dyDescent="0.2">
      <c r="A48" s="136"/>
      <c r="B48" s="136"/>
      <c r="C48" s="136"/>
      <c r="E48" s="147" t="s">
        <v>3379</v>
      </c>
      <c r="F48" s="147"/>
      <c r="G48" s="147"/>
      <c r="H48" s="147"/>
      <c r="I48" s="147"/>
      <c r="J48" s="147"/>
    </row>
    <row r="49" spans="1:11" ht="12.75" customHeight="1" x14ac:dyDescent="0.2">
      <c r="A49" s="136"/>
      <c r="B49" s="136"/>
      <c r="C49" s="136"/>
    </row>
    <row r="50" spans="1:11" ht="15" customHeight="1" x14ac:dyDescent="0.2">
      <c r="A50" s="136"/>
      <c r="B50" s="136"/>
      <c r="C50" s="136"/>
      <c r="E50" s="193" t="s">
        <v>3363</v>
      </c>
      <c r="F50" s="194"/>
      <c r="G50" s="194"/>
      <c r="H50" s="194"/>
      <c r="I50" s="194"/>
      <c r="J50" s="195"/>
    </row>
    <row r="51" spans="1:11" ht="15" customHeight="1" x14ac:dyDescent="0.2">
      <c r="A51" s="136"/>
      <c r="B51" s="136"/>
      <c r="C51" s="136"/>
      <c r="E51" s="147" t="s">
        <v>3364</v>
      </c>
      <c r="F51" s="149"/>
      <c r="G51" s="149"/>
      <c r="H51" s="149"/>
      <c r="I51" s="149"/>
      <c r="J51" s="149"/>
    </row>
    <row r="52" spans="1:11" ht="15" customHeight="1" x14ac:dyDescent="0.2">
      <c r="A52" s="136"/>
      <c r="B52" s="136"/>
      <c r="C52" s="136"/>
      <c r="E52" s="147" t="s">
        <v>3380</v>
      </c>
      <c r="F52" s="149"/>
      <c r="G52" s="149"/>
      <c r="H52" s="149"/>
      <c r="I52" s="149"/>
      <c r="J52" s="149"/>
    </row>
    <row r="53" spans="1:11" ht="15" customHeight="1" x14ac:dyDescent="0.2">
      <c r="A53" s="136"/>
      <c r="B53" s="136"/>
      <c r="C53" s="136"/>
      <c r="E53" s="147" t="s">
        <v>3381</v>
      </c>
      <c r="F53" s="147"/>
      <c r="G53" s="147"/>
      <c r="H53" s="147"/>
      <c r="I53" s="147"/>
      <c r="J53" s="147"/>
    </row>
    <row r="54" spans="1:11" ht="12.75" customHeight="1" x14ac:dyDescent="0.2">
      <c r="A54" s="136"/>
      <c r="B54" s="136"/>
      <c r="C54" s="136"/>
    </row>
    <row r="55" spans="1:11" ht="15" customHeight="1" x14ac:dyDescent="0.2">
      <c r="A55" s="136"/>
      <c r="B55" s="136"/>
      <c r="C55" s="136"/>
      <c r="E55" s="152" t="s">
        <v>3382</v>
      </c>
      <c r="F55" s="152"/>
      <c r="G55" s="152"/>
      <c r="H55" s="152"/>
      <c r="I55" s="152"/>
      <c r="J55" s="152"/>
    </row>
    <row r="56" spans="1:11" ht="15" customHeight="1" x14ac:dyDescent="0.2">
      <c r="A56" s="136"/>
      <c r="B56" s="136"/>
      <c r="C56" s="136"/>
      <c r="E56" s="156" t="s">
        <v>3383</v>
      </c>
      <c r="F56" s="157"/>
      <c r="G56" s="157"/>
      <c r="H56" s="157"/>
      <c r="I56" s="157"/>
      <c r="J56" s="158"/>
    </row>
    <row r="57" spans="1:11" ht="15" customHeight="1" x14ac:dyDescent="0.2">
      <c r="A57" s="136"/>
      <c r="B57" s="136"/>
      <c r="C57" s="136"/>
      <c r="E57" s="7"/>
      <c r="F57" s="7"/>
      <c r="G57" s="7"/>
      <c r="H57" s="7"/>
      <c r="I57" s="7"/>
      <c r="J57" s="7"/>
    </row>
    <row r="58" spans="1:11" ht="15" customHeight="1" x14ac:dyDescent="0.2">
      <c r="A58" s="136"/>
      <c r="B58" s="136"/>
      <c r="C58" s="136"/>
      <c r="E58" s="7"/>
      <c r="F58" s="7"/>
      <c r="G58" s="7"/>
      <c r="H58" s="7"/>
      <c r="I58" s="7"/>
      <c r="J58" s="7"/>
    </row>
    <row r="59" spans="1:11" ht="15.75" customHeight="1" x14ac:dyDescent="0.2">
      <c r="A59" s="136"/>
      <c r="B59" s="136"/>
      <c r="C59" s="136"/>
      <c r="E59" s="205" t="s">
        <v>3384</v>
      </c>
      <c r="F59" s="205"/>
      <c r="G59" s="205"/>
      <c r="H59" s="205"/>
      <c r="I59" s="205"/>
      <c r="J59" s="205"/>
      <c r="K59" s="52" t="s">
        <v>3385</v>
      </c>
    </row>
    <row r="60" spans="1:11" ht="25.5" customHeight="1" x14ac:dyDescent="0.2">
      <c r="A60" s="136"/>
      <c r="B60" s="136"/>
      <c r="C60" s="136"/>
      <c r="E60" s="152" t="s">
        <v>3386</v>
      </c>
      <c r="F60" s="152"/>
      <c r="G60" s="152"/>
      <c r="H60" s="152"/>
      <c r="I60" s="152"/>
      <c r="J60" s="152"/>
    </row>
    <row r="61" spans="1:11" ht="15" customHeight="1" x14ac:dyDescent="0.2">
      <c r="A61" s="136"/>
      <c r="B61" s="136"/>
      <c r="C61" s="136"/>
      <c r="E61" s="147" t="s">
        <v>3387</v>
      </c>
      <c r="F61" s="147"/>
      <c r="G61" s="147"/>
      <c r="H61" s="147"/>
      <c r="I61" s="147"/>
      <c r="J61" s="147"/>
    </row>
    <row r="62" spans="1:11" ht="12.75" customHeight="1" x14ac:dyDescent="0.2">
      <c r="A62" s="136"/>
      <c r="B62" s="136"/>
      <c r="C62" s="136"/>
    </row>
    <row r="63" spans="1:11" ht="15" customHeight="1" x14ac:dyDescent="0.2">
      <c r="A63" s="136"/>
      <c r="B63" s="136"/>
      <c r="C63" s="136"/>
      <c r="E63" s="193" t="s">
        <v>3363</v>
      </c>
      <c r="F63" s="194"/>
      <c r="G63" s="194"/>
      <c r="H63" s="194"/>
      <c r="I63" s="194"/>
      <c r="J63" s="195"/>
    </row>
    <row r="64" spans="1:11" ht="15" customHeight="1" x14ac:dyDescent="0.2">
      <c r="A64" s="136"/>
      <c r="B64" s="136"/>
      <c r="C64" s="136"/>
      <c r="E64" s="147" t="s">
        <v>3388</v>
      </c>
      <c r="F64" s="149"/>
      <c r="G64" s="149"/>
      <c r="H64" s="149"/>
      <c r="I64" s="149"/>
      <c r="J64" s="149"/>
    </row>
    <row r="65" spans="1:11" ht="15" customHeight="1" x14ac:dyDescent="0.2">
      <c r="A65" s="136"/>
      <c r="B65" s="136"/>
      <c r="C65" s="136"/>
      <c r="E65" s="147" t="s">
        <v>3389</v>
      </c>
      <c r="F65" s="149"/>
      <c r="G65" s="149"/>
      <c r="H65" s="149"/>
      <c r="I65" s="149"/>
      <c r="J65" s="149"/>
    </row>
    <row r="66" spans="1:11" ht="15" customHeight="1" x14ac:dyDescent="0.2">
      <c r="A66" s="136"/>
      <c r="B66" s="136"/>
      <c r="C66" s="136"/>
      <c r="E66" s="147" t="s">
        <v>3390</v>
      </c>
      <c r="F66" s="147"/>
      <c r="G66" s="147"/>
      <c r="H66" s="147"/>
      <c r="I66" s="147"/>
      <c r="J66" s="147"/>
    </row>
    <row r="67" spans="1:11" ht="12.75" customHeight="1" x14ac:dyDescent="0.2">
      <c r="A67" s="136"/>
      <c r="B67" s="136"/>
      <c r="C67" s="136"/>
    </row>
    <row r="68" spans="1:11" ht="15" customHeight="1" x14ac:dyDescent="0.2">
      <c r="A68" s="136"/>
      <c r="B68" s="136"/>
      <c r="C68" s="136"/>
      <c r="E68" s="152" t="s">
        <v>3391</v>
      </c>
      <c r="F68" s="152"/>
      <c r="G68" s="152"/>
      <c r="H68" s="152"/>
      <c r="I68" s="152"/>
      <c r="J68" s="152"/>
    </row>
    <row r="69" spans="1:11" ht="15" customHeight="1" x14ac:dyDescent="0.2">
      <c r="A69" s="136"/>
      <c r="B69" s="136"/>
      <c r="C69" s="136"/>
      <c r="E69" s="7"/>
      <c r="F69" s="7"/>
      <c r="G69" s="7"/>
      <c r="H69" s="7"/>
      <c r="I69" s="7"/>
      <c r="J69" s="7"/>
    </row>
    <row r="70" spans="1:11" ht="15" customHeight="1" x14ac:dyDescent="0.2">
      <c r="A70" s="136"/>
      <c r="B70" s="136"/>
      <c r="C70" s="136"/>
      <c r="E70" s="7"/>
      <c r="F70" s="7"/>
      <c r="G70" s="7"/>
      <c r="H70" s="7"/>
      <c r="I70" s="7"/>
      <c r="J70" s="7"/>
    </row>
    <row r="71" spans="1:11" ht="15.75" customHeight="1" x14ac:dyDescent="0.2">
      <c r="A71" s="136"/>
      <c r="B71" s="136"/>
      <c r="C71" s="136"/>
      <c r="E71" s="205" t="s">
        <v>3392</v>
      </c>
      <c r="F71" s="205"/>
      <c r="G71" s="205"/>
      <c r="H71" s="205"/>
      <c r="I71" s="205"/>
      <c r="J71" s="205"/>
      <c r="K71" s="52" t="s">
        <v>3393</v>
      </c>
    </row>
    <row r="72" spans="1:11" ht="25.5" customHeight="1" x14ac:dyDescent="0.2">
      <c r="A72" s="136"/>
      <c r="B72" s="136"/>
      <c r="C72" s="136"/>
      <c r="E72" s="152" t="s">
        <v>3394</v>
      </c>
      <c r="F72" s="152"/>
      <c r="G72" s="152"/>
      <c r="H72" s="152"/>
      <c r="I72" s="152"/>
      <c r="J72" s="152"/>
    </row>
    <row r="73" spans="1:11" ht="15" customHeight="1" x14ac:dyDescent="0.2">
      <c r="A73" s="136"/>
      <c r="B73" s="136"/>
      <c r="C73" s="136"/>
      <c r="E73" s="147" t="s">
        <v>3395</v>
      </c>
      <c r="F73" s="147"/>
      <c r="G73" s="147"/>
      <c r="H73" s="147"/>
      <c r="I73" s="147"/>
      <c r="J73" s="147"/>
    </row>
    <row r="74" spans="1:11" ht="12.75" customHeight="1" x14ac:dyDescent="0.2">
      <c r="A74" s="136"/>
      <c r="B74" s="136"/>
      <c r="C74" s="136"/>
    </row>
    <row r="75" spans="1:11" ht="15" customHeight="1" x14ac:dyDescent="0.2">
      <c r="A75" s="136"/>
      <c r="B75" s="136"/>
      <c r="C75" s="136"/>
      <c r="E75" s="193" t="s">
        <v>3363</v>
      </c>
      <c r="F75" s="194"/>
      <c r="G75" s="194"/>
      <c r="H75" s="194"/>
      <c r="I75" s="194"/>
      <c r="J75" s="195"/>
    </row>
    <row r="76" spans="1:11" ht="15" customHeight="1" x14ac:dyDescent="0.2">
      <c r="A76" s="136"/>
      <c r="B76" s="136"/>
      <c r="C76" s="136"/>
      <c r="E76" s="147" t="s">
        <v>3396</v>
      </c>
      <c r="F76" s="149"/>
      <c r="G76" s="149"/>
      <c r="H76" s="149"/>
      <c r="I76" s="149"/>
      <c r="J76" s="149"/>
    </row>
    <row r="77" spans="1:11" ht="15" customHeight="1" x14ac:dyDescent="0.2">
      <c r="A77" s="136"/>
      <c r="B77" s="136"/>
      <c r="C77" s="136"/>
      <c r="E77" s="147" t="s">
        <v>3397</v>
      </c>
      <c r="F77" s="149"/>
      <c r="G77" s="149"/>
      <c r="H77" s="149"/>
      <c r="I77" s="149"/>
      <c r="J77" s="149"/>
    </row>
    <row r="78" spans="1:11" ht="15" customHeight="1" x14ac:dyDescent="0.2">
      <c r="A78" s="136"/>
      <c r="B78" s="136"/>
      <c r="C78" s="136"/>
      <c r="E78" s="147" t="s">
        <v>3398</v>
      </c>
      <c r="F78" s="147"/>
      <c r="G78" s="147"/>
      <c r="H78" s="147"/>
      <c r="I78" s="147"/>
      <c r="J78" s="147"/>
    </row>
    <row r="79" spans="1:11" ht="12.75" customHeight="1" x14ac:dyDescent="0.2">
      <c r="A79" s="136"/>
      <c r="B79" s="136"/>
      <c r="C79" s="136"/>
    </row>
    <row r="80" spans="1:11" ht="25.5" customHeight="1" x14ac:dyDescent="0.2">
      <c r="A80" s="136"/>
      <c r="B80" s="136"/>
      <c r="C80" s="136"/>
      <c r="E80" s="152" t="s">
        <v>3399</v>
      </c>
      <c r="F80" s="152"/>
      <c r="G80" s="152"/>
      <c r="H80" s="152"/>
      <c r="I80" s="152"/>
      <c r="J80" s="152"/>
    </row>
    <row r="81" spans="1:11" ht="15" customHeight="1" x14ac:dyDescent="0.2">
      <c r="A81" s="136"/>
      <c r="B81" s="136"/>
      <c r="C81" s="136"/>
      <c r="E81" s="7"/>
      <c r="F81" s="7"/>
      <c r="G81" s="7"/>
      <c r="H81" s="7"/>
      <c r="I81" s="7"/>
      <c r="J81" s="7"/>
    </row>
    <row r="82" spans="1:11" ht="15" customHeight="1" x14ac:dyDescent="0.2">
      <c r="A82" s="136"/>
      <c r="B82" s="136"/>
      <c r="C82" s="136"/>
      <c r="E82" s="7"/>
      <c r="F82" s="7"/>
      <c r="G82" s="7"/>
      <c r="H82" s="7"/>
      <c r="I82" s="7"/>
      <c r="J82" s="7"/>
    </row>
    <row r="83" spans="1:11" ht="15.75" customHeight="1" x14ac:dyDescent="0.2">
      <c r="A83" s="136"/>
      <c r="B83" s="136"/>
      <c r="C83" s="136"/>
      <c r="E83" s="205" t="s">
        <v>3400</v>
      </c>
      <c r="F83" s="205"/>
      <c r="G83" s="205"/>
      <c r="H83" s="205"/>
      <c r="I83" s="205"/>
      <c r="J83" s="205"/>
      <c r="K83" s="52" t="s">
        <v>3401</v>
      </c>
    </row>
    <row r="84" spans="1:11" ht="15" customHeight="1" x14ac:dyDescent="0.2">
      <c r="A84" s="136"/>
      <c r="B84" s="136"/>
      <c r="C84" s="136"/>
      <c r="E84" s="152" t="s">
        <v>3402</v>
      </c>
      <c r="F84" s="152"/>
      <c r="G84" s="152"/>
      <c r="H84" s="152"/>
      <c r="I84" s="152"/>
      <c r="J84" s="152"/>
    </row>
    <row r="85" spans="1:11" ht="15" customHeight="1" x14ac:dyDescent="0.2">
      <c r="A85" s="136"/>
      <c r="B85" s="136"/>
      <c r="C85" s="136"/>
      <c r="E85" s="147" t="s">
        <v>3403</v>
      </c>
      <c r="F85" s="147"/>
      <c r="G85" s="147"/>
      <c r="H85" s="147"/>
      <c r="I85" s="147"/>
      <c r="J85" s="147"/>
    </row>
    <row r="86" spans="1:11" ht="12.75" customHeight="1" x14ac:dyDescent="0.2">
      <c r="A86" s="136"/>
      <c r="B86" s="136"/>
      <c r="C86" s="136"/>
    </row>
    <row r="87" spans="1:11" ht="15" customHeight="1" x14ac:dyDescent="0.2">
      <c r="A87" s="136"/>
      <c r="B87" s="136"/>
      <c r="C87" s="136"/>
      <c r="E87" s="193" t="s">
        <v>3363</v>
      </c>
      <c r="F87" s="194"/>
      <c r="G87" s="194"/>
      <c r="H87" s="194"/>
      <c r="I87" s="194"/>
      <c r="J87" s="195"/>
    </row>
    <row r="88" spans="1:11" ht="15" customHeight="1" x14ac:dyDescent="0.2">
      <c r="A88" s="136"/>
      <c r="B88" s="136"/>
      <c r="C88" s="136"/>
      <c r="E88" s="147" t="s">
        <v>3364</v>
      </c>
      <c r="F88" s="149"/>
      <c r="G88" s="149"/>
      <c r="H88" s="149"/>
      <c r="I88" s="149"/>
      <c r="J88" s="149"/>
    </row>
    <row r="89" spans="1:11" ht="15" customHeight="1" x14ac:dyDescent="0.2">
      <c r="A89" s="136"/>
      <c r="B89" s="136"/>
      <c r="C89" s="136"/>
      <c r="E89" s="147" t="s">
        <v>3404</v>
      </c>
      <c r="F89" s="149"/>
      <c r="G89" s="149"/>
      <c r="H89" s="149"/>
      <c r="I89" s="149"/>
      <c r="J89" s="149"/>
    </row>
    <row r="90" spans="1:11" ht="15" customHeight="1" x14ac:dyDescent="0.2">
      <c r="A90" s="136"/>
      <c r="B90" s="136"/>
      <c r="C90" s="136"/>
      <c r="E90" s="147" t="s">
        <v>3405</v>
      </c>
      <c r="F90" s="147"/>
      <c r="G90" s="147"/>
      <c r="H90" s="147"/>
      <c r="I90" s="147"/>
      <c r="J90" s="147"/>
    </row>
    <row r="91" spans="1:11" ht="12.75" customHeight="1" x14ac:dyDescent="0.2">
      <c r="A91" s="136"/>
      <c r="B91" s="136"/>
      <c r="C91" s="136"/>
    </row>
    <row r="92" spans="1:11" ht="15" customHeight="1" x14ac:dyDescent="0.2">
      <c r="A92" s="136"/>
      <c r="B92" s="136"/>
      <c r="C92" s="136"/>
      <c r="E92" s="152" t="s">
        <v>3406</v>
      </c>
      <c r="F92" s="152"/>
      <c r="G92" s="152"/>
      <c r="H92" s="152"/>
      <c r="I92" s="152"/>
      <c r="J92" s="152"/>
    </row>
    <row r="93" spans="1:11" ht="15" customHeight="1" x14ac:dyDescent="0.2">
      <c r="A93" s="136"/>
      <c r="B93" s="136"/>
      <c r="C93" s="136"/>
      <c r="E93" s="7"/>
      <c r="F93" s="7"/>
      <c r="G93" s="7"/>
      <c r="H93" s="7"/>
      <c r="I93" s="7"/>
      <c r="J93" s="7"/>
    </row>
    <row r="94" spans="1:11" ht="15" customHeight="1" x14ac:dyDescent="0.2">
      <c r="A94" s="136"/>
      <c r="B94" s="136"/>
      <c r="C94" s="136"/>
      <c r="E94" s="7"/>
      <c r="F94" s="7"/>
      <c r="G94" s="7"/>
      <c r="H94" s="7"/>
      <c r="I94" s="7"/>
      <c r="J94" s="7"/>
    </row>
    <row r="95" spans="1:11" ht="15" customHeight="1" x14ac:dyDescent="0.2">
      <c r="A95" s="136"/>
      <c r="B95" s="136"/>
      <c r="C95" s="136"/>
    </row>
    <row r="96" spans="1:11" ht="15" customHeight="1" x14ac:dyDescent="0.2">
      <c r="A96" s="136"/>
      <c r="B96" s="136"/>
      <c r="C96" s="136"/>
    </row>
    <row r="97" spans="1:3" ht="15" customHeight="1" x14ac:dyDescent="0.2">
      <c r="A97" s="136"/>
      <c r="B97" s="136"/>
      <c r="C97" s="136"/>
    </row>
    <row r="98" spans="1:3" ht="15" customHeight="1" x14ac:dyDescent="0.2">
      <c r="A98" s="136"/>
      <c r="B98" s="136"/>
      <c r="C98" s="136"/>
    </row>
    <row r="99" spans="1:3" ht="15" customHeight="1" x14ac:dyDescent="0.2">
      <c r="A99" s="136"/>
      <c r="B99" s="136"/>
      <c r="C99" s="136"/>
    </row>
    <row r="100" spans="1:3" ht="15" customHeight="1" x14ac:dyDescent="0.2">
      <c r="A100" s="136"/>
      <c r="B100" s="136"/>
      <c r="C100" s="136"/>
    </row>
    <row r="101" spans="1:3" ht="15" customHeight="1" x14ac:dyDescent="0.2">
      <c r="A101" s="136"/>
      <c r="B101" s="136"/>
      <c r="C101" s="136"/>
    </row>
    <row r="102" spans="1:3" ht="15" customHeight="1" x14ac:dyDescent="0.2">
      <c r="A102" s="136"/>
      <c r="B102" s="136"/>
      <c r="C102" s="136"/>
    </row>
    <row r="103" spans="1:3" ht="15" customHeight="1" x14ac:dyDescent="0.2">
      <c r="A103" s="136"/>
      <c r="B103" s="136"/>
      <c r="C103" s="136"/>
    </row>
    <row r="104" spans="1:3" ht="15" customHeight="1" x14ac:dyDescent="0.2">
      <c r="A104" s="136"/>
      <c r="B104" s="136"/>
      <c r="C104" s="136"/>
    </row>
    <row r="105" spans="1:3" ht="15" customHeight="1" x14ac:dyDescent="0.2">
      <c r="A105" s="136"/>
      <c r="B105" s="136"/>
      <c r="C105" s="136"/>
    </row>
    <row r="106" spans="1:3" ht="15" customHeight="1" x14ac:dyDescent="0.2">
      <c r="A106" s="136"/>
      <c r="B106" s="136"/>
      <c r="C106" s="136"/>
    </row>
    <row r="107" spans="1:3" ht="15" customHeight="1" x14ac:dyDescent="0.2">
      <c r="A107" s="136"/>
      <c r="B107" s="136"/>
      <c r="C107" s="136"/>
    </row>
    <row r="108" spans="1:3" ht="15" customHeight="1" x14ac:dyDescent="0.2">
      <c r="A108" s="136"/>
      <c r="B108" s="136"/>
      <c r="C108" s="136"/>
    </row>
    <row r="109" spans="1:3" ht="15" customHeight="1" x14ac:dyDescent="0.2">
      <c r="A109" s="136"/>
      <c r="B109" s="136"/>
      <c r="C109" s="136"/>
    </row>
    <row r="110" spans="1:3" ht="15" customHeight="1" x14ac:dyDescent="0.2">
      <c r="A110" s="136"/>
      <c r="B110" s="136"/>
      <c r="C110" s="136"/>
    </row>
    <row r="111" spans="1:3" ht="15" customHeight="1" x14ac:dyDescent="0.2">
      <c r="A111" s="136"/>
      <c r="B111" s="136"/>
      <c r="C111" s="136"/>
    </row>
    <row r="112" spans="1:3" ht="15" customHeight="1" x14ac:dyDescent="0.2">
      <c r="A112" s="136"/>
      <c r="B112" s="136"/>
      <c r="C112" s="136"/>
    </row>
    <row r="113" spans="1:3" ht="15" customHeight="1" x14ac:dyDescent="0.2">
      <c r="A113" s="136"/>
      <c r="B113" s="136"/>
      <c r="C113" s="136"/>
    </row>
    <row r="114" spans="1:3" ht="15" customHeight="1" x14ac:dyDescent="0.2">
      <c r="A114" s="136"/>
      <c r="B114" s="136"/>
      <c r="C114" s="136"/>
    </row>
    <row r="115" spans="1:3" ht="15" customHeight="1" x14ac:dyDescent="0.2">
      <c r="A115" s="136"/>
      <c r="B115" s="136"/>
      <c r="C115" s="136"/>
    </row>
    <row r="116" spans="1:3" ht="15" customHeight="1" x14ac:dyDescent="0.2">
      <c r="A116" s="136"/>
      <c r="B116" s="136"/>
      <c r="C116" s="136"/>
    </row>
    <row r="117" spans="1:3" ht="15" customHeight="1" x14ac:dyDescent="0.2">
      <c r="A117" s="136"/>
      <c r="B117" s="136"/>
      <c r="C117" s="136"/>
    </row>
    <row r="118" spans="1:3" ht="15" customHeight="1" x14ac:dyDescent="0.2">
      <c r="A118" s="136"/>
      <c r="B118" s="136"/>
      <c r="C118" s="136"/>
    </row>
    <row r="119" spans="1:3" ht="15" customHeight="1" x14ac:dyDescent="0.2">
      <c r="A119" s="136"/>
      <c r="B119" s="136"/>
      <c r="C119" s="136"/>
    </row>
    <row r="120" spans="1:3" ht="15" customHeight="1" x14ac:dyDescent="0.2">
      <c r="A120" s="136"/>
      <c r="B120" s="136"/>
      <c r="C120" s="136"/>
    </row>
    <row r="121" spans="1:3" ht="15" customHeight="1" x14ac:dyDescent="0.2">
      <c r="A121" s="136"/>
      <c r="B121" s="136"/>
      <c r="C121" s="136"/>
    </row>
    <row r="122" spans="1:3" ht="15" customHeight="1" x14ac:dyDescent="0.2">
      <c r="A122" s="136"/>
      <c r="B122" s="136"/>
      <c r="C122" s="136"/>
    </row>
    <row r="123" spans="1:3" ht="15" customHeight="1" x14ac:dyDescent="0.2">
      <c r="A123" s="136"/>
      <c r="B123" s="136"/>
      <c r="C123" s="136"/>
    </row>
    <row r="124" spans="1:3" ht="15" customHeight="1" x14ac:dyDescent="0.2">
      <c r="A124" s="136"/>
      <c r="B124" s="136"/>
      <c r="C124" s="136"/>
    </row>
    <row r="125" spans="1:3" ht="15" customHeight="1" x14ac:dyDescent="0.2">
      <c r="A125" s="136"/>
      <c r="B125" s="136"/>
      <c r="C125" s="136"/>
    </row>
    <row r="126" spans="1:3" ht="15" customHeight="1" x14ac:dyDescent="0.2">
      <c r="A126" s="136"/>
      <c r="B126" s="136"/>
      <c r="C126" s="136"/>
    </row>
    <row r="127" spans="1:3" ht="15" customHeight="1" x14ac:dyDescent="0.2">
      <c r="A127" s="136"/>
      <c r="B127" s="136"/>
      <c r="C127" s="136"/>
    </row>
    <row r="128" spans="1:3" ht="15" customHeight="1" x14ac:dyDescent="0.2">
      <c r="A128" s="136"/>
      <c r="B128" s="136"/>
      <c r="C128" s="136"/>
    </row>
    <row r="129" spans="1:3" ht="15" customHeight="1" x14ac:dyDescent="0.2">
      <c r="A129" s="136"/>
      <c r="B129" s="136"/>
      <c r="C129" s="136"/>
    </row>
    <row r="130" spans="1:3" ht="15" customHeight="1" x14ac:dyDescent="0.2">
      <c r="A130" s="136"/>
      <c r="B130" s="136"/>
      <c r="C130" s="136"/>
    </row>
    <row r="131" spans="1:3" ht="15" customHeight="1" x14ac:dyDescent="0.2">
      <c r="A131" s="136"/>
      <c r="B131" s="136"/>
      <c r="C131" s="136"/>
    </row>
    <row r="132" spans="1:3" ht="15" customHeight="1" x14ac:dyDescent="0.2">
      <c r="A132" s="136"/>
      <c r="B132" s="136"/>
      <c r="C132" s="136"/>
    </row>
    <row r="133" spans="1:3" ht="15" customHeight="1" x14ac:dyDescent="0.2">
      <c r="A133" s="136"/>
      <c r="B133" s="136"/>
      <c r="C133" s="136"/>
    </row>
    <row r="134" spans="1:3" ht="15" customHeight="1" x14ac:dyDescent="0.2">
      <c r="A134" s="136"/>
      <c r="B134" s="136"/>
      <c r="C134" s="136"/>
    </row>
    <row r="135" spans="1:3" ht="15" customHeight="1" x14ac:dyDescent="0.2">
      <c r="A135" s="136"/>
      <c r="B135" s="136"/>
      <c r="C135" s="136"/>
    </row>
    <row r="136" spans="1:3" ht="15" customHeight="1" x14ac:dyDescent="0.2">
      <c r="A136" s="136"/>
      <c r="B136" s="136"/>
      <c r="C136" s="136"/>
    </row>
    <row r="137" spans="1:3" ht="15" customHeight="1" x14ac:dyDescent="0.2">
      <c r="A137" s="136"/>
      <c r="B137" s="136"/>
      <c r="C137" s="136"/>
    </row>
    <row r="138" spans="1:3" ht="15" customHeight="1" x14ac:dyDescent="0.2">
      <c r="A138" s="136"/>
      <c r="B138" s="136"/>
      <c r="C138" s="136"/>
    </row>
    <row r="139" spans="1:3" ht="15" customHeight="1" x14ac:dyDescent="0.2">
      <c r="A139" s="136"/>
      <c r="B139" s="136"/>
      <c r="C139" s="136"/>
    </row>
    <row r="140" spans="1:3" ht="15" customHeight="1" x14ac:dyDescent="0.2">
      <c r="A140" s="136"/>
      <c r="B140" s="136"/>
      <c r="C140" s="136"/>
    </row>
    <row r="141" spans="1:3" ht="15" customHeight="1" x14ac:dyDescent="0.2">
      <c r="A141" s="136"/>
      <c r="B141" s="136"/>
      <c r="C141" s="136"/>
    </row>
    <row r="142" spans="1:3" ht="15" customHeight="1" x14ac:dyDescent="0.2">
      <c r="A142" s="136"/>
      <c r="B142" s="136"/>
      <c r="C142" s="136"/>
    </row>
    <row r="143" spans="1:3" ht="15" customHeight="1" x14ac:dyDescent="0.2">
      <c r="A143" s="136"/>
      <c r="B143" s="136"/>
      <c r="C143" s="136"/>
    </row>
    <row r="144" spans="1:3" ht="15" customHeight="1" x14ac:dyDescent="0.2">
      <c r="A144" s="136"/>
      <c r="B144" s="136"/>
      <c r="C144" s="136"/>
    </row>
    <row r="145" spans="1:3" ht="15" customHeight="1" x14ac:dyDescent="0.2">
      <c r="A145" s="136"/>
      <c r="B145" s="136"/>
      <c r="C145" s="136"/>
    </row>
    <row r="146" spans="1:3" ht="15" customHeight="1" x14ac:dyDescent="0.2">
      <c r="A146" s="136"/>
      <c r="B146" s="136"/>
      <c r="C146" s="136"/>
    </row>
    <row r="147" spans="1:3" ht="15" customHeight="1" x14ac:dyDescent="0.2">
      <c r="A147" s="136"/>
      <c r="B147" s="136"/>
      <c r="C147" s="136"/>
    </row>
    <row r="148" spans="1:3" ht="15" customHeight="1" x14ac:dyDescent="0.2">
      <c r="A148" s="136"/>
      <c r="B148" s="136"/>
      <c r="C148" s="136"/>
    </row>
    <row r="149" spans="1:3" ht="15" customHeight="1" x14ac:dyDescent="0.2">
      <c r="A149" s="136"/>
      <c r="B149" s="136"/>
      <c r="C149" s="136"/>
    </row>
    <row r="150" spans="1:3" ht="15" customHeight="1" x14ac:dyDescent="0.2">
      <c r="A150" s="136"/>
      <c r="B150" s="136"/>
      <c r="C150" s="136"/>
    </row>
    <row r="151" spans="1:3" ht="15" customHeight="1" x14ac:dyDescent="0.2">
      <c r="A151" s="136"/>
      <c r="B151" s="136"/>
      <c r="C151" s="136"/>
    </row>
    <row r="152" spans="1:3" ht="15" customHeight="1" x14ac:dyDescent="0.2">
      <c r="A152" s="136"/>
      <c r="B152" s="136"/>
      <c r="C152" s="136"/>
    </row>
    <row r="153" spans="1:3" ht="15" customHeight="1" x14ac:dyDescent="0.2">
      <c r="A153" s="136"/>
      <c r="B153" s="136"/>
      <c r="C153" s="136"/>
    </row>
    <row r="154" spans="1:3" ht="15" customHeight="1" x14ac:dyDescent="0.2">
      <c r="A154" s="136"/>
      <c r="B154" s="136"/>
      <c r="C154" s="136"/>
    </row>
    <row r="155" spans="1:3" ht="15" customHeight="1" x14ac:dyDescent="0.2">
      <c r="A155" s="136"/>
      <c r="B155" s="136"/>
      <c r="C155" s="136"/>
    </row>
    <row r="156" spans="1:3" ht="15" customHeight="1" x14ac:dyDescent="0.2">
      <c r="A156" s="136"/>
      <c r="B156" s="136"/>
      <c r="C156" s="136"/>
    </row>
    <row r="157" spans="1:3" ht="15" customHeight="1" x14ac:dyDescent="0.2">
      <c r="A157" s="136"/>
      <c r="B157" s="136"/>
      <c r="C157" s="136"/>
    </row>
    <row r="158" spans="1:3" ht="15" customHeight="1" x14ac:dyDescent="0.2">
      <c r="A158" s="136"/>
      <c r="B158" s="136"/>
      <c r="C158" s="136"/>
    </row>
    <row r="159" spans="1:3" ht="15" customHeight="1" x14ac:dyDescent="0.2">
      <c r="A159" s="136"/>
      <c r="B159" s="136"/>
      <c r="C159" s="136"/>
    </row>
    <row r="160" spans="1:3" ht="15" customHeight="1" x14ac:dyDescent="0.2">
      <c r="A160" s="136"/>
      <c r="B160" s="136"/>
      <c r="C160" s="136"/>
    </row>
    <row r="161" spans="1:3" ht="15" customHeight="1" x14ac:dyDescent="0.2">
      <c r="A161" s="136"/>
      <c r="B161" s="136"/>
      <c r="C161" s="136"/>
    </row>
    <row r="162" spans="1:3" ht="15" customHeight="1" x14ac:dyDescent="0.2">
      <c r="A162" s="136"/>
      <c r="B162" s="136"/>
      <c r="C162" s="136"/>
    </row>
    <row r="163" spans="1:3" ht="15" customHeight="1" x14ac:dyDescent="0.2">
      <c r="A163" s="136"/>
      <c r="B163" s="136"/>
      <c r="C163" s="136"/>
    </row>
    <row r="164" spans="1:3" ht="15" customHeight="1" x14ac:dyDescent="0.2">
      <c r="A164" s="136"/>
      <c r="B164" s="136"/>
      <c r="C164" s="136"/>
    </row>
    <row r="165" spans="1:3" ht="15" customHeight="1" x14ac:dyDescent="0.2">
      <c r="A165" s="136"/>
      <c r="B165" s="136"/>
      <c r="C165" s="136"/>
    </row>
    <row r="166" spans="1:3" ht="15" customHeight="1" x14ac:dyDescent="0.2">
      <c r="A166" s="136"/>
      <c r="B166" s="136"/>
      <c r="C166" s="136"/>
    </row>
    <row r="167" spans="1:3" ht="15" customHeight="1" x14ac:dyDescent="0.2">
      <c r="A167" s="136"/>
      <c r="B167" s="136"/>
      <c r="C167" s="136"/>
    </row>
    <row r="168" spans="1:3" ht="15" customHeight="1" x14ac:dyDescent="0.2">
      <c r="A168" s="136"/>
      <c r="B168" s="136"/>
      <c r="C168" s="136"/>
    </row>
    <row r="169" spans="1:3" ht="15" customHeight="1" x14ac:dyDescent="0.2">
      <c r="A169" s="136"/>
      <c r="B169" s="136"/>
      <c r="C169" s="136"/>
    </row>
    <row r="170" spans="1:3" ht="15" customHeight="1" x14ac:dyDescent="0.2">
      <c r="A170" s="136"/>
      <c r="B170" s="136"/>
      <c r="C170" s="136"/>
    </row>
    <row r="171" spans="1:3" ht="15" customHeight="1" x14ac:dyDescent="0.2">
      <c r="A171" s="136"/>
      <c r="B171" s="136"/>
      <c r="C171" s="136"/>
    </row>
    <row r="172" spans="1:3" ht="15" customHeight="1" x14ac:dyDescent="0.2">
      <c r="A172" s="136"/>
      <c r="B172" s="136"/>
      <c r="C172" s="136"/>
    </row>
    <row r="173" spans="1:3" ht="15" customHeight="1" x14ac:dyDescent="0.2">
      <c r="A173" s="136"/>
      <c r="B173" s="136"/>
      <c r="C173" s="136"/>
    </row>
    <row r="174" spans="1:3" ht="15" customHeight="1" x14ac:dyDescent="0.2">
      <c r="A174" s="136"/>
      <c r="B174" s="136"/>
      <c r="C174" s="136"/>
    </row>
    <row r="175" spans="1:3" ht="15" customHeight="1" x14ac:dyDescent="0.2">
      <c r="A175" s="136"/>
      <c r="B175" s="136"/>
      <c r="C175" s="136"/>
    </row>
    <row r="176" spans="1:3" ht="15" customHeight="1" x14ac:dyDescent="0.2">
      <c r="A176" s="136"/>
      <c r="B176" s="136"/>
      <c r="C176" s="136"/>
    </row>
    <row r="177" spans="1:3" ht="15" customHeight="1" x14ac:dyDescent="0.2">
      <c r="A177" s="136"/>
      <c r="B177" s="136"/>
      <c r="C177" s="136"/>
    </row>
    <row r="178" spans="1:3" ht="15" customHeight="1" x14ac:dyDescent="0.2">
      <c r="A178" s="136"/>
      <c r="B178" s="136"/>
      <c r="C178" s="136"/>
    </row>
    <row r="179" spans="1:3" ht="15" customHeight="1" x14ac:dyDescent="0.2">
      <c r="A179" s="136"/>
      <c r="B179" s="136"/>
      <c r="C179" s="136"/>
    </row>
    <row r="180" spans="1:3" ht="15" customHeight="1" x14ac:dyDescent="0.2">
      <c r="A180" s="136"/>
      <c r="B180" s="136"/>
      <c r="C180" s="136"/>
    </row>
    <row r="181" spans="1:3" ht="15" customHeight="1" x14ac:dyDescent="0.2">
      <c r="A181" s="136"/>
      <c r="B181" s="136"/>
      <c r="C181" s="136"/>
    </row>
    <row r="182" spans="1:3" ht="15" customHeight="1" x14ac:dyDescent="0.2">
      <c r="A182" s="136"/>
      <c r="B182" s="136"/>
      <c r="C182" s="136"/>
    </row>
    <row r="183" spans="1:3" ht="15" customHeight="1" x14ac:dyDescent="0.2">
      <c r="A183" s="136"/>
      <c r="B183" s="136"/>
      <c r="C183" s="136"/>
    </row>
    <row r="184" spans="1:3" ht="15" customHeight="1" x14ac:dyDescent="0.2">
      <c r="A184" s="136"/>
      <c r="B184" s="136"/>
      <c r="C184" s="136"/>
    </row>
    <row r="185" spans="1:3" ht="15" customHeight="1" x14ac:dyDescent="0.2">
      <c r="A185" s="136"/>
      <c r="B185" s="136"/>
      <c r="C185" s="136"/>
    </row>
    <row r="186" spans="1:3" ht="15" customHeight="1" x14ac:dyDescent="0.2">
      <c r="A186" s="136"/>
      <c r="B186" s="136"/>
      <c r="C186" s="136"/>
    </row>
    <row r="187" spans="1:3" ht="15" customHeight="1" x14ac:dyDescent="0.2">
      <c r="A187" s="136"/>
      <c r="B187" s="136"/>
      <c r="C187" s="136"/>
    </row>
    <row r="188" spans="1:3" ht="15" customHeight="1" x14ac:dyDescent="0.2">
      <c r="A188" s="136"/>
      <c r="B188" s="136"/>
      <c r="C188" s="136"/>
    </row>
    <row r="189" spans="1:3" ht="15" customHeight="1" x14ac:dyDescent="0.2">
      <c r="A189" s="136"/>
      <c r="B189" s="136"/>
      <c r="C189" s="136"/>
    </row>
    <row r="190" spans="1:3" ht="15" customHeight="1" x14ac:dyDescent="0.2">
      <c r="A190" s="136"/>
      <c r="B190" s="136"/>
      <c r="C190" s="136"/>
    </row>
    <row r="191" spans="1:3" ht="15" customHeight="1" x14ac:dyDescent="0.2">
      <c r="A191" s="136"/>
      <c r="B191" s="136"/>
      <c r="C191" s="136"/>
    </row>
    <row r="192" spans="1:3" ht="15" customHeight="1" x14ac:dyDescent="0.2">
      <c r="A192" s="136"/>
      <c r="B192" s="136"/>
      <c r="C192" s="136"/>
    </row>
    <row r="193" spans="1:3" ht="15" customHeight="1" x14ac:dyDescent="0.2">
      <c r="A193" s="136"/>
      <c r="B193" s="136"/>
      <c r="C193" s="136"/>
    </row>
    <row r="194" spans="1:3" ht="15" customHeight="1" x14ac:dyDescent="0.2">
      <c r="A194" s="136"/>
      <c r="B194" s="136"/>
      <c r="C194" s="136"/>
    </row>
    <row r="195" spans="1:3" ht="15" customHeight="1" x14ac:dyDescent="0.2">
      <c r="A195" s="136"/>
      <c r="B195" s="136"/>
      <c r="C195" s="136"/>
    </row>
  </sheetData>
  <mergeCells count="55">
    <mergeCell ref="E92:J92"/>
    <mergeCell ref="E77:J77"/>
    <mergeCell ref="E78:J78"/>
    <mergeCell ref="E80:J80"/>
    <mergeCell ref="E83:J83"/>
    <mergeCell ref="E84:J84"/>
    <mergeCell ref="E85:J85"/>
    <mergeCell ref="E87:J87"/>
    <mergeCell ref="E88:J88"/>
    <mergeCell ref="E89:J89"/>
    <mergeCell ref="E90:J90"/>
    <mergeCell ref="E71:J71"/>
    <mergeCell ref="E72:J72"/>
    <mergeCell ref="E73:J73"/>
    <mergeCell ref="E75:J75"/>
    <mergeCell ref="E76:J76"/>
    <mergeCell ref="E68:J68"/>
    <mergeCell ref="E52:J52"/>
    <mergeCell ref="E53:J53"/>
    <mergeCell ref="E55:J55"/>
    <mergeCell ref="E56:J56"/>
    <mergeCell ref="E59:J59"/>
    <mergeCell ref="E60:J60"/>
    <mergeCell ref="E61:J61"/>
    <mergeCell ref="E63:J63"/>
    <mergeCell ref="E64:J64"/>
    <mergeCell ref="E65:J65"/>
    <mergeCell ref="E66:J66"/>
    <mergeCell ref="E43:J43"/>
    <mergeCell ref="E46:J46"/>
    <mergeCell ref="E47:J47"/>
    <mergeCell ref="E48:J48"/>
    <mergeCell ref="E50:J50"/>
    <mergeCell ref="E51:J51"/>
    <mergeCell ref="E41:J41"/>
    <mergeCell ref="E6:J9"/>
    <mergeCell ref="E11:J15"/>
    <mergeCell ref="E22:J22"/>
    <mergeCell ref="E23:J23"/>
    <mergeCell ref="E27:J27"/>
    <mergeCell ref="E31:J31"/>
    <mergeCell ref="E36:J36"/>
    <mergeCell ref="E38:J38"/>
    <mergeCell ref="E40:J40"/>
    <mergeCell ref="E34:J34"/>
    <mergeCell ref="E35:J35"/>
    <mergeCell ref="E39:J39"/>
    <mergeCell ref="E25:J25"/>
    <mergeCell ref="E26:J26"/>
    <mergeCell ref="E3:L4"/>
    <mergeCell ref="E28:J28"/>
    <mergeCell ref="E30:J30"/>
    <mergeCell ref="E17:J17"/>
    <mergeCell ref="E18:J18"/>
    <mergeCell ref="E21:J21"/>
  </mergeCells>
  <conditionalFormatting sqref="E18">
    <cfRule type="expression" dxfId="1" priority="1" stopIfTrue="1">
      <formula>LEFT($E$18,1)="✓"</formula>
    </cfRule>
    <cfRule type="expression" dxfId="0" priority="2" stopIfTrue="1">
      <formula>LEFT($E$18,1)="✗"</formula>
    </cfRule>
  </conditionalFormatting>
  <hyperlinks>
    <hyperlink ref="B2" location="'Start here'!E6" tooltip="back to Start here" display="⌂  CompBot Tutorial" xr:uid="{EE5BE76A-0895-40E0-AEAD-D5DF25FA6DD5}"/>
    <hyperlink ref="B6" location="'Start here'!E6" display="▸  START" xr:uid="{1C76B144-C457-4DB3-AC23-39782F363306}"/>
    <hyperlink ref="B7" location="'C1 Your machine'!E6" display="▸  COMMANDS" xr:uid="{E8B0F187-7F39-4683-8A8E-E1E7A6EB1DEB}"/>
    <hyperlink ref="B8" location="'Demo maps'!E6" display="▸  DEMO SHEETS" xr:uid="{F62FA216-61C4-4335-B775-1E8C9355C5D6}"/>
    <hyperlink ref="B9" location="'Level 1 Basics'!E6" display="▸  LAMBDAS" xr:uid="{8AEE068D-74EC-45D8-AB6C-E3EA13622449}"/>
    <hyperlink ref="B10" location="'I1 The Alves Method'!E6" display="▾  INSIDER" xr:uid="{A3911769-5C67-417D-B62B-8A47135F94D2}"/>
    <hyperlink ref="B12" location="'Command cheat sheet'!E6" display="▸  REFERENCE" xr:uid="{1E72C51C-D84E-4050-A809-F8DB89CACFB4}"/>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rgb="FF6B7A8C"/>
  </sheetPr>
  <dimension ref="A1:I120"/>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49" customWidth="1"/>
    <col min="2" max="2" width="27" style="49" customWidth="1"/>
    <col min="3" max="3" width="1.5" style="49" customWidth="1"/>
    <col min="4" max="4" width="2.5" customWidth="1"/>
    <col min="5" max="5" width="30" customWidth="1"/>
    <col min="6" max="6" width="14" customWidth="1"/>
    <col min="7" max="7" width="46" customWidth="1"/>
    <col min="8" max="8" width="52" customWidth="1"/>
    <col min="9" max="9" width="22" customWidth="1"/>
  </cols>
  <sheetData>
    <row r="1" spans="2:9" ht="12.75" x14ac:dyDescent="0.2"/>
    <row r="2" spans="2:9" ht="30" customHeight="1" x14ac:dyDescent="0.3">
      <c r="B2" s="50" t="s">
        <v>0</v>
      </c>
      <c r="E2" s="3" t="s">
        <v>63</v>
      </c>
    </row>
    <row r="3" spans="2:9" ht="15" customHeight="1" x14ac:dyDescent="0.2">
      <c r="B3" s="51" t="s">
        <v>2</v>
      </c>
      <c r="E3" s="147" t="s">
        <v>3339</v>
      </c>
      <c r="F3" s="148"/>
      <c r="G3" s="148"/>
      <c r="H3" s="148"/>
      <c r="I3" s="148"/>
    </row>
    <row r="4" spans="2:9" ht="15" customHeight="1" x14ac:dyDescent="0.2">
      <c r="E4" s="148"/>
      <c r="F4" s="148"/>
      <c r="G4" s="148"/>
      <c r="H4" s="148"/>
      <c r="I4" s="148"/>
    </row>
    <row r="5" spans="2:9" ht="12.75" x14ac:dyDescent="0.2"/>
    <row r="6" spans="2:9" ht="12.75" x14ac:dyDescent="0.2">
      <c r="B6" s="115" t="s">
        <v>315</v>
      </c>
      <c r="E6" s="9" t="s">
        <v>92</v>
      </c>
      <c r="F6" s="9" t="s">
        <v>72</v>
      </c>
      <c r="G6" s="9" t="s">
        <v>1114</v>
      </c>
      <c r="H6" s="9" t="s">
        <v>1115</v>
      </c>
      <c r="I6" s="9" t="s">
        <v>1116</v>
      </c>
    </row>
    <row r="7" spans="2:9" ht="15" customHeight="1" x14ac:dyDescent="0.2">
      <c r="B7" s="115" t="s">
        <v>10</v>
      </c>
      <c r="E7" s="243" t="s">
        <v>1117</v>
      </c>
      <c r="F7" s="243" t="s">
        <v>495</v>
      </c>
      <c r="G7" s="242" t="s">
        <v>1118</v>
      </c>
      <c r="H7" s="242" t="s">
        <v>1119</v>
      </c>
      <c r="I7" s="242" t="s">
        <v>40</v>
      </c>
    </row>
    <row r="8" spans="2:9" ht="15" customHeight="1" x14ac:dyDescent="0.2">
      <c r="B8" s="115" t="s">
        <v>11</v>
      </c>
      <c r="E8" s="233" t="s">
        <v>1120</v>
      </c>
      <c r="F8" s="233" t="s">
        <v>677</v>
      </c>
      <c r="G8" s="236" t="s">
        <v>1121</v>
      </c>
      <c r="H8" s="236" t="s">
        <v>1122</v>
      </c>
      <c r="I8" s="236" t="s">
        <v>42</v>
      </c>
    </row>
    <row r="9" spans="2:9" ht="15" customHeight="1" x14ac:dyDescent="0.2">
      <c r="B9" s="115" t="s">
        <v>13</v>
      </c>
      <c r="E9" s="234"/>
      <c r="F9" s="234"/>
      <c r="G9" s="234"/>
      <c r="H9" s="234"/>
      <c r="I9" s="234"/>
    </row>
    <row r="10" spans="2:9" ht="15" customHeight="1" x14ac:dyDescent="0.2">
      <c r="B10" s="115" t="s">
        <v>3407</v>
      </c>
      <c r="E10" s="235"/>
      <c r="F10" s="235"/>
      <c r="G10" s="235"/>
      <c r="H10" s="235"/>
      <c r="I10" s="235"/>
    </row>
    <row r="11" spans="2:9" ht="15" customHeight="1" x14ac:dyDescent="0.2">
      <c r="B11" s="115" t="s">
        <v>1113</v>
      </c>
      <c r="E11" s="243" t="s">
        <v>1123</v>
      </c>
      <c r="F11" s="243" t="s">
        <v>352</v>
      </c>
      <c r="G11" s="242" t="s">
        <v>1502</v>
      </c>
      <c r="H11" s="242" t="s">
        <v>1124</v>
      </c>
      <c r="I11" s="242" t="s">
        <v>35</v>
      </c>
    </row>
    <row r="12" spans="2:9" ht="15" customHeight="1" x14ac:dyDescent="0.2">
      <c r="B12" s="120" t="s">
        <v>63</v>
      </c>
      <c r="E12" s="233" t="s">
        <v>1125</v>
      </c>
      <c r="F12" s="233" t="s">
        <v>395</v>
      </c>
      <c r="G12" s="236" t="s">
        <v>1126</v>
      </c>
      <c r="H12" s="236" t="s">
        <v>1127</v>
      </c>
      <c r="I12" s="236" t="s">
        <v>37</v>
      </c>
    </row>
    <row r="13" spans="2:9" ht="15" customHeight="1" x14ac:dyDescent="0.2">
      <c r="B13" s="121" t="s">
        <v>64</v>
      </c>
      <c r="E13" s="235"/>
      <c r="F13" s="235"/>
      <c r="G13" s="235"/>
      <c r="H13" s="235"/>
      <c r="I13" s="235"/>
    </row>
    <row r="14" spans="2:9" ht="15" customHeight="1" x14ac:dyDescent="0.2">
      <c r="B14" s="116" t="s">
        <v>65</v>
      </c>
      <c r="E14" s="252" t="s">
        <v>1555</v>
      </c>
      <c r="F14" s="252" t="s">
        <v>1556</v>
      </c>
      <c r="G14" s="253" t="s">
        <v>1502</v>
      </c>
      <c r="H14" s="253" t="s">
        <v>1557</v>
      </c>
      <c r="I14" s="253" t="s">
        <v>35</v>
      </c>
    </row>
    <row r="15" spans="2:9" ht="15" customHeight="1" x14ac:dyDescent="0.2">
      <c r="B15" s="113"/>
      <c r="E15" s="254"/>
      <c r="F15" s="254"/>
      <c r="G15" s="255"/>
      <c r="H15" s="255"/>
      <c r="I15" s="255"/>
    </row>
    <row r="16" spans="2:9" ht="25.5" customHeight="1" x14ac:dyDescent="0.2">
      <c r="B16" s="114"/>
      <c r="E16" s="61" t="s">
        <v>3287</v>
      </c>
      <c r="F16" s="61" t="s">
        <v>3288</v>
      </c>
      <c r="G16" s="62" t="s">
        <v>1502</v>
      </c>
      <c r="H16" s="62" t="s">
        <v>3289</v>
      </c>
      <c r="I16" s="63" t="s">
        <v>35</v>
      </c>
    </row>
    <row r="17" spans="2:9" ht="15" customHeight="1" x14ac:dyDescent="0.2">
      <c r="B17" s="114"/>
      <c r="E17" s="256" t="s">
        <v>1558</v>
      </c>
      <c r="F17" s="256" t="s">
        <v>1552</v>
      </c>
      <c r="G17" s="257" t="s">
        <v>1502</v>
      </c>
      <c r="H17" s="257" t="s">
        <v>1697</v>
      </c>
      <c r="I17" s="257" t="s">
        <v>37</v>
      </c>
    </row>
    <row r="18" spans="2:9" ht="15" customHeight="1" x14ac:dyDescent="0.2">
      <c r="B18" s="113"/>
      <c r="E18" s="258"/>
      <c r="F18" s="258"/>
      <c r="G18" s="258"/>
      <c r="H18" s="258"/>
      <c r="I18" s="258"/>
    </row>
    <row r="19" spans="2:9" ht="15" customHeight="1" x14ac:dyDescent="0.2">
      <c r="B19" s="113"/>
      <c r="E19" s="233" t="s">
        <v>1128</v>
      </c>
      <c r="F19" s="233" t="s">
        <v>1356</v>
      </c>
      <c r="G19" s="236" t="s">
        <v>1502</v>
      </c>
      <c r="H19" s="236" t="s">
        <v>2265</v>
      </c>
      <c r="I19" s="236" t="s">
        <v>46</v>
      </c>
    </row>
    <row r="20" spans="2:9" ht="15" customHeight="1" x14ac:dyDescent="0.2">
      <c r="B20" s="113"/>
      <c r="E20" s="234"/>
      <c r="F20" s="234"/>
      <c r="G20" s="234"/>
      <c r="H20" s="234"/>
      <c r="I20" s="234"/>
    </row>
    <row r="21" spans="2:9" ht="15" customHeight="1" x14ac:dyDescent="0.2">
      <c r="B21" s="113"/>
      <c r="E21" s="234"/>
      <c r="F21" s="234"/>
      <c r="G21" s="234"/>
      <c r="H21" s="234"/>
      <c r="I21" s="234"/>
    </row>
    <row r="22" spans="2:9" ht="38.25" customHeight="1" x14ac:dyDescent="0.2">
      <c r="B22" s="113"/>
      <c r="E22" s="259" t="s">
        <v>1129</v>
      </c>
      <c r="F22" s="259" t="s">
        <v>1356</v>
      </c>
      <c r="G22" s="260" t="s">
        <v>1502</v>
      </c>
      <c r="H22" s="260" t="s">
        <v>1525</v>
      </c>
      <c r="I22" s="242" t="s">
        <v>46</v>
      </c>
    </row>
    <row r="23" spans="2:9" ht="38.25" x14ac:dyDescent="0.2">
      <c r="B23" s="113"/>
      <c r="E23" s="61" t="s">
        <v>3477</v>
      </c>
      <c r="F23" s="61" t="s">
        <v>3478</v>
      </c>
      <c r="G23" s="62" t="s">
        <v>3479</v>
      </c>
      <c r="H23" s="62" t="s">
        <v>3480</v>
      </c>
      <c r="I23" s="63" t="s">
        <v>39</v>
      </c>
    </row>
    <row r="24" spans="2:9" ht="25.5" customHeight="1" x14ac:dyDescent="0.2">
      <c r="B24" s="113"/>
      <c r="E24" s="261" t="s">
        <v>3216</v>
      </c>
      <c r="F24" s="261" t="s">
        <v>3215</v>
      </c>
      <c r="G24" s="262" t="s">
        <v>3217</v>
      </c>
      <c r="H24" s="262" t="s">
        <v>3233</v>
      </c>
      <c r="I24" s="263" t="s">
        <v>44</v>
      </c>
    </row>
    <row r="25" spans="2:9" ht="15" customHeight="1" x14ac:dyDescent="0.2">
      <c r="B25" s="113"/>
      <c r="E25" s="61" t="s">
        <v>1130</v>
      </c>
      <c r="F25" s="61" t="s">
        <v>1131</v>
      </c>
      <c r="G25" s="62" t="s">
        <v>1132</v>
      </c>
      <c r="H25" s="62" t="s">
        <v>1133</v>
      </c>
      <c r="I25" s="63" t="s">
        <v>35</v>
      </c>
    </row>
    <row r="26" spans="2:9" ht="38.25" customHeight="1" x14ac:dyDescent="0.2">
      <c r="B26" s="113"/>
      <c r="E26" s="264" t="s">
        <v>1134</v>
      </c>
      <c r="F26" s="264" t="s">
        <v>1135</v>
      </c>
      <c r="G26" s="265" t="s">
        <v>1502</v>
      </c>
      <c r="H26" s="265" t="s">
        <v>1136</v>
      </c>
      <c r="I26" s="265" t="s">
        <v>35</v>
      </c>
    </row>
    <row r="27" spans="2:9" ht="38.25" customHeight="1" x14ac:dyDescent="0.2">
      <c r="B27" s="113"/>
      <c r="E27" s="59" t="s">
        <v>1137</v>
      </c>
      <c r="F27" s="59" t="s">
        <v>1138</v>
      </c>
      <c r="G27" s="60" t="s">
        <v>1132</v>
      </c>
      <c r="H27" s="60" t="s">
        <v>3293</v>
      </c>
      <c r="I27" s="54" t="s">
        <v>35</v>
      </c>
    </row>
    <row r="28" spans="2:9" ht="38.25" x14ac:dyDescent="0.2">
      <c r="B28" s="113"/>
      <c r="E28" s="261" t="s">
        <v>1139</v>
      </c>
      <c r="F28" s="261" t="s">
        <v>1140</v>
      </c>
      <c r="G28" s="262" t="s">
        <v>1583</v>
      </c>
      <c r="H28" s="262" t="s">
        <v>1584</v>
      </c>
      <c r="I28" s="263" t="s">
        <v>39</v>
      </c>
    </row>
    <row r="29" spans="2:9" ht="15" customHeight="1" x14ac:dyDescent="0.2">
      <c r="B29" s="113"/>
      <c r="E29" s="61" t="s">
        <v>3329</v>
      </c>
      <c r="F29" s="61" t="s">
        <v>3330</v>
      </c>
      <c r="G29" s="62" t="s">
        <v>3331</v>
      </c>
      <c r="H29" s="62" t="s">
        <v>3332</v>
      </c>
      <c r="I29" s="63" t="s">
        <v>39</v>
      </c>
    </row>
    <row r="30" spans="2:9" ht="15" customHeight="1" x14ac:dyDescent="0.2">
      <c r="B30" s="113"/>
      <c r="E30" s="266" t="s">
        <v>1141</v>
      </c>
      <c r="F30" s="266" t="s">
        <v>1142</v>
      </c>
      <c r="G30" s="263" t="s">
        <v>1502</v>
      </c>
      <c r="H30" s="263" t="s">
        <v>1143</v>
      </c>
      <c r="I30" s="263" t="s">
        <v>35</v>
      </c>
    </row>
    <row r="31" spans="2:9" ht="15" customHeight="1" x14ac:dyDescent="0.2">
      <c r="B31" s="113"/>
      <c r="E31" s="53" t="s">
        <v>1144</v>
      </c>
      <c r="F31" s="53" t="s">
        <v>1145</v>
      </c>
      <c r="G31" s="54" t="s">
        <v>1118</v>
      </c>
      <c r="H31" s="54" t="s">
        <v>1526</v>
      </c>
      <c r="I31" s="54" t="s">
        <v>40</v>
      </c>
    </row>
    <row r="32" spans="2:9" ht="25.5" customHeight="1" x14ac:dyDescent="0.2">
      <c r="B32" s="113"/>
      <c r="E32" s="245" t="s">
        <v>1146</v>
      </c>
      <c r="F32" s="245" t="s">
        <v>1356</v>
      </c>
      <c r="G32" s="244" t="s">
        <v>1502</v>
      </c>
      <c r="H32" s="244" t="s">
        <v>1786</v>
      </c>
      <c r="I32" s="244" t="s">
        <v>1565</v>
      </c>
    </row>
    <row r="33" spans="2:9" ht="25.5" customHeight="1" x14ac:dyDescent="0.2">
      <c r="B33" s="113"/>
      <c r="E33" s="59" t="s">
        <v>1147</v>
      </c>
      <c r="F33" s="59" t="s">
        <v>503</v>
      </c>
      <c r="G33" s="60" t="s">
        <v>1118</v>
      </c>
      <c r="H33" s="60" t="s">
        <v>1148</v>
      </c>
      <c r="I33" s="54" t="s">
        <v>40</v>
      </c>
    </row>
    <row r="34" spans="2:9" ht="38.25" customHeight="1" x14ac:dyDescent="0.2">
      <c r="B34" s="113"/>
      <c r="E34" s="261" t="s">
        <v>1149</v>
      </c>
      <c r="F34" s="261" t="s">
        <v>380</v>
      </c>
      <c r="G34" s="262" t="s">
        <v>1502</v>
      </c>
      <c r="H34" s="262" t="s">
        <v>1150</v>
      </c>
      <c r="I34" s="263" t="s">
        <v>37</v>
      </c>
    </row>
    <row r="35" spans="2:9" ht="38.25" customHeight="1" x14ac:dyDescent="0.2">
      <c r="B35" s="113"/>
      <c r="E35" s="61" t="s">
        <v>1151</v>
      </c>
      <c r="F35" s="61" t="s">
        <v>1356</v>
      </c>
      <c r="G35" s="62" t="s">
        <v>1118</v>
      </c>
      <c r="H35" s="62" t="s">
        <v>1152</v>
      </c>
      <c r="I35" s="63" t="s">
        <v>42</v>
      </c>
    </row>
    <row r="36" spans="2:9" ht="25.5" customHeight="1" x14ac:dyDescent="0.2">
      <c r="B36" s="113"/>
      <c r="E36" s="261" t="s">
        <v>1153</v>
      </c>
      <c r="F36" s="261" t="s">
        <v>770</v>
      </c>
      <c r="G36" s="262" t="s">
        <v>1502</v>
      </c>
      <c r="H36" s="262" t="s">
        <v>3234</v>
      </c>
      <c r="I36" s="263" t="s">
        <v>44</v>
      </c>
    </row>
    <row r="37" spans="2:9" ht="25.5" customHeight="1" x14ac:dyDescent="0.2">
      <c r="B37" s="113"/>
      <c r="E37" s="61" t="s">
        <v>1154</v>
      </c>
      <c r="F37" s="61" t="s">
        <v>670</v>
      </c>
      <c r="G37" s="62" t="s">
        <v>2110</v>
      </c>
      <c r="H37" s="62" t="s">
        <v>2109</v>
      </c>
      <c r="I37" s="63" t="s">
        <v>42</v>
      </c>
    </row>
    <row r="38" spans="2:9" ht="51" customHeight="1" x14ac:dyDescent="0.2">
      <c r="B38" s="113"/>
      <c r="E38" s="261" t="s">
        <v>1155</v>
      </c>
      <c r="F38" s="261" t="s">
        <v>699</v>
      </c>
      <c r="G38" s="262" t="s">
        <v>2251</v>
      </c>
      <c r="H38" s="262" t="s">
        <v>1527</v>
      </c>
      <c r="I38" s="263" t="s">
        <v>44</v>
      </c>
    </row>
    <row r="39" spans="2:9" ht="38.25" customHeight="1" x14ac:dyDescent="0.2">
      <c r="B39" s="113"/>
      <c r="E39" s="61" t="s">
        <v>1157</v>
      </c>
      <c r="F39" s="61" t="s">
        <v>710</v>
      </c>
      <c r="G39" s="62" t="s">
        <v>2252</v>
      </c>
      <c r="H39" s="62" t="s">
        <v>3425</v>
      </c>
      <c r="I39" s="63" t="s">
        <v>44</v>
      </c>
    </row>
    <row r="40" spans="2:9" ht="25.5" customHeight="1" x14ac:dyDescent="0.2">
      <c r="B40" s="113"/>
      <c r="E40" s="261" t="s">
        <v>1158</v>
      </c>
      <c r="F40" s="261" t="s">
        <v>662</v>
      </c>
      <c r="G40" s="262" t="s">
        <v>2112</v>
      </c>
      <c r="H40" s="262" t="s">
        <v>2111</v>
      </c>
      <c r="I40" s="263" t="s">
        <v>42</v>
      </c>
    </row>
    <row r="41" spans="2:9" ht="25.5" customHeight="1" x14ac:dyDescent="0.2">
      <c r="B41" s="113"/>
      <c r="E41" s="61" t="s">
        <v>1160</v>
      </c>
      <c r="F41" s="61" t="s">
        <v>726</v>
      </c>
      <c r="G41" s="62" t="s">
        <v>1118</v>
      </c>
      <c r="H41" s="62" t="s">
        <v>2240</v>
      </c>
      <c r="I41" s="63" t="s">
        <v>44</v>
      </c>
    </row>
    <row r="42" spans="2:9" ht="25.5" customHeight="1" x14ac:dyDescent="0.2">
      <c r="B42" s="113"/>
      <c r="E42" s="261" t="s">
        <v>2241</v>
      </c>
      <c r="F42" s="261" t="s">
        <v>2242</v>
      </c>
      <c r="G42" s="262" t="s">
        <v>1118</v>
      </c>
      <c r="H42" s="262" t="s">
        <v>2243</v>
      </c>
      <c r="I42" s="263" t="s">
        <v>44</v>
      </c>
    </row>
    <row r="43" spans="2:9" ht="25.5" x14ac:dyDescent="0.2">
      <c r="B43" s="113"/>
      <c r="E43" s="61" t="s">
        <v>2244</v>
      </c>
      <c r="F43" s="61" t="s">
        <v>2245</v>
      </c>
      <c r="G43" s="62" t="s">
        <v>1118</v>
      </c>
      <c r="H43" s="62" t="s">
        <v>2246</v>
      </c>
      <c r="I43" s="63" t="s">
        <v>44</v>
      </c>
    </row>
    <row r="44" spans="2:9" ht="15" customHeight="1" x14ac:dyDescent="0.2">
      <c r="B44" s="113"/>
      <c r="E44" s="261" t="s">
        <v>1161</v>
      </c>
      <c r="F44" s="261" t="s">
        <v>1663</v>
      </c>
      <c r="G44" s="262" t="s">
        <v>1502</v>
      </c>
      <c r="H44" s="262" t="s">
        <v>3452</v>
      </c>
      <c r="I44" s="263" t="s">
        <v>35</v>
      </c>
    </row>
    <row r="45" spans="2:9" ht="25.5" customHeight="1" x14ac:dyDescent="0.2">
      <c r="B45" s="113"/>
      <c r="E45" s="69" t="s">
        <v>1162</v>
      </c>
      <c r="F45" s="69" t="s">
        <v>320</v>
      </c>
      <c r="G45" s="70" t="s">
        <v>1502</v>
      </c>
      <c r="H45" s="70" t="s">
        <v>1163</v>
      </c>
      <c r="I45" s="70" t="s">
        <v>32</v>
      </c>
    </row>
    <row r="46" spans="2:9" ht="38.25" customHeight="1" x14ac:dyDescent="0.2">
      <c r="B46" s="113"/>
      <c r="E46" s="267" t="s">
        <v>1698</v>
      </c>
      <c r="F46" s="267" t="s">
        <v>1685</v>
      </c>
      <c r="G46" s="251" t="s">
        <v>1699</v>
      </c>
      <c r="H46" s="251" t="s">
        <v>1700</v>
      </c>
      <c r="I46" s="247" t="s">
        <v>37</v>
      </c>
    </row>
    <row r="47" spans="2:9" ht="38.25" customHeight="1" x14ac:dyDescent="0.2">
      <c r="B47" s="113"/>
      <c r="E47" s="61" t="s">
        <v>1164</v>
      </c>
      <c r="F47" s="61" t="s">
        <v>774</v>
      </c>
      <c r="G47" s="62" t="s">
        <v>1502</v>
      </c>
      <c r="H47" s="62" t="s">
        <v>3235</v>
      </c>
      <c r="I47" s="63" t="s">
        <v>44</v>
      </c>
    </row>
    <row r="48" spans="2:9" ht="25.5" x14ac:dyDescent="0.2">
      <c r="B48" s="113"/>
      <c r="E48" s="261" t="s">
        <v>3481</v>
      </c>
      <c r="F48" s="261" t="s">
        <v>3482</v>
      </c>
      <c r="G48" s="262" t="s">
        <v>3483</v>
      </c>
      <c r="H48" s="262" t="s">
        <v>3484</v>
      </c>
      <c r="I48" s="263" t="s">
        <v>39</v>
      </c>
    </row>
    <row r="49" spans="2:9" ht="25.5" customHeight="1" x14ac:dyDescent="0.2">
      <c r="B49" s="113"/>
      <c r="E49" s="61" t="s">
        <v>1165</v>
      </c>
      <c r="F49" s="61" t="s">
        <v>1548</v>
      </c>
      <c r="G49" s="62" t="s">
        <v>1559</v>
      </c>
      <c r="H49" s="62" t="s">
        <v>3292</v>
      </c>
      <c r="I49" s="63" t="s">
        <v>35</v>
      </c>
    </row>
    <row r="50" spans="2:9" ht="25.5" customHeight="1" x14ac:dyDescent="0.2">
      <c r="E50" s="261" t="s">
        <v>1560</v>
      </c>
      <c r="F50" s="261" t="s">
        <v>1546</v>
      </c>
      <c r="G50" s="262" t="s">
        <v>1502</v>
      </c>
      <c r="H50" s="262" t="s">
        <v>1664</v>
      </c>
      <c r="I50" s="263" t="s">
        <v>35</v>
      </c>
    </row>
    <row r="51" spans="2:9" ht="25.5" customHeight="1" x14ac:dyDescent="0.2">
      <c r="E51" s="61" t="s">
        <v>1166</v>
      </c>
      <c r="F51" s="61" t="s">
        <v>485</v>
      </c>
      <c r="G51" s="62" t="s">
        <v>1167</v>
      </c>
      <c r="H51" s="62" t="s">
        <v>1168</v>
      </c>
      <c r="I51" s="63" t="s">
        <v>40</v>
      </c>
    </row>
    <row r="52" spans="2:9" ht="38.25" customHeight="1" x14ac:dyDescent="0.2">
      <c r="E52" s="261" t="s">
        <v>2234</v>
      </c>
      <c r="F52" s="261" t="s">
        <v>2235</v>
      </c>
      <c r="G52" s="262" t="s">
        <v>1118</v>
      </c>
      <c r="H52" s="262" t="s">
        <v>2236</v>
      </c>
      <c r="I52" s="263" t="s">
        <v>44</v>
      </c>
    </row>
    <row r="53" spans="2:9" ht="38.25" customHeight="1" x14ac:dyDescent="0.2">
      <c r="E53" s="61" t="s">
        <v>2237</v>
      </c>
      <c r="F53" s="61" t="s">
        <v>2238</v>
      </c>
      <c r="G53" s="62" t="s">
        <v>1118</v>
      </c>
      <c r="H53" s="62" t="s">
        <v>2239</v>
      </c>
      <c r="I53" s="63" t="s">
        <v>44</v>
      </c>
    </row>
    <row r="54" spans="2:9" ht="25.5" customHeight="1" x14ac:dyDescent="0.2">
      <c r="E54" s="261" t="s">
        <v>1169</v>
      </c>
      <c r="F54" s="261" t="s">
        <v>740</v>
      </c>
      <c r="G54" s="262" t="s">
        <v>1118</v>
      </c>
      <c r="H54" s="262" t="s">
        <v>2247</v>
      </c>
      <c r="I54" s="263" t="s">
        <v>44</v>
      </c>
    </row>
    <row r="55" spans="2:9" ht="38.25" customHeight="1" x14ac:dyDescent="0.2">
      <c r="E55" s="61" t="s">
        <v>2248</v>
      </c>
      <c r="F55" s="61" t="s">
        <v>2136</v>
      </c>
      <c r="G55" s="62" t="s">
        <v>2249</v>
      </c>
      <c r="H55" s="62" t="s">
        <v>3426</v>
      </c>
      <c r="I55" s="63" t="s">
        <v>44</v>
      </c>
    </row>
    <row r="56" spans="2:9" ht="25.5" customHeight="1" x14ac:dyDescent="0.2">
      <c r="E56" s="261" t="s">
        <v>1170</v>
      </c>
      <c r="F56" s="261" t="s">
        <v>1356</v>
      </c>
      <c r="G56" s="262" t="s">
        <v>1502</v>
      </c>
      <c r="H56" s="262" t="s">
        <v>1528</v>
      </c>
      <c r="I56" s="263" t="s">
        <v>46</v>
      </c>
    </row>
    <row r="57" spans="2:9" ht="38.25" customHeight="1" x14ac:dyDescent="0.2">
      <c r="E57" s="61" t="s">
        <v>3283</v>
      </c>
      <c r="F57" s="61" t="s">
        <v>3284</v>
      </c>
      <c r="G57" s="62" t="s">
        <v>3285</v>
      </c>
      <c r="H57" s="62" t="s">
        <v>3286</v>
      </c>
      <c r="I57" s="63" t="s">
        <v>37</v>
      </c>
    </row>
    <row r="58" spans="2:9" ht="25.5" customHeight="1" x14ac:dyDescent="0.2">
      <c r="E58" s="268" t="s">
        <v>1709</v>
      </c>
      <c r="F58" s="268" t="s">
        <v>3333</v>
      </c>
      <c r="G58" s="269" t="s">
        <v>1710</v>
      </c>
      <c r="H58" s="269" t="s">
        <v>1711</v>
      </c>
      <c r="I58" s="270" t="s">
        <v>39</v>
      </c>
    </row>
    <row r="59" spans="2:9" ht="38.25" customHeight="1" x14ac:dyDescent="0.2">
      <c r="E59" s="61" t="s">
        <v>1748</v>
      </c>
      <c r="F59" s="61" t="s">
        <v>3334</v>
      </c>
      <c r="G59" s="62" t="s">
        <v>1749</v>
      </c>
      <c r="H59" s="62" t="s">
        <v>3335</v>
      </c>
      <c r="I59" s="63" t="s">
        <v>39</v>
      </c>
    </row>
    <row r="60" spans="2:9" ht="25.5" customHeight="1" x14ac:dyDescent="0.2">
      <c r="E60" s="261" t="s">
        <v>1171</v>
      </c>
      <c r="F60" s="261" t="s">
        <v>3336</v>
      </c>
      <c r="G60" s="262" t="s">
        <v>1502</v>
      </c>
      <c r="H60" s="262" t="s">
        <v>1172</v>
      </c>
      <c r="I60" s="263" t="s">
        <v>39</v>
      </c>
    </row>
    <row r="61" spans="2:9" ht="25.5" customHeight="1" x14ac:dyDescent="0.2">
      <c r="E61" s="61" t="s">
        <v>1173</v>
      </c>
      <c r="F61" s="61" t="s">
        <v>649</v>
      </c>
      <c r="G61" s="62" t="s">
        <v>1159</v>
      </c>
      <c r="H61" s="62" t="s">
        <v>1174</v>
      </c>
      <c r="I61" s="63" t="s">
        <v>42</v>
      </c>
    </row>
    <row r="62" spans="2:9" ht="25.5" customHeight="1" x14ac:dyDescent="0.2">
      <c r="E62" s="261" t="s">
        <v>1175</v>
      </c>
      <c r="F62" s="261" t="s">
        <v>637</v>
      </c>
      <c r="G62" s="262" t="s">
        <v>1121</v>
      </c>
      <c r="H62" s="262" t="s">
        <v>1176</v>
      </c>
      <c r="I62" s="263" t="s">
        <v>42</v>
      </c>
    </row>
    <row r="63" spans="2:9" ht="25.5" customHeight="1" x14ac:dyDescent="0.2">
      <c r="E63" s="61" t="s">
        <v>540</v>
      </c>
      <c r="F63" s="61" t="s">
        <v>540</v>
      </c>
      <c r="G63" s="62" t="s">
        <v>1118</v>
      </c>
      <c r="H63" s="62" t="s">
        <v>1177</v>
      </c>
      <c r="I63" s="63" t="s">
        <v>40</v>
      </c>
    </row>
    <row r="64" spans="2:9" ht="25.5" customHeight="1" x14ac:dyDescent="0.2">
      <c r="E64" s="261" t="s">
        <v>2227</v>
      </c>
      <c r="F64" s="261" t="s">
        <v>2228</v>
      </c>
      <c r="G64" s="262" t="s">
        <v>2229</v>
      </c>
      <c r="H64" s="262" t="s">
        <v>2230</v>
      </c>
      <c r="I64" s="263" t="s">
        <v>44</v>
      </c>
    </row>
    <row r="65" spans="5:9" ht="38.25" customHeight="1" x14ac:dyDescent="0.2">
      <c r="E65" s="61" t="s">
        <v>2231</v>
      </c>
      <c r="F65" s="61" t="s">
        <v>2232</v>
      </c>
      <c r="G65" s="62" t="s">
        <v>2229</v>
      </c>
      <c r="H65" s="62" t="s">
        <v>2233</v>
      </c>
      <c r="I65" s="63" t="s">
        <v>44</v>
      </c>
    </row>
    <row r="66" spans="5:9" ht="38.25" customHeight="1" x14ac:dyDescent="0.2">
      <c r="E66" s="268" t="s">
        <v>1668</v>
      </c>
      <c r="F66" s="268" t="s">
        <v>3337</v>
      </c>
      <c r="G66" s="269" t="s">
        <v>1666</v>
      </c>
      <c r="H66" s="269" t="s">
        <v>1669</v>
      </c>
      <c r="I66" s="270" t="s">
        <v>35</v>
      </c>
    </row>
    <row r="67" spans="5:9" ht="15" customHeight="1" x14ac:dyDescent="0.2">
      <c r="E67" s="61" t="s">
        <v>1178</v>
      </c>
      <c r="F67" s="61" t="s">
        <v>554</v>
      </c>
      <c r="G67" s="62" t="s">
        <v>1179</v>
      </c>
      <c r="H67" s="62" t="s">
        <v>1529</v>
      </c>
      <c r="I67" s="63" t="s">
        <v>40</v>
      </c>
    </row>
    <row r="68" spans="5:9" ht="25.5" customHeight="1" x14ac:dyDescent="0.2">
      <c r="E68" s="261" t="s">
        <v>1180</v>
      </c>
      <c r="F68" s="261" t="s">
        <v>562</v>
      </c>
      <c r="G68" s="262" t="s">
        <v>1179</v>
      </c>
      <c r="H68" s="262" t="s">
        <v>3204</v>
      </c>
      <c r="I68" s="263" t="s">
        <v>40</v>
      </c>
    </row>
    <row r="69" spans="5:9" ht="15" customHeight="1" x14ac:dyDescent="0.2">
      <c r="E69" s="69" t="s">
        <v>1181</v>
      </c>
      <c r="F69" s="69" t="s">
        <v>1182</v>
      </c>
      <c r="G69" s="70" t="s">
        <v>1502</v>
      </c>
      <c r="H69" s="70" t="s">
        <v>1183</v>
      </c>
      <c r="I69" s="70" t="s">
        <v>35</v>
      </c>
    </row>
    <row r="70" spans="5:9" ht="25.5" customHeight="1" x14ac:dyDescent="0.2">
      <c r="E70" s="259" t="s">
        <v>1184</v>
      </c>
      <c r="F70" s="259" t="s">
        <v>794</v>
      </c>
      <c r="G70" s="260" t="s">
        <v>1132</v>
      </c>
      <c r="H70" s="260" t="s">
        <v>1185</v>
      </c>
      <c r="I70" s="242" t="s">
        <v>35</v>
      </c>
    </row>
    <row r="71" spans="5:9" ht="25.5" customHeight="1" x14ac:dyDescent="0.2">
      <c r="E71" s="69" t="s">
        <v>1186</v>
      </c>
      <c r="F71" s="69" t="s">
        <v>532</v>
      </c>
      <c r="G71" s="70" t="s">
        <v>1118</v>
      </c>
      <c r="H71" s="70" t="s">
        <v>1187</v>
      </c>
      <c r="I71" s="70" t="s">
        <v>40</v>
      </c>
    </row>
    <row r="72" spans="5:9" ht="15" customHeight="1" x14ac:dyDescent="0.2">
      <c r="E72" s="259" t="s">
        <v>1188</v>
      </c>
      <c r="F72" s="259" t="s">
        <v>409</v>
      </c>
      <c r="G72" s="260" t="s">
        <v>1502</v>
      </c>
      <c r="H72" s="260" t="s">
        <v>1189</v>
      </c>
      <c r="I72" s="242" t="s">
        <v>37</v>
      </c>
    </row>
    <row r="73" spans="5:9" ht="25.5" customHeight="1" x14ac:dyDescent="0.2">
      <c r="E73" s="61" t="s">
        <v>1190</v>
      </c>
      <c r="F73" s="61" t="s">
        <v>757</v>
      </c>
      <c r="G73" s="62" t="s">
        <v>1502</v>
      </c>
      <c r="H73" s="62" t="s">
        <v>3236</v>
      </c>
      <c r="I73" s="63" t="s">
        <v>44</v>
      </c>
    </row>
    <row r="74" spans="5:9" ht="38.25" customHeight="1" x14ac:dyDescent="0.2">
      <c r="E74" s="261" t="s">
        <v>1191</v>
      </c>
      <c r="F74" s="261" t="s">
        <v>414</v>
      </c>
      <c r="G74" s="262" t="s">
        <v>1502</v>
      </c>
      <c r="H74" s="262" t="s">
        <v>1192</v>
      </c>
      <c r="I74" s="263" t="s">
        <v>37</v>
      </c>
    </row>
    <row r="75" spans="5:9" ht="38.25" customHeight="1" x14ac:dyDescent="0.2">
      <c r="E75" s="61" t="s">
        <v>1193</v>
      </c>
      <c r="F75" s="61" t="s">
        <v>761</v>
      </c>
      <c r="G75" s="62" t="s">
        <v>1502</v>
      </c>
      <c r="H75" s="62" t="s">
        <v>1194</v>
      </c>
      <c r="I75" s="63" t="s">
        <v>44</v>
      </c>
    </row>
    <row r="76" spans="5:9" ht="15" customHeight="1" x14ac:dyDescent="0.2">
      <c r="E76" s="261" t="s">
        <v>2250</v>
      </c>
      <c r="F76" s="261" t="s">
        <v>2121</v>
      </c>
      <c r="G76" s="262" t="s">
        <v>1502</v>
      </c>
      <c r="H76" s="262" t="s">
        <v>3237</v>
      </c>
      <c r="I76" s="263" t="s">
        <v>44</v>
      </c>
    </row>
    <row r="77" spans="5:9" ht="15" customHeight="1" x14ac:dyDescent="0.2">
      <c r="E77" s="61" t="s">
        <v>1195</v>
      </c>
      <c r="F77" s="61" t="s">
        <v>358</v>
      </c>
      <c r="G77" s="62" t="s">
        <v>1502</v>
      </c>
      <c r="H77" s="62" t="s">
        <v>1665</v>
      </c>
      <c r="I77" s="63" t="s">
        <v>35</v>
      </c>
    </row>
    <row r="78" spans="5:9" ht="25.5" customHeight="1" x14ac:dyDescent="0.2">
      <c r="E78" s="264" t="s">
        <v>1196</v>
      </c>
      <c r="F78" s="264" t="s">
        <v>402</v>
      </c>
      <c r="G78" s="265" t="s">
        <v>1502</v>
      </c>
      <c r="H78" s="265" t="s">
        <v>1197</v>
      </c>
      <c r="I78" s="265" t="s">
        <v>37</v>
      </c>
    </row>
    <row r="79" spans="5:9" ht="38.25" customHeight="1" x14ac:dyDescent="0.2">
      <c r="E79" s="59" t="s">
        <v>1198</v>
      </c>
      <c r="F79" s="59" t="s">
        <v>330</v>
      </c>
      <c r="G79" s="60" t="s">
        <v>1502</v>
      </c>
      <c r="H79" s="60" t="s">
        <v>1199</v>
      </c>
      <c r="I79" s="54" t="s">
        <v>32</v>
      </c>
    </row>
    <row r="80" spans="5:9" ht="25.5" customHeight="1" x14ac:dyDescent="0.2">
      <c r="E80" s="261" t="s">
        <v>1200</v>
      </c>
      <c r="F80" s="261" t="s">
        <v>719</v>
      </c>
      <c r="G80" s="262" t="s">
        <v>1118</v>
      </c>
      <c r="H80" s="262" t="s">
        <v>2253</v>
      </c>
      <c r="I80" s="263" t="s">
        <v>44</v>
      </c>
    </row>
    <row r="81" spans="5:9" ht="25.5" customHeight="1" x14ac:dyDescent="0.2">
      <c r="E81" s="61" t="s">
        <v>1201</v>
      </c>
      <c r="F81" s="61" t="s">
        <v>525</v>
      </c>
      <c r="G81" s="62" t="s">
        <v>1118</v>
      </c>
      <c r="H81" s="62" t="s">
        <v>1530</v>
      </c>
      <c r="I81" s="63" t="s">
        <v>40</v>
      </c>
    </row>
    <row r="82" spans="5:9" ht="25.5" customHeight="1" x14ac:dyDescent="0.2">
      <c r="E82" s="261" t="s">
        <v>1202</v>
      </c>
      <c r="F82" s="261" t="s">
        <v>3338</v>
      </c>
      <c r="G82" s="262" t="s">
        <v>1502</v>
      </c>
      <c r="H82" s="262" t="s">
        <v>1203</v>
      </c>
      <c r="I82" s="263" t="s">
        <v>39</v>
      </c>
    </row>
    <row r="83" spans="5:9" ht="25.5" customHeight="1" x14ac:dyDescent="0.2">
      <c r="E83" s="61" t="s">
        <v>2063</v>
      </c>
      <c r="F83" s="61" t="s">
        <v>2026</v>
      </c>
      <c r="G83" s="62" t="s">
        <v>1118</v>
      </c>
      <c r="H83" s="62" t="s">
        <v>2064</v>
      </c>
      <c r="I83" s="63" t="s">
        <v>40</v>
      </c>
    </row>
    <row r="84" spans="5:9" ht="25.5" customHeight="1" x14ac:dyDescent="0.2">
      <c r="E84" s="261" t="s">
        <v>2065</v>
      </c>
      <c r="F84" s="261" t="s">
        <v>2042</v>
      </c>
      <c r="G84" s="262" t="s">
        <v>2066</v>
      </c>
      <c r="H84" s="262" t="s">
        <v>2067</v>
      </c>
      <c r="I84" s="263" t="s">
        <v>40</v>
      </c>
    </row>
    <row r="85" spans="5:9" ht="25.5" customHeight="1" x14ac:dyDescent="0.2">
      <c r="E85" s="61" t="s">
        <v>2068</v>
      </c>
      <c r="F85" s="61" t="s">
        <v>2034</v>
      </c>
      <c r="G85" s="62" t="s">
        <v>2069</v>
      </c>
      <c r="H85" s="62" t="s">
        <v>2070</v>
      </c>
      <c r="I85" s="63" t="s">
        <v>40</v>
      </c>
    </row>
    <row r="86" spans="5:9" ht="25.5" customHeight="1" x14ac:dyDescent="0.2">
      <c r="E86" s="261" t="s">
        <v>1750</v>
      </c>
      <c r="F86" s="261" t="s">
        <v>1751</v>
      </c>
      <c r="G86" s="262" t="s">
        <v>1752</v>
      </c>
      <c r="H86" s="262" t="s">
        <v>1753</v>
      </c>
      <c r="I86" s="263" t="s">
        <v>39</v>
      </c>
    </row>
    <row r="87" spans="5:9" ht="25.5" customHeight="1" x14ac:dyDescent="0.2">
      <c r="E87" s="61" t="s">
        <v>1754</v>
      </c>
      <c r="F87" s="61" t="s">
        <v>1755</v>
      </c>
      <c r="G87" s="62" t="s">
        <v>1752</v>
      </c>
      <c r="H87" s="62" t="s">
        <v>1756</v>
      </c>
      <c r="I87" s="63" t="s">
        <v>39</v>
      </c>
    </row>
    <row r="88" spans="5:9" ht="25.5" customHeight="1" x14ac:dyDescent="0.2">
      <c r="E88" s="261" t="s">
        <v>1757</v>
      </c>
      <c r="F88" s="261" t="s">
        <v>1758</v>
      </c>
      <c r="G88" s="262" t="s">
        <v>1752</v>
      </c>
      <c r="H88" s="262" t="s">
        <v>1759</v>
      </c>
      <c r="I88" s="263" t="s">
        <v>39</v>
      </c>
    </row>
    <row r="89" spans="5:9" ht="25.5" customHeight="1" x14ac:dyDescent="0.2">
      <c r="E89" s="61" t="s">
        <v>1760</v>
      </c>
      <c r="F89" s="61" t="s">
        <v>1761</v>
      </c>
      <c r="G89" s="62" t="s">
        <v>1752</v>
      </c>
      <c r="H89" s="62" t="s">
        <v>1762</v>
      </c>
      <c r="I89" s="63" t="s">
        <v>39</v>
      </c>
    </row>
    <row r="90" spans="5:9" ht="25.5" customHeight="1" x14ac:dyDescent="0.2">
      <c r="E90" s="261" t="s">
        <v>1763</v>
      </c>
      <c r="F90" s="261" t="s">
        <v>1764</v>
      </c>
      <c r="G90" s="262" t="s">
        <v>1752</v>
      </c>
      <c r="H90" s="262" t="s">
        <v>1765</v>
      </c>
      <c r="I90" s="263" t="s">
        <v>39</v>
      </c>
    </row>
    <row r="91" spans="5:9" ht="38.25" customHeight="1" x14ac:dyDescent="0.2">
      <c r="E91" s="61" t="s">
        <v>1204</v>
      </c>
      <c r="F91" s="61" t="s">
        <v>440</v>
      </c>
      <c r="G91" s="62" t="s">
        <v>1502</v>
      </c>
      <c r="H91" s="62" t="s">
        <v>1205</v>
      </c>
      <c r="I91" s="63" t="s">
        <v>39</v>
      </c>
    </row>
    <row r="92" spans="5:9" ht="15" customHeight="1" x14ac:dyDescent="0.2">
      <c r="E92" s="261" t="s">
        <v>1206</v>
      </c>
      <c r="F92" s="261" t="s">
        <v>346</v>
      </c>
      <c r="G92" s="262" t="s">
        <v>1132</v>
      </c>
      <c r="H92" s="262" t="s">
        <v>1207</v>
      </c>
      <c r="I92" s="263" t="s">
        <v>35</v>
      </c>
    </row>
    <row r="93" spans="5:9" ht="25.5" customHeight="1" x14ac:dyDescent="0.2">
      <c r="E93" s="61" t="s">
        <v>1208</v>
      </c>
      <c r="F93" s="61" t="s">
        <v>436</v>
      </c>
      <c r="G93" s="62" t="s">
        <v>3290</v>
      </c>
      <c r="H93" s="62" t="s">
        <v>3291</v>
      </c>
      <c r="I93" s="63" t="s">
        <v>39</v>
      </c>
    </row>
    <row r="94" spans="5:9" ht="25.5" customHeight="1" x14ac:dyDescent="0.2">
      <c r="E94" s="264" t="s">
        <v>1209</v>
      </c>
      <c r="F94" s="264" t="s">
        <v>476</v>
      </c>
      <c r="G94" s="265" t="s">
        <v>1118</v>
      </c>
      <c r="H94" s="265" t="s">
        <v>1210</v>
      </c>
      <c r="I94" s="265" t="s">
        <v>40</v>
      </c>
    </row>
    <row r="95" spans="5:9" ht="38.25" customHeight="1" x14ac:dyDescent="0.2">
      <c r="E95" s="59" t="s">
        <v>1561</v>
      </c>
      <c r="F95" s="59" t="s">
        <v>1562</v>
      </c>
      <c r="G95" s="60" t="s">
        <v>1563</v>
      </c>
      <c r="H95" s="60" t="s">
        <v>1564</v>
      </c>
      <c r="I95" s="54" t="s">
        <v>35</v>
      </c>
    </row>
    <row r="96" spans="5:9" ht="25.5" x14ac:dyDescent="0.2">
      <c r="E96" s="261" t="s">
        <v>3279</v>
      </c>
      <c r="F96" s="261" t="s">
        <v>3280</v>
      </c>
      <c r="G96" s="262" t="s">
        <v>3281</v>
      </c>
      <c r="H96" s="262" t="s">
        <v>3282</v>
      </c>
      <c r="I96" s="263" t="s">
        <v>35</v>
      </c>
    </row>
    <row r="97" spans="5:9" ht="25.5" customHeight="1" x14ac:dyDescent="0.2">
      <c r="E97" s="66" t="s">
        <v>1670</v>
      </c>
      <c r="F97" s="66" t="s">
        <v>1607</v>
      </c>
      <c r="G97" s="67" t="s">
        <v>1502</v>
      </c>
      <c r="H97" s="67" t="s">
        <v>1671</v>
      </c>
      <c r="I97" s="68" t="s">
        <v>35</v>
      </c>
    </row>
    <row r="98" spans="5:9" ht="25.5" customHeight="1" x14ac:dyDescent="0.2">
      <c r="E98" s="261" t="s">
        <v>1211</v>
      </c>
      <c r="F98" s="261" t="s">
        <v>391</v>
      </c>
      <c r="G98" s="262" t="s">
        <v>1502</v>
      </c>
      <c r="H98" s="262" t="s">
        <v>3455</v>
      </c>
      <c r="I98" s="263" t="s">
        <v>37</v>
      </c>
    </row>
    <row r="99" spans="5:9" ht="25.5" customHeight="1" x14ac:dyDescent="0.2">
      <c r="E99" s="61" t="s">
        <v>1212</v>
      </c>
      <c r="F99" s="61" t="s">
        <v>1213</v>
      </c>
      <c r="G99" s="62" t="s">
        <v>2114</v>
      </c>
      <c r="H99" s="62" t="s">
        <v>2113</v>
      </c>
      <c r="I99" s="63" t="s">
        <v>42</v>
      </c>
    </row>
    <row r="100" spans="5:9" ht="25.5" customHeight="1" x14ac:dyDescent="0.2">
      <c r="E100" s="261" t="s">
        <v>1214</v>
      </c>
      <c r="F100" s="261" t="s">
        <v>626</v>
      </c>
      <c r="G100" s="262" t="s">
        <v>1118</v>
      </c>
      <c r="H100" s="262" t="s">
        <v>1215</v>
      </c>
      <c r="I100" s="263" t="s">
        <v>42</v>
      </c>
    </row>
    <row r="101" spans="5:9" ht="25.5" customHeight="1" x14ac:dyDescent="0.2">
      <c r="E101" s="61" t="s">
        <v>1216</v>
      </c>
      <c r="F101" s="61" t="s">
        <v>744</v>
      </c>
      <c r="G101" s="62" t="s">
        <v>1502</v>
      </c>
      <c r="H101" s="62" t="s">
        <v>1217</v>
      </c>
      <c r="I101" s="63" t="s">
        <v>44</v>
      </c>
    </row>
    <row r="102" spans="5:9" ht="38.25" customHeight="1" x14ac:dyDescent="0.2">
      <c r="E102" s="261" t="s">
        <v>1218</v>
      </c>
      <c r="F102" s="261" t="s">
        <v>752</v>
      </c>
      <c r="G102" s="262" t="s">
        <v>1502</v>
      </c>
      <c r="H102" s="262" t="s">
        <v>1531</v>
      </c>
      <c r="I102" s="263" t="s">
        <v>44</v>
      </c>
    </row>
    <row r="103" spans="5:9" ht="38.25" customHeight="1" x14ac:dyDescent="0.2">
      <c r="E103" s="61" t="s">
        <v>1219</v>
      </c>
      <c r="F103" s="61" t="s">
        <v>765</v>
      </c>
      <c r="G103" s="62" t="s">
        <v>1502</v>
      </c>
      <c r="H103" s="62" t="s">
        <v>1220</v>
      </c>
      <c r="I103" s="63" t="s">
        <v>44</v>
      </c>
    </row>
    <row r="104" spans="5:9" ht="25.5" customHeight="1" x14ac:dyDescent="0.2">
      <c r="E104" s="259" t="s">
        <v>1221</v>
      </c>
      <c r="F104" s="259" t="s">
        <v>2005</v>
      </c>
      <c r="G104" s="260" t="s">
        <v>1118</v>
      </c>
      <c r="H104" s="260" t="s">
        <v>2006</v>
      </c>
      <c r="I104" s="242" t="s">
        <v>40</v>
      </c>
    </row>
    <row r="105" spans="5:9" ht="15" customHeight="1" x14ac:dyDescent="0.2">
      <c r="E105" s="59" t="s">
        <v>2007</v>
      </c>
      <c r="F105" s="59" t="s">
        <v>1918</v>
      </c>
      <c r="G105" s="60" t="s">
        <v>1118</v>
      </c>
      <c r="H105" s="60" t="s">
        <v>3427</v>
      </c>
      <c r="I105" s="54" t="s">
        <v>40</v>
      </c>
    </row>
    <row r="106" spans="5:9" ht="38.25" customHeight="1" x14ac:dyDescent="0.2">
      <c r="E106" s="261" t="s">
        <v>1222</v>
      </c>
      <c r="F106" s="261" t="s">
        <v>334</v>
      </c>
      <c r="G106" s="262" t="s">
        <v>1502</v>
      </c>
      <c r="H106" s="262" t="s">
        <v>1223</v>
      </c>
      <c r="I106" s="263" t="s">
        <v>32</v>
      </c>
    </row>
    <row r="107" spans="5:9" ht="15" customHeight="1" x14ac:dyDescent="0.2">
      <c r="E107" s="61" t="s">
        <v>1224</v>
      </c>
      <c r="F107" s="61" t="s">
        <v>340</v>
      </c>
      <c r="G107" s="62" t="s">
        <v>1502</v>
      </c>
      <c r="H107" s="62" t="s">
        <v>1225</v>
      </c>
      <c r="I107" s="63" t="s">
        <v>32</v>
      </c>
    </row>
    <row r="108" spans="5:9" ht="25.5" customHeight="1" x14ac:dyDescent="0.2">
      <c r="E108" s="261" t="s">
        <v>115</v>
      </c>
      <c r="F108" s="261" t="s">
        <v>1356</v>
      </c>
      <c r="G108" s="262" t="s">
        <v>1666</v>
      </c>
      <c r="H108" s="262" t="s">
        <v>1667</v>
      </c>
      <c r="I108" s="263" t="s">
        <v>35</v>
      </c>
    </row>
    <row r="109" spans="5:9" ht="25.5" customHeight="1" x14ac:dyDescent="0.2">
      <c r="E109" s="61" t="s">
        <v>1226</v>
      </c>
      <c r="F109" s="61" t="s">
        <v>325</v>
      </c>
      <c r="G109" s="62" t="s">
        <v>1502</v>
      </c>
      <c r="H109" s="62" t="s">
        <v>3278</v>
      </c>
      <c r="I109" s="63" t="s">
        <v>32</v>
      </c>
    </row>
    <row r="110" spans="5:9" ht="38.25" customHeight="1" x14ac:dyDescent="0.2">
      <c r="E110" s="261" t="s">
        <v>1227</v>
      </c>
      <c r="F110" s="261" t="s">
        <v>730</v>
      </c>
      <c r="G110" s="262" t="s">
        <v>1156</v>
      </c>
      <c r="H110" s="262" t="s">
        <v>1532</v>
      </c>
      <c r="I110" s="263" t="s">
        <v>44</v>
      </c>
    </row>
    <row r="111" spans="5:9" ht="25.5" customHeight="1" x14ac:dyDescent="0.2">
      <c r="E111" s="61" t="s">
        <v>1228</v>
      </c>
      <c r="F111" s="61" t="s">
        <v>519</v>
      </c>
      <c r="G111" s="62" t="s">
        <v>1118</v>
      </c>
      <c r="H111" s="62" t="s">
        <v>1533</v>
      </c>
      <c r="I111" s="63" t="s">
        <v>40</v>
      </c>
    </row>
    <row r="112" spans="5:9" ht="25.5" customHeight="1" x14ac:dyDescent="0.2">
      <c r="E112" s="261" t="s">
        <v>1229</v>
      </c>
      <c r="F112" s="261" t="s">
        <v>607</v>
      </c>
      <c r="G112" s="262" t="s">
        <v>1118</v>
      </c>
      <c r="H112" s="262" t="s">
        <v>1534</v>
      </c>
      <c r="I112" s="263" t="s">
        <v>42</v>
      </c>
    </row>
    <row r="113" spans="5:9" ht="38.25" customHeight="1" x14ac:dyDescent="0.2">
      <c r="E113" s="61" t="s">
        <v>1230</v>
      </c>
      <c r="F113" s="61" t="s">
        <v>460</v>
      </c>
      <c r="G113" s="62" t="s">
        <v>1118</v>
      </c>
      <c r="H113" s="62" t="s">
        <v>1231</v>
      </c>
      <c r="I113" s="63" t="s">
        <v>40</v>
      </c>
    </row>
    <row r="114" spans="5:9" ht="38.25" customHeight="1" x14ac:dyDescent="0.2">
      <c r="E114" s="261" t="s">
        <v>1232</v>
      </c>
      <c r="F114" s="261" t="s">
        <v>511</v>
      </c>
      <c r="G114" s="262" t="s">
        <v>1121</v>
      </c>
      <c r="H114" s="262" t="s">
        <v>1233</v>
      </c>
      <c r="I114" s="263" t="s">
        <v>40</v>
      </c>
    </row>
    <row r="115" spans="5:9" ht="38.25" customHeight="1" x14ac:dyDescent="0.2">
      <c r="E115" s="61" t="s">
        <v>1234</v>
      </c>
      <c r="F115" s="61" t="s">
        <v>599</v>
      </c>
      <c r="G115" s="62" t="s">
        <v>1118</v>
      </c>
      <c r="H115" s="62" t="s">
        <v>1535</v>
      </c>
      <c r="I115" s="63" t="s">
        <v>42</v>
      </c>
    </row>
    <row r="116" spans="5:9" ht="25.5" customHeight="1" x14ac:dyDescent="0.2">
      <c r="E116" s="261" t="s">
        <v>1235</v>
      </c>
      <c r="F116" s="261" t="s">
        <v>72</v>
      </c>
      <c r="G116" s="262" t="s">
        <v>1118</v>
      </c>
      <c r="H116" s="262" t="s">
        <v>1536</v>
      </c>
      <c r="I116" s="263" t="s">
        <v>42</v>
      </c>
    </row>
    <row r="117" spans="5:9" ht="25.5" x14ac:dyDescent="0.2">
      <c r="E117" s="61" t="s">
        <v>1236</v>
      </c>
      <c r="F117" s="61" t="s">
        <v>469</v>
      </c>
      <c r="G117" s="62" t="s">
        <v>1118</v>
      </c>
      <c r="H117" s="62" t="s">
        <v>3238</v>
      </c>
      <c r="I117" s="63" t="s">
        <v>40</v>
      </c>
    </row>
    <row r="118" spans="5:9" ht="15" customHeight="1" x14ac:dyDescent="0.2">
      <c r="E118" s="261" t="s">
        <v>1237</v>
      </c>
      <c r="F118" s="261" t="s">
        <v>632</v>
      </c>
      <c r="G118" s="262" t="s">
        <v>1118</v>
      </c>
      <c r="H118" s="262" t="s">
        <v>1238</v>
      </c>
      <c r="I118" s="263" t="s">
        <v>42</v>
      </c>
    </row>
    <row r="119" spans="5:9" ht="15" customHeight="1" x14ac:dyDescent="0.2">
      <c r="E119" s="122"/>
      <c r="F119" s="122"/>
      <c r="G119" s="122"/>
      <c r="H119" s="122"/>
      <c r="I119" s="122"/>
    </row>
    <row r="120" spans="5:9" ht="15" customHeight="1" x14ac:dyDescent="0.2">
      <c r="E120" s="122"/>
      <c r="F120" s="122"/>
      <c r="G120" s="122"/>
      <c r="H120" s="122"/>
      <c r="I120" s="122"/>
    </row>
  </sheetData>
  <mergeCells count="26">
    <mergeCell ref="H12:H13"/>
    <mergeCell ref="H17:H18"/>
    <mergeCell ref="I14:I15"/>
    <mergeCell ref="E12:E13"/>
    <mergeCell ref="G12:G13"/>
    <mergeCell ref="E17:E18"/>
    <mergeCell ref="G17:G18"/>
    <mergeCell ref="E14:E15"/>
    <mergeCell ref="F14:F15"/>
    <mergeCell ref="G14:G15"/>
    <mergeCell ref="F8:F10"/>
    <mergeCell ref="F19:F21"/>
    <mergeCell ref="E8:E10"/>
    <mergeCell ref="H14:H15"/>
    <mergeCell ref="E3:I4"/>
    <mergeCell ref="F12:F13"/>
    <mergeCell ref="E19:E21"/>
    <mergeCell ref="G19:G21"/>
    <mergeCell ref="G8:G10"/>
    <mergeCell ref="H19:H21"/>
    <mergeCell ref="I8:I10"/>
    <mergeCell ref="F17:F18"/>
    <mergeCell ref="H8:H10"/>
    <mergeCell ref="I19:I21"/>
    <mergeCell ref="I17:I18"/>
    <mergeCell ref="I12:I13"/>
  </mergeCells>
  <hyperlinks>
    <hyperlink ref="B2" location="'Start here'!E6" tooltip="back to Start here" display="⌂  CompBot Tutorial" xr:uid="{00000000-0004-0000-1900-000000000000}"/>
    <hyperlink ref="B6" location="'Start here'!E6" display="▸  START" xr:uid="{CD4E4062-8FC2-465B-B317-5801C90FA231}"/>
    <hyperlink ref="B7" location="'C1 Your machine'!E6" display="▸  COMMANDS" xr:uid="{1A463297-719A-4C18-B882-98E0E2A50B16}"/>
    <hyperlink ref="B8" location="'Demo maps'!E6" display="▸  DEMO SHEETS" xr:uid="{BFF4E381-16D2-4E33-846B-61EC4760D836}"/>
    <hyperlink ref="B9" location="'Level 1 Basics'!E6" display="▸  LAMBDAS" xr:uid="{EE2212ED-286B-48F7-B7D7-B80F7E2745BF}"/>
    <hyperlink ref="B11" location="'Command cheat sheet'!E6" display="▾  REFERENCE" xr:uid="{B2DEE276-17AA-490B-B6C7-703F282DDC4C}"/>
    <hyperlink ref="B13" location="'Lambda cheat sheet'!E6" display="Lambda cheat sheet" xr:uid="{844EEB57-2A57-4777-B493-4E3EF8618A91}"/>
    <hyperlink ref="B14" location="'What changed'!E6" display="What changed" xr:uid="{70FC5D61-06A8-4E78-947C-6FA51CA5866A}"/>
    <hyperlink ref="B10" location="'I1 The Alves Method'!E6" display="▸  INSIDER" xr:uid="{49A559F5-44C0-4890-AA75-16B007EFB264}"/>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tabColor rgb="FF6B7A8C"/>
  </sheetPr>
  <dimension ref="A1:I92"/>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49" customWidth="1"/>
    <col min="2" max="2" width="27" style="49" customWidth="1"/>
    <col min="3" max="3" width="1.5" style="49" customWidth="1"/>
    <col min="4" max="4" width="2.5" customWidth="1"/>
    <col min="5" max="5" width="10" customWidth="1"/>
    <col min="6" max="6" width="34" customWidth="1"/>
    <col min="7" max="7" width="22" customWidth="1"/>
    <col min="8" max="8" width="62" customWidth="1"/>
    <col min="9" max="9" width="26" customWidth="1"/>
  </cols>
  <sheetData>
    <row r="1" spans="2:9" ht="12.75" x14ac:dyDescent="0.2"/>
    <row r="2" spans="2:9" ht="30" customHeight="1" x14ac:dyDescent="0.3">
      <c r="B2" s="50" t="s">
        <v>0</v>
      </c>
      <c r="E2" s="3" t="s">
        <v>64</v>
      </c>
    </row>
    <row r="3" spans="2:9" ht="15" customHeight="1" x14ac:dyDescent="0.2">
      <c r="B3" s="51" t="s">
        <v>2</v>
      </c>
      <c r="E3" s="147" t="s">
        <v>1239</v>
      </c>
      <c r="F3" s="148"/>
      <c r="G3" s="148"/>
      <c r="H3" s="148"/>
      <c r="I3" s="148"/>
    </row>
    <row r="4" spans="2:9" ht="15" customHeight="1" x14ac:dyDescent="0.2">
      <c r="E4" s="148"/>
      <c r="F4" s="148"/>
      <c r="G4" s="148"/>
      <c r="H4" s="148"/>
      <c r="I4" s="148"/>
    </row>
    <row r="5" spans="2:9" ht="12.75" x14ac:dyDescent="0.2"/>
    <row r="6" spans="2:9" ht="12.75" x14ac:dyDescent="0.2">
      <c r="B6" s="115" t="s">
        <v>315</v>
      </c>
      <c r="E6" s="117" t="s">
        <v>1240</v>
      </c>
      <c r="F6" s="117" t="s">
        <v>1241</v>
      </c>
      <c r="G6" s="117" t="s">
        <v>1242</v>
      </c>
      <c r="H6" s="117" t="s">
        <v>1243</v>
      </c>
      <c r="I6" s="117" t="s">
        <v>1244</v>
      </c>
    </row>
    <row r="7" spans="2:9" ht="15" customHeight="1" x14ac:dyDescent="0.2">
      <c r="B7" s="115" t="s">
        <v>10</v>
      </c>
      <c r="E7" s="133" t="s">
        <v>1245</v>
      </c>
      <c r="F7" s="134" t="s">
        <v>230</v>
      </c>
      <c r="G7" s="133" t="s">
        <v>1246</v>
      </c>
      <c r="H7" s="133" t="s">
        <v>1247</v>
      </c>
      <c r="I7" s="133" t="s">
        <v>1248</v>
      </c>
    </row>
    <row r="8" spans="2:9" ht="15" customHeight="1" x14ac:dyDescent="0.2">
      <c r="B8" s="115" t="s">
        <v>11</v>
      </c>
      <c r="E8" s="236" t="s">
        <v>1245</v>
      </c>
      <c r="F8" s="233" t="s">
        <v>1249</v>
      </c>
      <c r="G8" s="236" t="s">
        <v>1246</v>
      </c>
      <c r="H8" s="236" t="s">
        <v>1250</v>
      </c>
      <c r="I8" s="236" t="s">
        <v>1248</v>
      </c>
    </row>
    <row r="9" spans="2:9" ht="15" customHeight="1" x14ac:dyDescent="0.2">
      <c r="B9" s="115" t="s">
        <v>13</v>
      </c>
      <c r="E9" s="234"/>
      <c r="F9" s="234"/>
      <c r="G9" s="234"/>
      <c r="H9" s="234"/>
      <c r="I9" s="234"/>
    </row>
    <row r="10" spans="2:9" ht="15" customHeight="1" x14ac:dyDescent="0.2">
      <c r="B10" s="115" t="s">
        <v>3407</v>
      </c>
      <c r="E10" s="238" t="s">
        <v>1245</v>
      </c>
      <c r="F10" s="237" t="s">
        <v>1251</v>
      </c>
      <c r="G10" s="238" t="s">
        <v>1246</v>
      </c>
      <c r="H10" s="238" t="s">
        <v>1252</v>
      </c>
      <c r="I10" s="238" t="s">
        <v>1248</v>
      </c>
    </row>
    <row r="11" spans="2:9" ht="15" customHeight="1" x14ac:dyDescent="0.2">
      <c r="B11" s="115" t="s">
        <v>1113</v>
      </c>
      <c r="E11" s="239"/>
      <c r="F11" s="239"/>
      <c r="G11" s="239"/>
      <c r="H11" s="239"/>
      <c r="I11" s="239"/>
    </row>
    <row r="12" spans="2:9" ht="15" customHeight="1" x14ac:dyDescent="0.2">
      <c r="B12" s="116" t="s">
        <v>63</v>
      </c>
      <c r="E12" s="236" t="s">
        <v>1245</v>
      </c>
      <c r="F12" s="233" t="s">
        <v>224</v>
      </c>
      <c r="G12" s="236" t="s">
        <v>1246</v>
      </c>
      <c r="H12" s="236" t="s">
        <v>1253</v>
      </c>
      <c r="I12" s="236" t="s">
        <v>1503</v>
      </c>
    </row>
    <row r="13" spans="2:9" ht="15" customHeight="1" x14ac:dyDescent="0.2">
      <c r="B13" s="120" t="s">
        <v>64</v>
      </c>
      <c r="E13" s="234"/>
      <c r="F13" s="234"/>
      <c r="G13" s="234"/>
      <c r="H13" s="234"/>
      <c r="I13" s="234"/>
    </row>
    <row r="14" spans="2:9" ht="15" customHeight="1" x14ac:dyDescent="0.2">
      <c r="B14" s="121" t="s">
        <v>65</v>
      </c>
      <c r="E14" s="234"/>
      <c r="F14" s="234"/>
      <c r="G14" s="234"/>
      <c r="H14" s="234"/>
      <c r="I14" s="234"/>
    </row>
    <row r="15" spans="2:9" ht="15" customHeight="1" x14ac:dyDescent="0.2">
      <c r="B15" s="113"/>
      <c r="E15" s="238" t="s">
        <v>1245</v>
      </c>
      <c r="F15" s="237" t="s">
        <v>1254</v>
      </c>
      <c r="G15" s="238" t="s">
        <v>1246</v>
      </c>
      <c r="H15" s="238" t="s">
        <v>1255</v>
      </c>
      <c r="I15" s="238" t="s">
        <v>1248</v>
      </c>
    </row>
    <row r="16" spans="2:9" ht="15" customHeight="1" x14ac:dyDescent="0.2">
      <c r="B16" s="113"/>
      <c r="E16" s="239"/>
      <c r="F16" s="239"/>
      <c r="G16" s="239"/>
      <c r="H16" s="239"/>
      <c r="I16" s="239"/>
    </row>
    <row r="17" spans="2:9" ht="15" customHeight="1" x14ac:dyDescent="0.2">
      <c r="B17" s="113"/>
      <c r="E17" s="65" t="s">
        <v>1245</v>
      </c>
      <c r="F17" s="64" t="s">
        <v>220</v>
      </c>
      <c r="G17" s="65" t="s">
        <v>1256</v>
      </c>
      <c r="H17" s="65" t="s">
        <v>1257</v>
      </c>
      <c r="I17" s="65" t="s">
        <v>1504</v>
      </c>
    </row>
    <row r="18" spans="2:9" ht="38.25" customHeight="1" x14ac:dyDescent="0.2">
      <c r="B18" s="113"/>
      <c r="E18" s="143" t="s">
        <v>1245</v>
      </c>
      <c r="F18" s="144" t="s">
        <v>2330</v>
      </c>
      <c r="G18" s="143" t="s">
        <v>1272</v>
      </c>
      <c r="H18" s="143" t="s">
        <v>2331</v>
      </c>
      <c r="I18" s="133" t="s">
        <v>1506</v>
      </c>
    </row>
    <row r="19" spans="2:9" ht="15" customHeight="1" x14ac:dyDescent="0.2">
      <c r="E19" s="123" t="s">
        <v>1245</v>
      </c>
      <c r="F19" s="124" t="s">
        <v>218</v>
      </c>
      <c r="G19" s="123" t="s">
        <v>1283</v>
      </c>
      <c r="H19" s="123" t="s">
        <v>1290</v>
      </c>
      <c r="I19" s="65" t="s">
        <v>1291</v>
      </c>
    </row>
    <row r="20" spans="2:9" ht="15" customHeight="1" x14ac:dyDescent="0.2">
      <c r="B20" s="113"/>
      <c r="E20" s="238" t="s">
        <v>1245</v>
      </c>
      <c r="F20" s="237" t="s">
        <v>228</v>
      </c>
      <c r="G20" s="238" t="s">
        <v>1246</v>
      </c>
      <c r="H20" s="238" t="s">
        <v>1258</v>
      </c>
      <c r="I20" s="238" t="s">
        <v>1248</v>
      </c>
    </row>
    <row r="21" spans="2:9" ht="15" customHeight="1" x14ac:dyDescent="0.2">
      <c r="B21" s="113"/>
      <c r="E21" s="239"/>
      <c r="F21" s="239"/>
      <c r="G21" s="239"/>
      <c r="H21" s="239"/>
      <c r="I21" s="239"/>
    </row>
    <row r="22" spans="2:9" ht="15" customHeight="1" x14ac:dyDescent="0.2">
      <c r="B22" s="113"/>
      <c r="E22" s="65" t="s">
        <v>1307</v>
      </c>
      <c r="F22" s="64" t="s">
        <v>1308</v>
      </c>
      <c r="G22" s="65" t="s">
        <v>1309</v>
      </c>
      <c r="H22" s="65" t="s">
        <v>1310</v>
      </c>
      <c r="I22" s="65" t="s">
        <v>1248</v>
      </c>
    </row>
    <row r="23" spans="2:9" ht="12.75" x14ac:dyDescent="0.2">
      <c r="E23" s="133" t="s">
        <v>1307</v>
      </c>
      <c r="F23" s="134" t="s">
        <v>3340</v>
      </c>
      <c r="G23" s="133" t="s">
        <v>1272</v>
      </c>
      <c r="H23" s="133" t="s">
        <v>3440</v>
      </c>
      <c r="I23" s="133" t="s">
        <v>1248</v>
      </c>
    </row>
    <row r="24" spans="2:9" ht="12.75" x14ac:dyDescent="0.2">
      <c r="E24" s="65" t="s">
        <v>1307</v>
      </c>
      <c r="F24" s="64" t="s">
        <v>3432</v>
      </c>
      <c r="G24" s="65" t="s">
        <v>1272</v>
      </c>
      <c r="H24" s="65" t="s">
        <v>3433</v>
      </c>
      <c r="I24" s="65" t="s">
        <v>1248</v>
      </c>
    </row>
    <row r="25" spans="2:9" ht="15" customHeight="1" x14ac:dyDescent="0.2">
      <c r="E25" s="133" t="s">
        <v>1307</v>
      </c>
      <c r="F25" s="134" t="s">
        <v>1311</v>
      </c>
      <c r="G25" s="133" t="s">
        <v>1312</v>
      </c>
      <c r="H25" s="133" t="s">
        <v>1313</v>
      </c>
      <c r="I25" s="133" t="s">
        <v>1248</v>
      </c>
    </row>
    <row r="26" spans="2:9" ht="38.25" customHeight="1" x14ac:dyDescent="0.2">
      <c r="E26" s="123" t="s">
        <v>1307</v>
      </c>
      <c r="F26" s="124" t="s">
        <v>257</v>
      </c>
      <c r="G26" s="123" t="s">
        <v>1272</v>
      </c>
      <c r="H26" s="123" t="s">
        <v>1314</v>
      </c>
      <c r="I26" s="65" t="s">
        <v>1509</v>
      </c>
    </row>
    <row r="27" spans="2:9" ht="25.5" customHeight="1" x14ac:dyDescent="0.2">
      <c r="E27" s="11" t="s">
        <v>1307</v>
      </c>
      <c r="F27" s="10" t="s">
        <v>1766</v>
      </c>
      <c r="G27" s="11" t="s">
        <v>1272</v>
      </c>
      <c r="H27" s="11" t="s">
        <v>1767</v>
      </c>
      <c r="I27" s="11" t="s">
        <v>1768</v>
      </c>
    </row>
    <row r="28" spans="2:9" ht="25.5" customHeight="1" x14ac:dyDescent="0.2">
      <c r="E28" s="54" t="s">
        <v>1307</v>
      </c>
      <c r="F28" s="53" t="s">
        <v>1769</v>
      </c>
      <c r="G28" s="54" t="s">
        <v>1272</v>
      </c>
      <c r="H28" s="54" t="s">
        <v>1770</v>
      </c>
      <c r="I28" s="54" t="s">
        <v>1768</v>
      </c>
    </row>
    <row r="29" spans="2:9" ht="38.25" customHeight="1" x14ac:dyDescent="0.2">
      <c r="E29" s="145" t="s">
        <v>1307</v>
      </c>
      <c r="F29" s="146" t="s">
        <v>259</v>
      </c>
      <c r="G29" s="145" t="s">
        <v>1272</v>
      </c>
      <c r="H29" s="145" t="s">
        <v>1315</v>
      </c>
      <c r="I29" s="132" t="s">
        <v>1510</v>
      </c>
    </row>
    <row r="30" spans="2:9" ht="25.5" customHeight="1" x14ac:dyDescent="0.2">
      <c r="E30" s="123" t="s">
        <v>1259</v>
      </c>
      <c r="F30" s="124" t="s">
        <v>1260</v>
      </c>
      <c r="G30" s="123" t="s">
        <v>1246</v>
      </c>
      <c r="H30" s="123" t="s">
        <v>1261</v>
      </c>
      <c r="I30" s="65" t="s">
        <v>1504</v>
      </c>
    </row>
    <row r="31" spans="2:9" ht="15" customHeight="1" x14ac:dyDescent="0.2">
      <c r="B31" s="113"/>
      <c r="E31" s="133" t="s">
        <v>1259</v>
      </c>
      <c r="F31" s="134" t="s">
        <v>1262</v>
      </c>
      <c r="G31" s="133" t="s">
        <v>1246</v>
      </c>
      <c r="H31" s="133" t="s">
        <v>1263</v>
      </c>
      <c r="I31" s="133" t="s">
        <v>1504</v>
      </c>
    </row>
    <row r="32" spans="2:9" ht="15" customHeight="1" x14ac:dyDescent="0.2">
      <c r="B32" s="113"/>
      <c r="E32" s="123" t="s">
        <v>1259</v>
      </c>
      <c r="F32" s="124" t="s">
        <v>193</v>
      </c>
      <c r="G32" s="123" t="s">
        <v>1246</v>
      </c>
      <c r="H32" s="123" t="s">
        <v>1264</v>
      </c>
      <c r="I32" s="65" t="s">
        <v>1504</v>
      </c>
    </row>
    <row r="33" spans="2:9" ht="51" customHeight="1" x14ac:dyDescent="0.2">
      <c r="B33" s="113"/>
      <c r="E33" s="143" t="s">
        <v>1259</v>
      </c>
      <c r="F33" s="144" t="s">
        <v>180</v>
      </c>
      <c r="G33" s="143" t="s">
        <v>1246</v>
      </c>
      <c r="H33" s="143" t="s">
        <v>1537</v>
      </c>
      <c r="I33" s="133" t="s">
        <v>1505</v>
      </c>
    </row>
    <row r="34" spans="2:9" ht="51" customHeight="1" x14ac:dyDescent="0.2">
      <c r="B34" s="113"/>
      <c r="E34" s="123" t="s">
        <v>1259</v>
      </c>
      <c r="F34" s="124" t="s">
        <v>189</v>
      </c>
      <c r="G34" s="123" t="s">
        <v>1246</v>
      </c>
      <c r="H34" s="123" t="s">
        <v>1265</v>
      </c>
      <c r="I34" s="65" t="s">
        <v>1505</v>
      </c>
    </row>
    <row r="35" spans="2:9" ht="51" customHeight="1" x14ac:dyDescent="0.2">
      <c r="B35" s="113"/>
      <c r="E35" s="143" t="s">
        <v>1259</v>
      </c>
      <c r="F35" s="144" t="s">
        <v>187</v>
      </c>
      <c r="G35" s="143" t="s">
        <v>1246</v>
      </c>
      <c r="H35" s="143" t="s">
        <v>1266</v>
      </c>
      <c r="I35" s="133" t="s">
        <v>1505</v>
      </c>
    </row>
    <row r="36" spans="2:9" ht="38.25" customHeight="1" x14ac:dyDescent="0.2">
      <c r="B36" s="113"/>
      <c r="E36" s="123" t="s">
        <v>1259</v>
      </c>
      <c r="F36" s="124" t="s">
        <v>184</v>
      </c>
      <c r="G36" s="123" t="s">
        <v>1246</v>
      </c>
      <c r="H36" s="123" t="s">
        <v>1538</v>
      </c>
      <c r="I36" s="65" t="s">
        <v>1248</v>
      </c>
    </row>
    <row r="37" spans="2:9" ht="25.5" customHeight="1" x14ac:dyDescent="0.2">
      <c r="B37" s="113"/>
      <c r="E37" s="143" t="s">
        <v>1259</v>
      </c>
      <c r="F37" s="144" t="s">
        <v>197</v>
      </c>
      <c r="G37" s="143" t="s">
        <v>1246</v>
      </c>
      <c r="H37" s="143" t="s">
        <v>1267</v>
      </c>
      <c r="I37" s="133" t="s">
        <v>1504</v>
      </c>
    </row>
    <row r="38" spans="2:9" ht="25.5" customHeight="1" x14ac:dyDescent="0.2">
      <c r="B38" s="113"/>
      <c r="E38" s="123" t="s">
        <v>1259</v>
      </c>
      <c r="F38" s="124" t="s">
        <v>186</v>
      </c>
      <c r="G38" s="123" t="s">
        <v>1256</v>
      </c>
      <c r="H38" s="123" t="s">
        <v>1268</v>
      </c>
      <c r="I38" s="65" t="s">
        <v>1248</v>
      </c>
    </row>
    <row r="39" spans="2:9" ht="25.5" customHeight="1" x14ac:dyDescent="0.2">
      <c r="B39" s="113"/>
      <c r="E39" s="143" t="s">
        <v>1259</v>
      </c>
      <c r="F39" s="144" t="s">
        <v>191</v>
      </c>
      <c r="G39" s="143" t="s">
        <v>1246</v>
      </c>
      <c r="H39" s="143" t="s">
        <v>1269</v>
      </c>
      <c r="I39" s="133" t="s">
        <v>1504</v>
      </c>
    </row>
    <row r="40" spans="2:9" ht="15" customHeight="1" x14ac:dyDescent="0.2">
      <c r="B40" s="113"/>
      <c r="E40" s="65" t="s">
        <v>1259</v>
      </c>
      <c r="F40" s="64" t="s">
        <v>203</v>
      </c>
      <c r="G40" s="65" t="s">
        <v>1270</v>
      </c>
      <c r="H40" s="65" t="s">
        <v>1271</v>
      </c>
      <c r="I40" s="65" t="s">
        <v>1504</v>
      </c>
    </row>
    <row r="41" spans="2:9" ht="25.5" customHeight="1" x14ac:dyDescent="0.2">
      <c r="B41" s="113"/>
      <c r="E41" s="143" t="s">
        <v>1259</v>
      </c>
      <c r="F41" s="144" t="s">
        <v>205</v>
      </c>
      <c r="G41" s="143" t="s">
        <v>1272</v>
      </c>
      <c r="H41" s="143" t="s">
        <v>1273</v>
      </c>
      <c r="I41" s="133" t="s">
        <v>1506</v>
      </c>
    </row>
    <row r="42" spans="2:9" ht="25.5" customHeight="1" x14ac:dyDescent="0.2">
      <c r="B42" s="113"/>
      <c r="E42" s="123" t="s">
        <v>1259</v>
      </c>
      <c r="F42" s="124" t="s">
        <v>1274</v>
      </c>
      <c r="G42" s="123" t="s">
        <v>1246</v>
      </c>
      <c r="H42" s="123" t="s">
        <v>1275</v>
      </c>
      <c r="I42" s="65" t="s">
        <v>1506</v>
      </c>
    </row>
    <row r="43" spans="2:9" ht="25.5" customHeight="1" x14ac:dyDescent="0.2">
      <c r="B43" s="113"/>
      <c r="E43" s="143" t="s">
        <v>1259</v>
      </c>
      <c r="F43" s="144" t="s">
        <v>200</v>
      </c>
      <c r="G43" s="143" t="s">
        <v>1246</v>
      </c>
      <c r="H43" s="143" t="s">
        <v>3192</v>
      </c>
      <c r="I43" s="133" t="s">
        <v>1248</v>
      </c>
    </row>
    <row r="44" spans="2:9" ht="25.5" customHeight="1" x14ac:dyDescent="0.2">
      <c r="B44" s="113"/>
      <c r="E44" s="123" t="s">
        <v>1259</v>
      </c>
      <c r="F44" s="124" t="s">
        <v>199</v>
      </c>
      <c r="G44" s="123" t="s">
        <v>1246</v>
      </c>
      <c r="H44" s="123" t="s">
        <v>1276</v>
      </c>
      <c r="I44" s="65" t="s">
        <v>1248</v>
      </c>
    </row>
    <row r="45" spans="2:9" ht="15" customHeight="1" x14ac:dyDescent="0.2">
      <c r="B45" s="113"/>
      <c r="E45" s="143" t="s">
        <v>1277</v>
      </c>
      <c r="F45" s="144" t="s">
        <v>290</v>
      </c>
      <c r="G45" s="143" t="s">
        <v>1278</v>
      </c>
      <c r="H45" s="143" t="s">
        <v>1279</v>
      </c>
      <c r="I45" s="133" t="s">
        <v>1248</v>
      </c>
    </row>
    <row r="46" spans="2:9" ht="25.5" customHeight="1" x14ac:dyDescent="0.2">
      <c r="B46" s="113"/>
      <c r="E46" s="123" t="s">
        <v>1277</v>
      </c>
      <c r="F46" s="124" t="s">
        <v>292</v>
      </c>
      <c r="G46" s="123" t="s">
        <v>1278</v>
      </c>
      <c r="H46" s="123" t="s">
        <v>1280</v>
      </c>
      <c r="I46" s="65" t="s">
        <v>1248</v>
      </c>
    </row>
    <row r="47" spans="2:9" ht="25.5" customHeight="1" x14ac:dyDescent="0.2">
      <c r="B47" s="113"/>
      <c r="E47" s="143" t="s">
        <v>1277</v>
      </c>
      <c r="F47" s="144" t="s">
        <v>294</v>
      </c>
      <c r="G47" s="143" t="s">
        <v>1246</v>
      </c>
      <c r="H47" s="143" t="s">
        <v>1539</v>
      </c>
      <c r="I47" s="133" t="s">
        <v>1248</v>
      </c>
    </row>
    <row r="48" spans="2:9" ht="25.5" customHeight="1" x14ac:dyDescent="0.2">
      <c r="B48" s="113"/>
      <c r="E48" s="123" t="s">
        <v>1277</v>
      </c>
      <c r="F48" s="124" t="s">
        <v>296</v>
      </c>
      <c r="G48" s="123" t="s">
        <v>1246</v>
      </c>
      <c r="H48" s="123" t="s">
        <v>1540</v>
      </c>
      <c r="I48" s="65" t="s">
        <v>1248</v>
      </c>
    </row>
    <row r="49" spans="2:9" ht="25.5" customHeight="1" x14ac:dyDescent="0.2">
      <c r="B49" s="113"/>
      <c r="E49" s="143" t="s">
        <v>1281</v>
      </c>
      <c r="F49" s="144" t="s">
        <v>238</v>
      </c>
      <c r="G49" s="143" t="s">
        <v>1246</v>
      </c>
      <c r="H49" s="143" t="s">
        <v>1282</v>
      </c>
      <c r="I49" s="133" t="s">
        <v>1248</v>
      </c>
    </row>
    <row r="50" spans="2:9" ht="15" customHeight="1" x14ac:dyDescent="0.2">
      <c r="B50" s="113"/>
      <c r="E50" s="123" t="s">
        <v>1281</v>
      </c>
      <c r="F50" s="124" t="s">
        <v>237</v>
      </c>
      <c r="G50" s="123" t="s">
        <v>1283</v>
      </c>
      <c r="H50" s="123" t="s">
        <v>1284</v>
      </c>
      <c r="I50" s="65" t="s">
        <v>1504</v>
      </c>
    </row>
    <row r="51" spans="2:9" ht="38.25" customHeight="1" x14ac:dyDescent="0.2">
      <c r="B51" s="113"/>
      <c r="E51" s="143" t="s">
        <v>1285</v>
      </c>
      <c r="F51" s="144" t="s">
        <v>208</v>
      </c>
      <c r="G51" s="143" t="s">
        <v>1283</v>
      </c>
      <c r="H51" s="143" t="s">
        <v>1286</v>
      </c>
      <c r="I51" s="133" t="s">
        <v>1248</v>
      </c>
    </row>
    <row r="52" spans="2:9" ht="15" customHeight="1" x14ac:dyDescent="0.2">
      <c r="B52" s="113"/>
      <c r="E52" s="123" t="s">
        <v>1285</v>
      </c>
      <c r="F52" s="124" t="s">
        <v>214</v>
      </c>
      <c r="G52" s="123" t="s">
        <v>1246</v>
      </c>
      <c r="H52" s="123" t="s">
        <v>1287</v>
      </c>
      <c r="I52" s="65" t="s">
        <v>1504</v>
      </c>
    </row>
    <row r="53" spans="2:9" ht="25.5" customHeight="1" x14ac:dyDescent="0.2">
      <c r="B53" s="113"/>
      <c r="E53" s="143" t="s">
        <v>1285</v>
      </c>
      <c r="F53" s="144" t="s">
        <v>250</v>
      </c>
      <c r="G53" s="143" t="s">
        <v>1246</v>
      </c>
      <c r="H53" s="143" t="s">
        <v>1288</v>
      </c>
      <c r="I53" s="133" t="s">
        <v>1248</v>
      </c>
    </row>
    <row r="54" spans="2:9" ht="15" customHeight="1" x14ac:dyDescent="0.2">
      <c r="B54" s="113"/>
      <c r="E54" s="65" t="s">
        <v>1285</v>
      </c>
      <c r="F54" s="64" t="s">
        <v>267</v>
      </c>
      <c r="G54" s="65" t="s">
        <v>1246</v>
      </c>
      <c r="H54" s="65" t="s">
        <v>1289</v>
      </c>
      <c r="I54" s="65" t="s">
        <v>1248</v>
      </c>
    </row>
    <row r="55" spans="2:9" ht="25.5" customHeight="1" x14ac:dyDescent="0.2">
      <c r="B55" s="113"/>
      <c r="E55" s="143" t="s">
        <v>1285</v>
      </c>
      <c r="F55" s="144" t="s">
        <v>252</v>
      </c>
      <c r="G55" s="143" t="s">
        <v>1292</v>
      </c>
      <c r="H55" s="143" t="s">
        <v>1293</v>
      </c>
      <c r="I55" s="133" t="s">
        <v>1248</v>
      </c>
    </row>
    <row r="56" spans="2:9" ht="25.5" customHeight="1" x14ac:dyDescent="0.2">
      <c r="E56" s="123" t="s">
        <v>268</v>
      </c>
      <c r="F56" s="124" t="s">
        <v>261</v>
      </c>
      <c r="G56" s="123" t="s">
        <v>1272</v>
      </c>
      <c r="H56" s="123" t="s">
        <v>1294</v>
      </c>
      <c r="I56" s="65" t="s">
        <v>1507</v>
      </c>
    </row>
    <row r="57" spans="2:9" ht="25.5" customHeight="1" x14ac:dyDescent="0.2">
      <c r="E57" s="143" t="s">
        <v>268</v>
      </c>
      <c r="F57" s="144" t="s">
        <v>282</v>
      </c>
      <c r="G57" s="143" t="s">
        <v>1246</v>
      </c>
      <c r="H57" s="143" t="s">
        <v>1295</v>
      </c>
      <c r="I57" s="133" t="s">
        <v>1248</v>
      </c>
    </row>
    <row r="58" spans="2:9" ht="25.5" customHeight="1" x14ac:dyDescent="0.2">
      <c r="E58" s="123" t="s">
        <v>268</v>
      </c>
      <c r="F58" s="124" t="s">
        <v>270</v>
      </c>
      <c r="G58" s="123" t="s">
        <v>1246</v>
      </c>
      <c r="H58" s="123" t="s">
        <v>1296</v>
      </c>
      <c r="I58" s="65" t="s">
        <v>1248</v>
      </c>
    </row>
    <row r="59" spans="2:9" ht="15" customHeight="1" x14ac:dyDescent="0.2">
      <c r="E59" s="143" t="s">
        <v>268</v>
      </c>
      <c r="F59" s="144" t="s">
        <v>274</v>
      </c>
      <c r="G59" s="143" t="s">
        <v>1246</v>
      </c>
      <c r="H59" s="143" t="s">
        <v>1297</v>
      </c>
      <c r="I59" s="133" t="s">
        <v>1248</v>
      </c>
    </row>
    <row r="60" spans="2:9" ht="15" customHeight="1" x14ac:dyDescent="0.2">
      <c r="E60" s="123" t="s">
        <v>268</v>
      </c>
      <c r="F60" s="124" t="s">
        <v>276</v>
      </c>
      <c r="G60" s="123" t="s">
        <v>1272</v>
      </c>
      <c r="H60" s="123" t="s">
        <v>1298</v>
      </c>
      <c r="I60" s="65" t="s">
        <v>1248</v>
      </c>
    </row>
    <row r="61" spans="2:9" ht="25.5" customHeight="1" x14ac:dyDescent="0.2">
      <c r="E61" s="143" t="s">
        <v>268</v>
      </c>
      <c r="F61" s="144" t="s">
        <v>1299</v>
      </c>
      <c r="G61" s="143" t="s">
        <v>1272</v>
      </c>
      <c r="H61" s="143" t="s">
        <v>1300</v>
      </c>
      <c r="I61" s="133" t="s">
        <v>1508</v>
      </c>
    </row>
    <row r="62" spans="2:9" ht="25.5" customHeight="1" x14ac:dyDescent="0.2">
      <c r="E62" s="123" t="s">
        <v>268</v>
      </c>
      <c r="F62" s="124" t="s">
        <v>1301</v>
      </c>
      <c r="G62" s="123" t="s">
        <v>1272</v>
      </c>
      <c r="H62" s="123" t="s">
        <v>1302</v>
      </c>
      <c r="I62" s="65" t="s">
        <v>1508</v>
      </c>
    </row>
    <row r="63" spans="2:9" ht="25.5" customHeight="1" x14ac:dyDescent="0.2">
      <c r="E63" s="143" t="s">
        <v>268</v>
      </c>
      <c r="F63" s="144" t="s">
        <v>284</v>
      </c>
      <c r="G63" s="143" t="s">
        <v>1246</v>
      </c>
      <c r="H63" s="143" t="s">
        <v>1303</v>
      </c>
      <c r="I63" s="133" t="s">
        <v>1248</v>
      </c>
    </row>
    <row r="64" spans="2:9" ht="25.5" customHeight="1" x14ac:dyDescent="0.2">
      <c r="E64" s="123" t="s">
        <v>268</v>
      </c>
      <c r="F64" s="124" t="s">
        <v>286</v>
      </c>
      <c r="G64" s="123" t="s">
        <v>1246</v>
      </c>
      <c r="H64" s="123" t="s">
        <v>1304</v>
      </c>
      <c r="I64" s="65" t="s">
        <v>1248</v>
      </c>
    </row>
    <row r="65" spans="5:9" ht="15" customHeight="1" x14ac:dyDescent="0.2">
      <c r="E65" s="143" t="s">
        <v>268</v>
      </c>
      <c r="F65" s="144" t="s">
        <v>287</v>
      </c>
      <c r="G65" s="143" t="s">
        <v>1246</v>
      </c>
      <c r="H65" s="143" t="s">
        <v>2927</v>
      </c>
      <c r="I65" s="133" t="s">
        <v>1248</v>
      </c>
    </row>
    <row r="66" spans="5:9" ht="25.5" customHeight="1" x14ac:dyDescent="0.2">
      <c r="E66" s="123" t="s">
        <v>268</v>
      </c>
      <c r="F66" s="124" t="s">
        <v>280</v>
      </c>
      <c r="G66" s="123" t="s">
        <v>1246</v>
      </c>
      <c r="H66" s="123" t="s">
        <v>1305</v>
      </c>
      <c r="I66" s="65" t="s">
        <v>1248</v>
      </c>
    </row>
    <row r="67" spans="5:9" ht="25.5" customHeight="1" x14ac:dyDescent="0.2">
      <c r="E67" s="143" t="s">
        <v>268</v>
      </c>
      <c r="F67" s="144" t="s">
        <v>242</v>
      </c>
      <c r="G67" s="143" t="s">
        <v>1246</v>
      </c>
      <c r="H67" s="143" t="s">
        <v>1306</v>
      </c>
      <c r="I67" s="133" t="s">
        <v>1248</v>
      </c>
    </row>
    <row r="68" spans="5:9" ht="15" customHeight="1" x14ac:dyDescent="0.2">
      <c r="E68" s="123" t="s">
        <v>1316</v>
      </c>
      <c r="F68" s="124" t="s">
        <v>1317</v>
      </c>
      <c r="G68" s="123" t="s">
        <v>1246</v>
      </c>
      <c r="H68" s="123" t="s">
        <v>1318</v>
      </c>
      <c r="I68" s="65" t="s">
        <v>1248</v>
      </c>
    </row>
    <row r="69" spans="5:9" ht="15" customHeight="1" x14ac:dyDescent="0.2">
      <c r="E69" s="133" t="s">
        <v>1316</v>
      </c>
      <c r="F69" s="134" t="s">
        <v>244</v>
      </c>
      <c r="G69" s="133" t="s">
        <v>1246</v>
      </c>
      <c r="H69" s="133" t="s">
        <v>1319</v>
      </c>
      <c r="I69" s="133" t="s">
        <v>1248</v>
      </c>
    </row>
    <row r="70" spans="5:9" ht="25.5" customHeight="1" x14ac:dyDescent="0.2">
      <c r="E70" s="123" t="s">
        <v>1316</v>
      </c>
      <c r="F70" s="124" t="s">
        <v>263</v>
      </c>
      <c r="G70" s="123" t="s">
        <v>1246</v>
      </c>
      <c r="H70" s="123" t="s">
        <v>1541</v>
      </c>
      <c r="I70" s="65" t="s">
        <v>1248</v>
      </c>
    </row>
    <row r="71" spans="5:9" ht="25.5" customHeight="1" x14ac:dyDescent="0.2">
      <c r="E71" s="143" t="s">
        <v>1316</v>
      </c>
      <c r="F71" s="144" t="s">
        <v>265</v>
      </c>
      <c r="G71" s="143" t="s">
        <v>1246</v>
      </c>
      <c r="H71" s="143" t="s">
        <v>1320</v>
      </c>
      <c r="I71" s="133" t="s">
        <v>1248</v>
      </c>
    </row>
    <row r="72" spans="5:9" ht="25.5" customHeight="1" x14ac:dyDescent="0.2">
      <c r="E72" s="123" t="s">
        <v>1316</v>
      </c>
      <c r="F72" s="124" t="s">
        <v>1321</v>
      </c>
      <c r="G72" s="123" t="s">
        <v>1246</v>
      </c>
      <c r="H72" s="123" t="s">
        <v>1322</v>
      </c>
      <c r="I72" s="65" t="s">
        <v>1504</v>
      </c>
    </row>
    <row r="73" spans="5:9" ht="25.5" customHeight="1" x14ac:dyDescent="0.2">
      <c r="E73" s="143" t="s">
        <v>1316</v>
      </c>
      <c r="F73" s="144" t="s">
        <v>1323</v>
      </c>
      <c r="G73" s="143" t="s">
        <v>1246</v>
      </c>
      <c r="H73" s="143" t="s">
        <v>1324</v>
      </c>
      <c r="I73" s="133" t="s">
        <v>1504</v>
      </c>
    </row>
    <row r="74" spans="5:9" ht="25.5" customHeight="1" x14ac:dyDescent="0.2">
      <c r="E74" s="123" t="s">
        <v>1316</v>
      </c>
      <c r="F74" s="124" t="s">
        <v>1325</v>
      </c>
      <c r="G74" s="123" t="s">
        <v>1246</v>
      </c>
      <c r="H74" s="123" t="s">
        <v>1326</v>
      </c>
      <c r="I74" s="65" t="s">
        <v>1504</v>
      </c>
    </row>
    <row r="75" spans="5:9" ht="25.5" customHeight="1" x14ac:dyDescent="0.2">
      <c r="E75" s="143" t="s">
        <v>1316</v>
      </c>
      <c r="F75" s="144" t="s">
        <v>313</v>
      </c>
      <c r="G75" s="143" t="s">
        <v>1327</v>
      </c>
      <c r="H75" s="143" t="s">
        <v>1542</v>
      </c>
      <c r="I75" s="133" t="s">
        <v>1248</v>
      </c>
    </row>
    <row r="76" spans="5:9" ht="15" customHeight="1" x14ac:dyDescent="0.2">
      <c r="E76" s="123" t="s">
        <v>1328</v>
      </c>
      <c r="F76" s="124" t="s">
        <v>1329</v>
      </c>
      <c r="G76" s="123" t="s">
        <v>1246</v>
      </c>
      <c r="H76" s="123" t="s">
        <v>1330</v>
      </c>
      <c r="I76" s="65" t="s">
        <v>1248</v>
      </c>
    </row>
    <row r="77" spans="5:9" ht="15" customHeight="1" x14ac:dyDescent="0.2">
      <c r="E77" s="143" t="s">
        <v>1328</v>
      </c>
      <c r="F77" s="144" t="s">
        <v>1331</v>
      </c>
      <c r="G77" s="143" t="s">
        <v>1246</v>
      </c>
      <c r="H77" s="143" t="s">
        <v>1332</v>
      </c>
      <c r="I77" s="133" t="s">
        <v>1248</v>
      </c>
    </row>
    <row r="78" spans="5:9" ht="15" customHeight="1" x14ac:dyDescent="0.2">
      <c r="E78" s="65" t="s">
        <v>1328</v>
      </c>
      <c r="F78" s="64" t="s">
        <v>302</v>
      </c>
      <c r="G78" s="65" t="s">
        <v>1246</v>
      </c>
      <c r="H78" s="65" t="s">
        <v>1333</v>
      </c>
      <c r="I78" s="65" t="s">
        <v>1248</v>
      </c>
    </row>
    <row r="79" spans="5:9" ht="25.5" customHeight="1" x14ac:dyDescent="0.2">
      <c r="E79" s="143" t="s">
        <v>1328</v>
      </c>
      <c r="F79" s="144" t="s">
        <v>304</v>
      </c>
      <c r="G79" s="143" t="s">
        <v>1246</v>
      </c>
      <c r="H79" s="143" t="s">
        <v>1334</v>
      </c>
      <c r="I79" s="133" t="s">
        <v>1248</v>
      </c>
    </row>
    <row r="80" spans="5:9" ht="25.5" customHeight="1" x14ac:dyDescent="0.2">
      <c r="E80" s="123" t="s">
        <v>1328</v>
      </c>
      <c r="F80" s="124" t="s">
        <v>1335</v>
      </c>
      <c r="G80" s="123" t="s">
        <v>1246</v>
      </c>
      <c r="H80" s="123" t="s">
        <v>1336</v>
      </c>
      <c r="I80" s="65" t="s">
        <v>1248</v>
      </c>
    </row>
    <row r="81" spans="5:9" ht="25.5" customHeight="1" x14ac:dyDescent="0.2">
      <c r="E81" s="143" t="s">
        <v>1328</v>
      </c>
      <c r="F81" s="144" t="s">
        <v>1337</v>
      </c>
      <c r="G81" s="143" t="s">
        <v>1270</v>
      </c>
      <c r="H81" s="143" t="s">
        <v>1338</v>
      </c>
      <c r="I81" s="133" t="s">
        <v>1511</v>
      </c>
    </row>
    <row r="82" spans="5:9" ht="25.5" customHeight="1" x14ac:dyDescent="0.2">
      <c r="E82" s="123" t="s">
        <v>1328</v>
      </c>
      <c r="F82" s="124" t="s">
        <v>306</v>
      </c>
      <c r="G82" s="123" t="s">
        <v>1246</v>
      </c>
      <c r="H82" s="123" t="s">
        <v>1339</v>
      </c>
      <c r="I82" s="65" t="s">
        <v>1248</v>
      </c>
    </row>
    <row r="83" spans="5:9" ht="25.5" customHeight="1" x14ac:dyDescent="0.2">
      <c r="E83" s="143" t="s">
        <v>378</v>
      </c>
      <c r="F83" s="144" t="s">
        <v>233</v>
      </c>
      <c r="G83" s="143" t="s">
        <v>1246</v>
      </c>
      <c r="H83" s="143" t="s">
        <v>1340</v>
      </c>
      <c r="I83" s="133" t="s">
        <v>1248</v>
      </c>
    </row>
    <row r="84" spans="5:9" ht="25.5" customHeight="1" x14ac:dyDescent="0.2">
      <c r="E84" s="123" t="s">
        <v>378</v>
      </c>
      <c r="F84" s="124" t="s">
        <v>246</v>
      </c>
      <c r="G84" s="123" t="s">
        <v>3193</v>
      </c>
      <c r="H84" s="123" t="s">
        <v>1341</v>
      </c>
      <c r="I84" s="65" t="s">
        <v>1248</v>
      </c>
    </row>
    <row r="85" spans="5:9" ht="15" customHeight="1" x14ac:dyDescent="0.2">
      <c r="E85" s="143" t="s">
        <v>378</v>
      </c>
      <c r="F85" s="144" t="s">
        <v>2017</v>
      </c>
      <c r="G85" s="143" t="s">
        <v>1272</v>
      </c>
      <c r="H85" s="143" t="s">
        <v>3194</v>
      </c>
      <c r="I85" s="133" t="s">
        <v>1248</v>
      </c>
    </row>
    <row r="86" spans="5:9" ht="25.5" customHeight="1" x14ac:dyDescent="0.2">
      <c r="E86" s="123" t="s">
        <v>1342</v>
      </c>
      <c r="F86" s="124" t="s">
        <v>308</v>
      </c>
      <c r="G86" s="123" t="s">
        <v>1246</v>
      </c>
      <c r="H86" s="123" t="s">
        <v>1343</v>
      </c>
      <c r="I86" s="65" t="s">
        <v>1248</v>
      </c>
    </row>
    <row r="87" spans="5:9" ht="15" customHeight="1" x14ac:dyDescent="0.2">
      <c r="E87" s="143" t="s">
        <v>1342</v>
      </c>
      <c r="F87" s="144" t="s">
        <v>310</v>
      </c>
      <c r="G87" s="143" t="s">
        <v>1246</v>
      </c>
      <c r="H87" s="143" t="s">
        <v>1344</v>
      </c>
      <c r="I87" s="133" t="s">
        <v>1248</v>
      </c>
    </row>
    <row r="88" spans="5:9" ht="25.5" customHeight="1" x14ac:dyDescent="0.2">
      <c r="E88" s="123" t="s">
        <v>1345</v>
      </c>
      <c r="F88" s="124" t="s">
        <v>248</v>
      </c>
      <c r="G88" s="123" t="s">
        <v>1270</v>
      </c>
      <c r="H88" s="123" t="s">
        <v>1346</v>
      </c>
      <c r="I88" s="65" t="s">
        <v>1248</v>
      </c>
    </row>
    <row r="89" spans="5:9" ht="25.5" customHeight="1" x14ac:dyDescent="0.2">
      <c r="E89" s="130" t="s">
        <v>1345</v>
      </c>
      <c r="F89" s="131" t="s">
        <v>311</v>
      </c>
      <c r="G89" s="130" t="s">
        <v>1270</v>
      </c>
      <c r="H89" s="130" t="s">
        <v>1347</v>
      </c>
      <c r="I89" s="11" t="s">
        <v>1511</v>
      </c>
    </row>
    <row r="90" spans="5:9" ht="12.75" x14ac:dyDescent="0.2">
      <c r="E90" s="122"/>
      <c r="F90" s="122"/>
      <c r="G90" s="122"/>
      <c r="H90" s="122"/>
      <c r="I90" s="122"/>
    </row>
    <row r="91" spans="5:9" ht="15" customHeight="1" x14ac:dyDescent="0.2">
      <c r="E91" s="122"/>
      <c r="F91" s="122"/>
      <c r="G91" s="122"/>
      <c r="H91" s="122"/>
      <c r="I91" s="122"/>
    </row>
    <row r="92" spans="5:9" ht="15" customHeight="1" x14ac:dyDescent="0.2">
      <c r="E92" s="122"/>
      <c r="F92" s="122"/>
      <c r="G92" s="122"/>
      <c r="H92" s="122"/>
      <c r="I92" s="122"/>
    </row>
  </sheetData>
  <mergeCells count="26">
    <mergeCell ref="H15:H16"/>
    <mergeCell ref="H8:H9"/>
    <mergeCell ref="H10:H11"/>
    <mergeCell ref="E15:E16"/>
    <mergeCell ref="G15:G16"/>
    <mergeCell ref="E12:E14"/>
    <mergeCell ref="E8:E9"/>
    <mergeCell ref="G8:G9"/>
    <mergeCell ref="E10:E11"/>
    <mergeCell ref="G10:G11"/>
    <mergeCell ref="E3:I4"/>
    <mergeCell ref="E20:E21"/>
    <mergeCell ref="H12:H14"/>
    <mergeCell ref="I12:I14"/>
    <mergeCell ref="I15:I16"/>
    <mergeCell ref="G20:G21"/>
    <mergeCell ref="I20:I21"/>
    <mergeCell ref="H20:H21"/>
    <mergeCell ref="F8:F9"/>
    <mergeCell ref="G12:G14"/>
    <mergeCell ref="F15:F16"/>
    <mergeCell ref="F10:F11"/>
    <mergeCell ref="F20:F21"/>
    <mergeCell ref="I8:I9"/>
    <mergeCell ref="I10:I11"/>
    <mergeCell ref="F12:F14"/>
  </mergeCells>
  <hyperlinks>
    <hyperlink ref="B2" location="'Start here'!E6" tooltip="back to Start here" display="⌂  CompBot Tutorial" xr:uid="{00000000-0004-0000-1A00-000000000000}"/>
    <hyperlink ref="B6" location="'Start here'!E6" display="▸  START" xr:uid="{0F4A400A-78C5-471C-857E-958CC39E9C6F}"/>
    <hyperlink ref="B7" location="'C1 Your machine'!E6" display="▸  COMMANDS" xr:uid="{5B9A2CA7-79B1-4E12-9982-17ACAF786324}"/>
    <hyperlink ref="B8" location="'Demo maps'!E6" display="▸  DEMO SHEETS" xr:uid="{55B83A66-CD07-4DC4-B156-608BF21650D1}"/>
    <hyperlink ref="B9" location="'Level 1 Basics'!E6" display="▸  LAMBDAS" xr:uid="{0F79507A-C9BE-4B3A-B43F-99C1B886A8E3}"/>
    <hyperlink ref="B11" location="'Command cheat sheet'!E6" display="▾  REFERENCE" xr:uid="{81D12254-DFCA-4694-BBEB-F1DB109EE10F}"/>
    <hyperlink ref="B12" location="'Command cheat sheet'!E6" display="Command cheat sheet" xr:uid="{4B9E3ADB-3811-405A-AD4C-62AE6CA40092}"/>
    <hyperlink ref="B14" location="'What changed'!E6" display="What changed" xr:uid="{B2E644A6-1F05-4F68-A7A7-AC113D71F342}"/>
    <hyperlink ref="B10" location="'I1 The Alves Method'!E6" display="▸  INSIDER" xr:uid="{60C29308-CA42-485F-90FE-951A226BAD8F}"/>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tabColor rgb="FF6B7A8C"/>
  </sheetPr>
  <dimension ref="A1:L78"/>
  <sheetViews>
    <sheetView showGridLines="0" workbookViewId="0">
      <pane xSplit="3" ySplit="5" topLeftCell="D6" activePane="bottomRight" state="frozen"/>
      <selection pane="topRight"/>
      <selection pane="bottomLeft"/>
      <selection pane="bottomRight" activeCell="D6" sqref="D6"/>
    </sheetView>
  </sheetViews>
  <sheetFormatPr defaultRowHeight="15" customHeight="1" x14ac:dyDescent="0.2"/>
  <cols>
    <col min="1" max="1" width="1.5" style="49" customWidth="1"/>
    <col min="2" max="2" width="27" style="49" customWidth="1"/>
    <col min="3" max="3" width="1.5" style="49" customWidth="1"/>
    <col min="4" max="4" width="2.5" customWidth="1"/>
    <col min="5" max="5" width="40" customWidth="1"/>
    <col min="6" max="6" width="70" customWidth="1"/>
  </cols>
  <sheetData>
    <row r="1" spans="2:12" ht="12.75" x14ac:dyDescent="0.2"/>
    <row r="2" spans="2:12" ht="30" customHeight="1" x14ac:dyDescent="0.3">
      <c r="B2" s="50" t="s">
        <v>0</v>
      </c>
      <c r="E2" s="3" t="s">
        <v>65</v>
      </c>
    </row>
    <row r="3" spans="2:12" ht="15" customHeight="1" x14ac:dyDescent="0.2">
      <c r="B3" s="51" t="s">
        <v>2</v>
      </c>
      <c r="E3" s="148" t="s">
        <v>3450</v>
      </c>
      <c r="F3" s="148"/>
      <c r="G3" s="148"/>
      <c r="H3" s="148"/>
      <c r="I3" s="148"/>
      <c r="J3" s="148"/>
      <c r="K3" s="148"/>
      <c r="L3" s="148"/>
    </row>
    <row r="4" spans="2:12" ht="15" customHeight="1" x14ac:dyDescent="0.2">
      <c r="E4" s="241" t="s">
        <v>3308</v>
      </c>
      <c r="F4" s="148"/>
      <c r="G4" s="148"/>
      <c r="H4" s="148"/>
      <c r="I4" s="148"/>
      <c r="J4" s="148"/>
      <c r="K4" s="148"/>
      <c r="L4" s="148"/>
    </row>
    <row r="6" spans="2:12" ht="15" customHeight="1" x14ac:dyDescent="0.2">
      <c r="B6" s="115" t="s">
        <v>315</v>
      </c>
      <c r="E6" s="240" t="s">
        <v>3485</v>
      </c>
      <c r="F6" s="148"/>
      <c r="G6" s="148"/>
      <c r="H6" s="148"/>
      <c r="I6" s="148"/>
      <c r="J6" s="148"/>
      <c r="K6" s="148"/>
      <c r="L6" s="148"/>
    </row>
    <row r="7" spans="2:12" ht="15" customHeight="1" x14ac:dyDescent="0.2">
      <c r="B7" s="115" t="s">
        <v>10</v>
      </c>
    </row>
    <row r="8" spans="2:12" ht="25.5" customHeight="1" x14ac:dyDescent="0.2">
      <c r="B8" s="115" t="s">
        <v>11</v>
      </c>
      <c r="E8" s="152" t="s">
        <v>3486</v>
      </c>
      <c r="F8" s="177"/>
    </row>
    <row r="9" spans="2:12" ht="15" customHeight="1" x14ac:dyDescent="0.2">
      <c r="B9" s="115" t="s">
        <v>13</v>
      </c>
    </row>
    <row r="10" spans="2:12" ht="25.5" customHeight="1" x14ac:dyDescent="0.2">
      <c r="B10" s="115" t="s">
        <v>3407</v>
      </c>
      <c r="E10" s="152" t="s">
        <v>3487</v>
      </c>
      <c r="F10" s="177"/>
    </row>
    <row r="11" spans="2:12" ht="15" customHeight="1" x14ac:dyDescent="0.2">
      <c r="B11" s="115" t="s">
        <v>1113</v>
      </c>
    </row>
    <row r="12" spans="2:12" ht="25.5" customHeight="1" x14ac:dyDescent="0.2">
      <c r="B12" s="116" t="s">
        <v>63</v>
      </c>
      <c r="E12" s="152" t="s">
        <v>3488</v>
      </c>
      <c r="F12" s="177"/>
    </row>
    <row r="13" spans="2:12" ht="15" customHeight="1" x14ac:dyDescent="0.2">
      <c r="B13" s="115" t="s">
        <v>1113</v>
      </c>
    </row>
    <row r="14" spans="2:12" ht="15" customHeight="1" x14ac:dyDescent="0.2">
      <c r="B14" s="116" t="s">
        <v>63</v>
      </c>
    </row>
    <row r="15" spans="2:12" ht="15" customHeight="1" x14ac:dyDescent="0.2">
      <c r="B15" s="116" t="s">
        <v>64</v>
      </c>
      <c r="E15" s="240" t="s">
        <v>3444</v>
      </c>
      <c r="F15" s="148"/>
      <c r="G15" s="148"/>
      <c r="H15" s="148"/>
      <c r="I15" s="148"/>
      <c r="J15" s="148"/>
      <c r="K15" s="148"/>
      <c r="L15" s="148"/>
    </row>
    <row r="16" spans="2:12" ht="15" customHeight="1" x14ac:dyDescent="0.2">
      <c r="B16" s="120" t="s">
        <v>65</v>
      </c>
    </row>
    <row r="17" spans="2:12" ht="15" customHeight="1" x14ac:dyDescent="0.2">
      <c r="B17" s="119"/>
      <c r="E17" s="152" t="s">
        <v>3445</v>
      </c>
      <c r="F17" s="177"/>
    </row>
    <row r="18" spans="2:12" ht="15" customHeight="1" x14ac:dyDescent="0.2">
      <c r="B18" s="114"/>
    </row>
    <row r="19" spans="2:12" ht="25.5" customHeight="1" x14ac:dyDescent="0.2">
      <c r="B19" s="113"/>
      <c r="E19" s="152" t="s">
        <v>3446</v>
      </c>
      <c r="F19" s="177"/>
    </row>
    <row r="20" spans="2:12" ht="15" customHeight="1" x14ac:dyDescent="0.2">
      <c r="B20" s="113"/>
    </row>
    <row r="21" spans="2:12" ht="15" customHeight="1" x14ac:dyDescent="0.2">
      <c r="B21" s="113"/>
      <c r="E21" s="152" t="s">
        <v>3447</v>
      </c>
      <c r="F21" s="177"/>
    </row>
    <row r="22" spans="2:12" ht="15" customHeight="1" x14ac:dyDescent="0.2">
      <c r="B22" s="113"/>
    </row>
    <row r="23" spans="2:12" ht="15" customHeight="1" x14ac:dyDescent="0.2">
      <c r="B23" s="113"/>
      <c r="E23" s="152" t="s">
        <v>3448</v>
      </c>
      <c r="F23" s="177"/>
    </row>
    <row r="24" spans="2:12" ht="25.5" customHeight="1" x14ac:dyDescent="0.2">
      <c r="B24" s="113"/>
    </row>
    <row r="25" spans="2:12" ht="15" customHeight="1" x14ac:dyDescent="0.2">
      <c r="B25" s="113"/>
    </row>
    <row r="26" spans="2:12" ht="25.5" customHeight="1" x14ac:dyDescent="0.2">
      <c r="B26" s="113"/>
      <c r="E26" s="240" t="s">
        <v>3436</v>
      </c>
      <c r="F26" s="148"/>
      <c r="G26" s="148"/>
      <c r="H26" s="148"/>
      <c r="I26" s="148"/>
      <c r="J26" s="148"/>
      <c r="K26" s="148"/>
      <c r="L26" s="148"/>
    </row>
    <row r="27" spans="2:12" ht="15" customHeight="1" x14ac:dyDescent="0.2">
      <c r="B27" s="113"/>
    </row>
    <row r="28" spans="2:12" ht="25.5" customHeight="1" x14ac:dyDescent="0.2">
      <c r="B28" s="113"/>
      <c r="E28" s="152" t="s">
        <v>3437</v>
      </c>
      <c r="F28" s="177"/>
    </row>
    <row r="29" spans="2:12" ht="15" customHeight="1" x14ac:dyDescent="0.2">
      <c r="B29" s="113"/>
    </row>
    <row r="30" spans="2:12" ht="15" customHeight="1" x14ac:dyDescent="0.2">
      <c r="B30" s="113"/>
      <c r="E30" s="152" t="s">
        <v>3411</v>
      </c>
      <c r="F30" s="177"/>
    </row>
    <row r="31" spans="2:12" ht="15" customHeight="1" x14ac:dyDescent="0.2">
      <c r="B31" s="113"/>
    </row>
    <row r="32" spans="2:12" ht="15" customHeight="1" x14ac:dyDescent="0.2">
      <c r="B32" s="113"/>
      <c r="E32" s="152" t="s">
        <v>3439</v>
      </c>
      <c r="F32" s="177"/>
    </row>
    <row r="33" spans="2:12" ht="25.5" customHeight="1" x14ac:dyDescent="0.2">
      <c r="B33" s="113"/>
    </row>
    <row r="34" spans="2:12" ht="15" customHeight="1" x14ac:dyDescent="0.2">
      <c r="B34" s="113"/>
      <c r="E34" s="152" t="s">
        <v>3438</v>
      </c>
      <c r="F34" s="177"/>
    </row>
    <row r="35" spans="2:12" ht="38.25" customHeight="1" x14ac:dyDescent="0.2">
      <c r="B35" s="113"/>
    </row>
    <row r="36" spans="2:12" ht="15" customHeight="1" x14ac:dyDescent="0.2">
      <c r="B36" s="113"/>
    </row>
    <row r="37" spans="2:12" ht="15" customHeight="1" x14ac:dyDescent="0.2">
      <c r="B37" s="113"/>
      <c r="E37" s="240" t="s">
        <v>3412</v>
      </c>
      <c r="F37" s="148"/>
      <c r="G37" s="148"/>
      <c r="H37" s="148"/>
      <c r="I37" s="148"/>
      <c r="J37" s="148"/>
      <c r="K37" s="148"/>
      <c r="L37" s="148"/>
    </row>
    <row r="38" spans="2:12" ht="15" customHeight="1" x14ac:dyDescent="0.2">
      <c r="B38" s="113"/>
    </row>
    <row r="39" spans="2:12" ht="15" customHeight="1" x14ac:dyDescent="0.2">
      <c r="B39" s="113"/>
      <c r="E39" s="152" t="s">
        <v>3413</v>
      </c>
      <c r="F39" s="177"/>
    </row>
    <row r="40" spans="2:12" ht="25.5" customHeight="1" x14ac:dyDescent="0.2">
      <c r="B40" s="113"/>
    </row>
    <row r="41" spans="2:12" ht="15" customHeight="1" x14ac:dyDescent="0.2">
      <c r="B41" s="113"/>
    </row>
    <row r="42" spans="2:12" ht="25.5" customHeight="1" x14ac:dyDescent="0.2">
      <c r="B42" s="113"/>
      <c r="E42" s="240" t="s">
        <v>3414</v>
      </c>
      <c r="F42" s="148"/>
      <c r="G42" s="148"/>
      <c r="H42" s="148"/>
      <c r="I42" s="148"/>
      <c r="J42" s="148"/>
      <c r="K42" s="148"/>
      <c r="L42" s="148"/>
    </row>
    <row r="43" spans="2:12" ht="15" customHeight="1" x14ac:dyDescent="0.2">
      <c r="B43" s="113"/>
    </row>
    <row r="44" spans="2:12" ht="25.5" customHeight="1" x14ac:dyDescent="0.2">
      <c r="B44" s="113"/>
      <c r="E44" s="152" t="s">
        <v>3415</v>
      </c>
      <c r="F44" s="177"/>
    </row>
    <row r="45" spans="2:12" ht="15" customHeight="1" x14ac:dyDescent="0.2">
      <c r="B45" s="113"/>
    </row>
    <row r="46" spans="2:12" ht="25.5" customHeight="1" x14ac:dyDescent="0.2">
      <c r="B46" s="113"/>
      <c r="E46" s="152" t="s">
        <v>3416</v>
      </c>
      <c r="F46" s="177"/>
    </row>
    <row r="47" spans="2:12" ht="15" customHeight="1" x14ac:dyDescent="0.2">
      <c r="B47" s="113"/>
    </row>
    <row r="48" spans="2:12" ht="25.5" customHeight="1" x14ac:dyDescent="0.2">
      <c r="B48" s="113"/>
      <c r="E48" s="152" t="s">
        <v>3417</v>
      </c>
      <c r="F48" s="177"/>
    </row>
    <row r="51" spans="5:12" ht="15" customHeight="1" x14ac:dyDescent="0.2">
      <c r="E51" s="240" t="s">
        <v>3305</v>
      </c>
      <c r="F51" s="148"/>
      <c r="G51" s="148"/>
      <c r="H51" s="148"/>
      <c r="I51" s="148"/>
      <c r="J51" s="148"/>
      <c r="K51" s="148"/>
      <c r="L51" s="148"/>
    </row>
    <row r="52" spans="5:12" ht="25.5" customHeight="1" x14ac:dyDescent="0.2"/>
    <row r="53" spans="5:12" ht="15" customHeight="1" x14ac:dyDescent="0.2">
      <c r="E53" s="152" t="s">
        <v>3306</v>
      </c>
      <c r="F53" s="177"/>
    </row>
    <row r="54" spans="5:12" ht="25.5" customHeight="1" x14ac:dyDescent="0.2"/>
    <row r="55" spans="5:12" ht="15" customHeight="1" x14ac:dyDescent="0.2">
      <c r="E55" s="152" t="s">
        <v>3443</v>
      </c>
      <c r="F55" s="177"/>
    </row>
    <row r="58" spans="5:12" ht="25.5" customHeight="1" x14ac:dyDescent="0.2">
      <c r="E58" s="240" t="s">
        <v>3307</v>
      </c>
      <c r="F58" s="148"/>
      <c r="G58" s="148"/>
      <c r="H58" s="148"/>
      <c r="I58" s="148"/>
      <c r="J58" s="148"/>
      <c r="K58" s="148"/>
      <c r="L58" s="148"/>
    </row>
    <row r="60" spans="5:12" ht="15" customHeight="1" x14ac:dyDescent="0.2">
      <c r="E60" s="177" t="s">
        <v>3205</v>
      </c>
      <c r="F60" s="177"/>
    </row>
    <row r="62" spans="5:12" ht="15" customHeight="1" x14ac:dyDescent="0.2">
      <c r="E62" s="177" t="s">
        <v>3195</v>
      </c>
      <c r="F62" s="177"/>
    </row>
    <row r="64" spans="5:12" ht="15" customHeight="1" x14ac:dyDescent="0.2">
      <c r="E64" s="177" t="s">
        <v>3190</v>
      </c>
      <c r="F64" s="177"/>
    </row>
    <row r="66" spans="5:6" ht="15" customHeight="1" x14ac:dyDescent="0.2">
      <c r="E66" s="177" t="s">
        <v>3206</v>
      </c>
      <c r="F66" s="177"/>
    </row>
    <row r="68" spans="5:6" ht="15" customHeight="1" x14ac:dyDescent="0.2">
      <c r="E68" s="177" t="s">
        <v>3196</v>
      </c>
      <c r="F68" s="177"/>
    </row>
    <row r="70" spans="5:6" ht="15" customHeight="1" x14ac:dyDescent="0.2">
      <c r="E70" s="177" t="s">
        <v>3207</v>
      </c>
      <c r="F70" s="177"/>
    </row>
    <row r="72" spans="5:6" ht="15" customHeight="1" x14ac:dyDescent="0.2">
      <c r="E72" s="177" t="s">
        <v>3220</v>
      </c>
      <c r="F72" s="177"/>
    </row>
    <row r="74" spans="5:6" ht="15" customHeight="1" x14ac:dyDescent="0.2">
      <c r="E74" s="177" t="s">
        <v>3197</v>
      </c>
      <c r="F74" s="177"/>
    </row>
    <row r="76" spans="5:6" ht="15" customHeight="1" x14ac:dyDescent="0.2">
      <c r="E76" s="177" t="s">
        <v>3198</v>
      </c>
      <c r="F76" s="177"/>
    </row>
    <row r="78" spans="5:6" ht="15" customHeight="1" x14ac:dyDescent="0.2">
      <c r="E78" s="177" t="s">
        <v>3191</v>
      </c>
      <c r="F78" s="177"/>
    </row>
  </sheetData>
  <mergeCells count="36">
    <mergeCell ref="E6:L6"/>
    <mergeCell ref="E8:F8"/>
    <mergeCell ref="E10:F10"/>
    <mergeCell ref="E12:F12"/>
    <mergeCell ref="E39:F39"/>
    <mergeCell ref="E42:L42"/>
    <mergeCell ref="E44:F44"/>
    <mergeCell ref="E46:F46"/>
    <mergeCell ref="E48:F48"/>
    <mergeCell ref="E26:L26"/>
    <mergeCell ref="E28:F28"/>
    <mergeCell ref="E30:F30"/>
    <mergeCell ref="E32:F32"/>
    <mergeCell ref="E37:L37"/>
    <mergeCell ref="E34:F34"/>
    <mergeCell ref="E76:F76"/>
    <mergeCell ref="E78:F78"/>
    <mergeCell ref="E3:L3"/>
    <mergeCell ref="E53:F53"/>
    <mergeCell ref="E55:F55"/>
    <mergeCell ref="E4:L4"/>
    <mergeCell ref="E66:F66"/>
    <mergeCell ref="E68:F68"/>
    <mergeCell ref="E70:F70"/>
    <mergeCell ref="E72:F72"/>
    <mergeCell ref="E74:F74"/>
    <mergeCell ref="E51:L51"/>
    <mergeCell ref="E58:L58"/>
    <mergeCell ref="E60:F60"/>
    <mergeCell ref="E62:F62"/>
    <mergeCell ref="E64:F64"/>
    <mergeCell ref="E15:L15"/>
    <mergeCell ref="E17:F17"/>
    <mergeCell ref="E19:F19"/>
    <mergeCell ref="E21:F21"/>
    <mergeCell ref="E23:F23"/>
  </mergeCells>
  <hyperlinks>
    <hyperlink ref="B2" location="'Start here'!E6" tooltip="back to Start here" display="⌂  CompBot Tutorial" xr:uid="{00000000-0004-0000-1B00-000000000000}"/>
    <hyperlink ref="B6" location="'Start here'!E6" display="▸  START" xr:uid="{F387BDBC-9025-4195-86ED-0159741E09A3}"/>
    <hyperlink ref="B7" location="'C1 Your machine'!E6" display="▸  COMMANDS" xr:uid="{5CD5D9D7-0F26-42F8-98AB-1B52FAB04C70}"/>
    <hyperlink ref="B8" location="'Demo maps'!E6" display="▸  DEMO SHEETS" xr:uid="{7222F963-06C6-47E5-9A7D-96EA943CB242}"/>
    <hyperlink ref="B9" location="'Level 1 Basics'!E6" display="▸  LAMBDAS" xr:uid="{B5D4ABF7-6904-44BE-A2E1-C2872DBEF5F8}"/>
    <hyperlink ref="B11" location="'Command cheat sheet'!E6" display="▾  REFERENCE" xr:uid="{BF7009E9-FF78-4EC1-84BD-0679B75437CB}"/>
    <hyperlink ref="B12" location="'Command cheat sheet'!E6" display="Command cheat sheet" xr:uid="{CE6C793A-2BCA-4F2A-A806-9BD2C7EED522}"/>
    <hyperlink ref="B15" location="'Lambda cheat sheet'!E6" display="Lambda cheat sheet" xr:uid="{368B1DAB-EC8A-4492-80F6-9EBE691AC62C}"/>
    <hyperlink ref="E4" r:id="rId1" xr:uid="{30840FB8-A5FF-46A5-B0A5-41AEB6C5AFEB}"/>
    <hyperlink ref="B10" location="'I1 The Alves Method'!E6" display="▸  INSIDER" xr:uid="{10FA5D96-FCF2-4334-8541-1DAD6C63DE48}"/>
    <hyperlink ref="B13" location="'Command cheat sheet'!E6" display="▾  REFERENCE" xr:uid="{23D7F8BB-FBA7-4179-A12B-83F3A09258DA}"/>
    <hyperlink ref="B14" location="'Command cheat sheet'!E6" display="Command cheat sheet" xr:uid="{FCBA2D7F-96A8-46E2-AFE9-C1B2E909EB4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vt:i4>
      </vt:variant>
    </vt:vector>
  </HeadingPairs>
  <TitlesOfParts>
    <vt:vector size="29" baseType="lpstr">
      <vt:lpstr>Start here</vt:lpstr>
      <vt:lpstr>Get set up</vt:lpstr>
      <vt:lpstr>Find it</vt:lpstr>
      <vt:lpstr>C1 Your machine</vt:lpstr>
      <vt:lpstr>C2 Open the case</vt:lpstr>
      <vt:lpstr>C3 Read the questions</vt:lpstr>
      <vt:lpstr>C4 Solve a level</vt:lpstr>
      <vt:lpstr>C5 Wrap a formula</vt:lpstr>
      <vt:lpstr>C6 Text, codes and lookups</vt:lpstr>
      <vt:lpstr>C7 Maps, grids and sheets</vt:lpstr>
      <vt:lpstr>C8 Housekeeping</vt:lpstr>
      <vt:lpstr>Case</vt:lpstr>
      <vt:lpstr>Demo maps</vt:lpstr>
      <vt:lpstr>Area1</vt:lpstr>
      <vt:lpstr>Area2</vt:lpstr>
      <vt:lpstr>Area3</vt:lpstr>
      <vt:lpstr>Level 1 Basics</vt:lpstr>
      <vt:lpstr>Level 2 Arrays</vt:lpstr>
      <vt:lpstr>Level 3 Text</vt:lpstr>
      <vt:lpstr>Level 4 Lookup</vt:lpstr>
      <vt:lpstr>Level 5 Maps</vt:lpstr>
      <vt:lpstr>Level 6 Engines</vt:lpstr>
      <vt:lpstr>Words</vt:lpstr>
      <vt:lpstr>I1 The Alves Method</vt:lpstr>
      <vt:lpstr>Command cheat sheet</vt:lpstr>
      <vt:lpstr>Lambda cheat sheet</vt:lpstr>
      <vt:lpstr>What changed</vt:lpstr>
      <vt:lpstr>DemoStats</vt:lpstr>
      <vt:lpstr>Sht_Area1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Jaq Kennedy</cp:lastModifiedBy>
  <dcterms:created xsi:type="dcterms:W3CDTF">2026-09-23T15:46:40Z</dcterms:created>
  <dcterms:modified xsi:type="dcterms:W3CDTF">2026-10-23T15:50:05Z</dcterms:modified>
</cp:coreProperties>
</file>